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olon\Downloads\"/>
    </mc:Choice>
  </mc:AlternateContent>
  <xr:revisionPtr revIDLastSave="0" documentId="8_{EA54C2C3-DD29-401B-B3C0-A955832D7C6C}" xr6:coauthVersionLast="47" xr6:coauthVersionMax="47" xr10:uidLastSave="{00000000-0000-0000-0000-000000000000}"/>
  <bookViews>
    <workbookView xWindow="22932" yWindow="2088" windowWidth="23256" windowHeight="12576" firstSheet="2" activeTab="6" xr2:uid="{00000000-000D-0000-FFFF-FFFF00000000}"/>
  </bookViews>
  <sheets>
    <sheet name="RAW DATA" sheetId="1" r:id="rId1"/>
    <sheet name="Main Sheet (deleted extras)" sheetId="2" r:id="rId2"/>
    <sheet name="Indie Historians" sheetId="3" r:id="rId3"/>
    <sheet name="Profesh Historians" sheetId="4" r:id="rId4"/>
    <sheet name="Profesh Devs" sheetId="5" r:id="rId5"/>
    <sheet name="Indie Devs" sheetId="6" r:id="rId6"/>
    <sheet name="EducatorsStudents" sheetId="7" r:id="rId7"/>
    <sheet name="LAMs" sheetId="8" r:id="rId8"/>
    <sheet name="Enthusies" sheetId="9" r:id="rId9"/>
    <sheet name="Junked Data" sheetId="10" r:id="rId10"/>
    <sheet name="Sheet1" sheetId="11" r:id="rId1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30" i="6" l="1"/>
  <c r="AW29" i="6"/>
  <c r="AV29" i="6"/>
  <c r="C137" i="2"/>
  <c r="V139" i="2"/>
  <c r="V138" i="2"/>
  <c r="V137" i="2"/>
  <c r="BU136" i="2"/>
  <c r="BT136" i="2"/>
  <c r="BS136" i="2"/>
  <c r="BR136" i="2"/>
  <c r="BQ136" i="2"/>
  <c r="BP136" i="2"/>
  <c r="BO136" i="2"/>
  <c r="BJ136" i="2"/>
  <c r="BI136" i="2"/>
  <c r="BH136" i="2"/>
  <c r="BG136" i="2"/>
  <c r="BF136" i="2"/>
  <c r="BE136" i="2"/>
  <c r="BD136" i="2"/>
  <c r="BC136" i="2"/>
  <c r="BB136" i="2"/>
  <c r="AX136" i="2"/>
  <c r="AW136" i="2"/>
  <c r="AV136" i="2"/>
  <c r="AS136" i="2"/>
  <c r="AR136" i="2"/>
  <c r="AQ136" i="2"/>
  <c r="AP136" i="2"/>
  <c r="AO136" i="2"/>
  <c r="AN136" i="2"/>
  <c r="AM136" i="2"/>
  <c r="AL136" i="2"/>
  <c r="AH136" i="2"/>
  <c r="AG136" i="2"/>
  <c r="AF136" i="2"/>
  <c r="AE136" i="2"/>
  <c r="AD136" i="2"/>
  <c r="AC136" i="2"/>
  <c r="T136" i="2"/>
  <c r="S136" i="2"/>
  <c r="R136" i="2"/>
  <c r="Q136" i="2"/>
  <c r="P136" i="2"/>
  <c r="O136" i="2"/>
  <c r="BU20" i="8"/>
  <c r="BT20" i="8"/>
  <c r="BS20" i="8"/>
  <c r="BR20" i="8"/>
  <c r="BQ20" i="8"/>
  <c r="BP20" i="8"/>
  <c r="BO20" i="8"/>
  <c r="BJ20" i="8"/>
  <c r="BI20" i="8"/>
  <c r="BH20" i="8"/>
  <c r="BG20" i="8"/>
  <c r="BF20" i="8"/>
  <c r="BE20" i="8"/>
  <c r="BD20" i="8"/>
  <c r="BC20" i="8"/>
  <c r="BB20" i="8"/>
  <c r="AX20" i="8"/>
  <c r="AW20" i="8"/>
  <c r="AV20" i="8"/>
  <c r="AS20" i="8"/>
  <c r="AR20" i="8"/>
  <c r="AQ20" i="8"/>
  <c r="AP20" i="8"/>
  <c r="AO20" i="8"/>
  <c r="AN20" i="8"/>
  <c r="AM20" i="8"/>
  <c r="AL20" i="8"/>
  <c r="AH20" i="8"/>
  <c r="AG20" i="8"/>
  <c r="AF20" i="8"/>
  <c r="AE20" i="8"/>
  <c r="AD20" i="8"/>
  <c r="AC20" i="8"/>
  <c r="T20" i="8"/>
  <c r="S20" i="8"/>
  <c r="R20" i="8"/>
  <c r="Q20" i="8"/>
  <c r="P20" i="8"/>
  <c r="O20" i="8"/>
  <c r="BU17" i="7"/>
  <c r="BT17" i="7"/>
  <c r="BS17" i="7"/>
  <c r="BR17" i="7"/>
  <c r="BQ17" i="7"/>
  <c r="BP17" i="7"/>
  <c r="BO17" i="7"/>
  <c r="BJ17" i="7"/>
  <c r="BI17" i="7"/>
  <c r="BH17" i="7"/>
  <c r="BG17" i="7"/>
  <c r="BF17" i="7"/>
  <c r="BE17" i="7"/>
  <c r="BD17" i="7"/>
  <c r="BC17" i="7"/>
  <c r="BB17" i="7"/>
  <c r="AX17" i="7"/>
  <c r="AW17" i="7"/>
  <c r="AV17" i="7"/>
  <c r="AS17" i="7"/>
  <c r="AR17" i="7"/>
  <c r="AQ17" i="7"/>
  <c r="AP17" i="7"/>
  <c r="AO17" i="7"/>
  <c r="AN17" i="7"/>
  <c r="AM17" i="7"/>
  <c r="AL17" i="7"/>
  <c r="AH17" i="7"/>
  <c r="AG17" i="7"/>
  <c r="AF17" i="7"/>
  <c r="AE17" i="7"/>
  <c r="AD17" i="7"/>
  <c r="AC17" i="7"/>
  <c r="T17" i="7"/>
  <c r="S17" i="7"/>
  <c r="R17" i="7"/>
  <c r="Q17" i="7"/>
  <c r="P17" i="7"/>
  <c r="O17" i="7"/>
  <c r="BU29" i="6"/>
  <c r="BT29" i="6"/>
  <c r="BS29" i="6"/>
  <c r="BR29" i="6"/>
  <c r="BQ29" i="6"/>
  <c r="BP29" i="6"/>
  <c r="BO29" i="6"/>
  <c r="BJ29" i="6"/>
  <c r="BI29" i="6"/>
  <c r="BH29" i="6"/>
  <c r="BG29" i="6"/>
  <c r="BF29" i="6"/>
  <c r="BE29" i="6"/>
  <c r="BD29" i="6"/>
  <c r="BC29" i="6"/>
  <c r="BB29" i="6"/>
  <c r="AS29" i="6"/>
  <c r="AR29" i="6"/>
  <c r="AQ29" i="6"/>
  <c r="AP29" i="6"/>
  <c r="AO29" i="6"/>
  <c r="AN29" i="6"/>
  <c r="AM29" i="6"/>
  <c r="AL29" i="6"/>
  <c r="AH29" i="6"/>
  <c r="AG29" i="6"/>
  <c r="AF29" i="6"/>
  <c r="AE29" i="6"/>
  <c r="AD29" i="6"/>
  <c r="AC29" i="6"/>
  <c r="T29" i="6"/>
  <c r="S29" i="6"/>
  <c r="R29" i="6"/>
  <c r="Q29" i="6"/>
  <c r="P29" i="6"/>
  <c r="O29" i="6"/>
  <c r="BU14" i="5"/>
  <c r="BT14" i="5"/>
  <c r="BS14" i="5"/>
  <c r="BR14" i="5"/>
  <c r="BP14" i="5"/>
  <c r="BO14" i="5"/>
  <c r="BJ14" i="5"/>
  <c r="BI14" i="5"/>
  <c r="BH14" i="5"/>
  <c r="BG14" i="5"/>
  <c r="BF14" i="5"/>
  <c r="BE14" i="5"/>
  <c r="BD14" i="5"/>
  <c r="BC14" i="5"/>
  <c r="BB14" i="5"/>
  <c r="AX14" i="5"/>
  <c r="AW14" i="5"/>
  <c r="AV14" i="5"/>
  <c r="AS14" i="5"/>
  <c r="AR14" i="5"/>
  <c r="AQ14" i="5"/>
  <c r="AP14" i="5"/>
  <c r="AO14" i="5"/>
  <c r="AN14" i="5"/>
  <c r="AM14" i="5"/>
  <c r="AL14" i="5"/>
  <c r="AH14" i="5"/>
  <c r="AG14" i="5"/>
  <c r="AF14" i="5"/>
  <c r="AE14" i="5"/>
  <c r="AD14" i="5"/>
  <c r="AC14" i="5"/>
  <c r="T14" i="5"/>
  <c r="S14" i="5"/>
  <c r="R14" i="5"/>
  <c r="Q14" i="5"/>
  <c r="P14" i="5"/>
  <c r="O14" i="5"/>
  <c r="BU62" i="3"/>
  <c r="BT62" i="3"/>
  <c r="BS62" i="3"/>
  <c r="BR62" i="3"/>
  <c r="BQ62" i="3"/>
  <c r="BP62" i="3"/>
  <c r="BO62" i="3"/>
  <c r="AX62" i="3"/>
  <c r="AW62" i="3"/>
  <c r="AV62" i="3"/>
  <c r="T62" i="3"/>
  <c r="S62" i="3"/>
  <c r="R62" i="3"/>
  <c r="Q62" i="3"/>
  <c r="P62" i="3"/>
  <c r="O62" i="3"/>
  <c r="AH62" i="3"/>
  <c r="AG62" i="3"/>
  <c r="AF62" i="3"/>
  <c r="AE62" i="3"/>
  <c r="AD62" i="3"/>
  <c r="AC62" i="3"/>
  <c r="AR62" i="3"/>
  <c r="AQ62" i="3"/>
  <c r="AP62" i="3"/>
  <c r="AO62" i="3"/>
  <c r="AN62" i="3"/>
  <c r="AM62" i="3"/>
  <c r="AL62" i="3"/>
  <c r="AS63" i="3"/>
  <c r="AS62" i="3"/>
  <c r="BU19" i="4"/>
  <c r="BT19" i="4"/>
  <c r="BS19" i="4"/>
  <c r="BR19" i="4"/>
  <c r="BQ19" i="4"/>
  <c r="BP19" i="4"/>
  <c r="BO19" i="4"/>
  <c r="T20" i="4"/>
  <c r="S20" i="4"/>
  <c r="R20" i="4"/>
  <c r="Q20" i="4"/>
  <c r="P20" i="4"/>
  <c r="O20" i="4"/>
  <c r="AH20" i="4"/>
  <c r="AG20" i="4"/>
  <c r="AF20" i="4"/>
  <c r="AE20" i="4"/>
  <c r="AD20" i="4"/>
  <c r="AC20" i="4"/>
  <c r="AS20" i="4"/>
  <c r="AR20" i="4"/>
  <c r="AQ20" i="4"/>
  <c r="AP20" i="4"/>
  <c r="AO20" i="4"/>
  <c r="AN20" i="4"/>
  <c r="AM20" i="4"/>
  <c r="AL20" i="4"/>
  <c r="AX20" i="4"/>
  <c r="AW20" i="4"/>
  <c r="AV20" i="4"/>
  <c r="T19" i="4"/>
  <c r="S19" i="4"/>
  <c r="R19" i="4"/>
  <c r="Q19" i="4"/>
  <c r="P19" i="4"/>
  <c r="O19" i="4"/>
  <c r="AH19" i="4"/>
  <c r="AG19" i="4"/>
  <c r="AF19" i="4"/>
  <c r="AE19" i="4"/>
  <c r="AD19" i="4"/>
  <c r="AC19" i="4"/>
  <c r="AS19" i="4"/>
  <c r="AR19" i="4"/>
  <c r="AQ19" i="4"/>
  <c r="AP19" i="4"/>
  <c r="AO19" i="4"/>
  <c r="AN19" i="4"/>
  <c r="AM19" i="4"/>
  <c r="AL19" i="4"/>
  <c r="AX19" i="4"/>
  <c r="AW19" i="4"/>
  <c r="AV19" i="4"/>
  <c r="BJ20" i="4"/>
  <c r="BI20" i="4"/>
  <c r="BH20" i="4"/>
  <c r="BG20" i="4"/>
  <c r="BF20" i="4"/>
  <c r="BE20" i="4"/>
  <c r="BD20" i="4"/>
  <c r="BC20" i="4"/>
  <c r="BB20" i="4"/>
  <c r="BJ19" i="4"/>
  <c r="BI19" i="4"/>
  <c r="BH19" i="4"/>
  <c r="BG19" i="4"/>
  <c r="BF19" i="4"/>
  <c r="BE19" i="4"/>
  <c r="BD19" i="4"/>
  <c r="BC19" i="4"/>
  <c r="BB19" i="4"/>
  <c r="BU11" i="10"/>
  <c r="BT11" i="10"/>
  <c r="BS11" i="10"/>
  <c r="BR11" i="10"/>
  <c r="BQ11" i="10"/>
  <c r="BP11" i="10"/>
  <c r="BO11" i="10"/>
  <c r="BJ11" i="10"/>
  <c r="BI11" i="10"/>
  <c r="BH11" i="10"/>
  <c r="BG11" i="10"/>
  <c r="BF11" i="10"/>
  <c r="BE11" i="10"/>
  <c r="BD11" i="10"/>
  <c r="BC11" i="10"/>
  <c r="BB11" i="10"/>
  <c r="AX11" i="10"/>
  <c r="AW11" i="10"/>
  <c r="AV11" i="10"/>
  <c r="AS11" i="10"/>
  <c r="AR11" i="10"/>
  <c r="AQ11" i="10"/>
  <c r="AP11" i="10"/>
  <c r="AO11" i="10"/>
  <c r="AN11" i="10"/>
  <c r="AM11" i="10"/>
  <c r="AL11" i="10"/>
  <c r="AH11" i="10"/>
  <c r="AG11" i="10"/>
  <c r="AF11" i="10"/>
  <c r="AE11" i="10"/>
  <c r="AD11" i="10"/>
  <c r="AC11" i="10"/>
  <c r="AA11" i="10"/>
  <c r="Z11" i="10"/>
  <c r="Y11" i="10"/>
  <c r="X11" i="10"/>
  <c r="W11" i="10"/>
  <c r="K11" i="10"/>
  <c r="J11" i="10"/>
  <c r="I11" i="10"/>
  <c r="H11" i="10"/>
  <c r="G11" i="10"/>
  <c r="F11" i="10"/>
  <c r="E11" i="10"/>
  <c r="BU10" i="10"/>
  <c r="BT10" i="10"/>
  <c r="BS10" i="10"/>
  <c r="BR10" i="10"/>
  <c r="BQ10" i="10"/>
  <c r="BP10" i="10"/>
  <c r="BO10" i="10"/>
  <c r="BJ10" i="10"/>
  <c r="BI10" i="10"/>
  <c r="BH10" i="10"/>
  <c r="BG10" i="10"/>
  <c r="BF10" i="10"/>
  <c r="BE10" i="10"/>
  <c r="BD10" i="10"/>
  <c r="BC10" i="10"/>
  <c r="BB10" i="10"/>
  <c r="AX10" i="10"/>
  <c r="AW10" i="10"/>
  <c r="AV10" i="10"/>
  <c r="AS10" i="10"/>
  <c r="AR10" i="10"/>
  <c r="AQ10" i="10"/>
  <c r="AP10" i="10"/>
  <c r="AO10" i="10"/>
  <c r="AN10" i="10"/>
  <c r="AM10" i="10"/>
  <c r="AL10" i="10"/>
  <c r="AH10" i="10"/>
  <c r="AG10" i="10"/>
  <c r="AF10" i="10"/>
  <c r="AE10" i="10"/>
  <c r="AD10" i="10"/>
  <c r="AC10" i="10"/>
  <c r="AA10" i="10"/>
  <c r="Z10" i="10"/>
  <c r="Y10" i="10"/>
  <c r="X10" i="10"/>
  <c r="W10" i="10"/>
  <c r="K10" i="10"/>
  <c r="J10" i="10"/>
  <c r="I10" i="10"/>
  <c r="H10" i="10"/>
  <c r="G10" i="10"/>
  <c r="F10" i="10"/>
  <c r="E10" i="10"/>
  <c r="BU9" i="10"/>
  <c r="BT9" i="10"/>
  <c r="BS9" i="10"/>
  <c r="BR9" i="10"/>
  <c r="BQ9" i="10"/>
  <c r="BP9" i="10"/>
  <c r="BO9" i="10"/>
  <c r="BJ9" i="10"/>
  <c r="BI9" i="10"/>
  <c r="BH9" i="10"/>
  <c r="BG9" i="10"/>
  <c r="BF9" i="10"/>
  <c r="BE9" i="10"/>
  <c r="BD9" i="10"/>
  <c r="BC9" i="10"/>
  <c r="BB9" i="10"/>
  <c r="AX9" i="10"/>
  <c r="AW9" i="10"/>
  <c r="AV9" i="10"/>
  <c r="AS9" i="10"/>
  <c r="AR9" i="10"/>
  <c r="AQ9" i="10"/>
  <c r="AP9" i="10"/>
  <c r="AO9" i="10"/>
  <c r="AN9" i="10"/>
  <c r="AM9" i="10"/>
  <c r="AL9" i="10"/>
  <c r="AH9" i="10"/>
  <c r="AG9" i="10"/>
  <c r="AF9" i="10"/>
  <c r="AE9" i="10"/>
  <c r="AD9" i="10"/>
  <c r="AC9" i="10"/>
  <c r="AA9" i="10"/>
  <c r="Z9" i="10"/>
  <c r="Y9" i="10"/>
  <c r="X9" i="10"/>
  <c r="W9" i="10"/>
  <c r="K9" i="10"/>
  <c r="J9" i="10"/>
  <c r="I9" i="10"/>
  <c r="H9" i="10"/>
  <c r="G9" i="10"/>
  <c r="F9" i="10"/>
  <c r="E9" i="10"/>
  <c r="BU8" i="10"/>
  <c r="BT8" i="10"/>
  <c r="BS8" i="10"/>
  <c r="BR8" i="10"/>
  <c r="BQ8" i="10"/>
  <c r="BP8" i="10"/>
  <c r="BO8" i="10"/>
  <c r="BJ8" i="10"/>
  <c r="BI8" i="10"/>
  <c r="BH8" i="10"/>
  <c r="BG8" i="10"/>
  <c r="BF8" i="10"/>
  <c r="BE8" i="10"/>
  <c r="BD8" i="10"/>
  <c r="BC8" i="10"/>
  <c r="BB8" i="10"/>
  <c r="AX8" i="10"/>
  <c r="AW8" i="10"/>
  <c r="AV8" i="10"/>
  <c r="AS8" i="10"/>
  <c r="AR8" i="10"/>
  <c r="AQ8" i="10"/>
  <c r="AP8" i="10"/>
  <c r="AO8" i="10"/>
  <c r="AN8" i="10"/>
  <c r="AM8" i="10"/>
  <c r="AL8" i="10"/>
  <c r="AH8" i="10"/>
  <c r="AG8" i="10"/>
  <c r="AF8" i="10"/>
  <c r="AE8" i="10"/>
  <c r="AD8" i="10"/>
  <c r="AC8" i="10"/>
  <c r="AA8" i="10"/>
  <c r="Z8" i="10"/>
  <c r="Y8" i="10"/>
  <c r="X8" i="10"/>
  <c r="W8" i="10"/>
  <c r="K8" i="10"/>
  <c r="J8" i="10"/>
  <c r="I8" i="10"/>
  <c r="H8" i="10"/>
  <c r="G8" i="10"/>
  <c r="F8" i="10"/>
  <c r="E8" i="10"/>
  <c r="BU7" i="10"/>
  <c r="BT7" i="10"/>
  <c r="BS7" i="10"/>
  <c r="BR7" i="10"/>
  <c r="BQ7" i="10"/>
  <c r="BP7" i="10"/>
  <c r="BO7" i="10"/>
  <c r="BJ7" i="10"/>
  <c r="BI7" i="10"/>
  <c r="BH7" i="10"/>
  <c r="BG7" i="10"/>
  <c r="BF7" i="10"/>
  <c r="BE7" i="10"/>
  <c r="BD7" i="10"/>
  <c r="BC7" i="10"/>
  <c r="BB7" i="10"/>
  <c r="AX7" i="10"/>
  <c r="AW7" i="10"/>
  <c r="AV7" i="10"/>
  <c r="AS7" i="10"/>
  <c r="AR7" i="10"/>
  <c r="AQ7" i="10"/>
  <c r="AP7" i="10"/>
  <c r="AO7" i="10"/>
  <c r="AN7" i="10"/>
  <c r="AM7" i="10"/>
  <c r="AL7" i="10"/>
  <c r="AH7" i="10"/>
  <c r="AG7" i="10"/>
  <c r="AF7" i="10"/>
  <c r="AE7" i="10"/>
  <c r="AD7" i="10"/>
  <c r="AC7" i="10"/>
  <c r="AA7" i="10"/>
  <c r="Z7" i="10"/>
  <c r="Y7" i="10"/>
  <c r="X7" i="10"/>
  <c r="W7" i="10"/>
  <c r="K7" i="10"/>
  <c r="J7" i="10"/>
  <c r="I7" i="10"/>
  <c r="H7" i="10"/>
  <c r="G7" i="10"/>
  <c r="F7" i="10"/>
  <c r="E7" i="10"/>
  <c r="BU6" i="10"/>
  <c r="BT6" i="10"/>
  <c r="BS6" i="10"/>
  <c r="BR6" i="10"/>
  <c r="BQ6" i="10"/>
  <c r="BP6" i="10"/>
  <c r="BO6" i="10"/>
  <c r="BJ6" i="10"/>
  <c r="BI6" i="10"/>
  <c r="BH6" i="10"/>
  <c r="BG6" i="10"/>
  <c r="BF6" i="10"/>
  <c r="BE6" i="10"/>
  <c r="BD6" i="10"/>
  <c r="BC6" i="10"/>
  <c r="BB6" i="10"/>
  <c r="AX6" i="10"/>
  <c r="AW6" i="10"/>
  <c r="AV6" i="10"/>
  <c r="AS6" i="10"/>
  <c r="AR6" i="10"/>
  <c r="AQ6" i="10"/>
  <c r="AP6" i="10"/>
  <c r="AO6" i="10"/>
  <c r="AN6" i="10"/>
  <c r="AM6" i="10"/>
  <c r="AL6" i="10"/>
  <c r="AH6" i="10"/>
  <c r="AG6" i="10"/>
  <c r="AF6" i="10"/>
  <c r="AE6" i="10"/>
  <c r="AD6" i="10"/>
  <c r="AC6" i="10"/>
  <c r="AA6" i="10"/>
  <c r="Z6" i="10"/>
  <c r="Y6" i="10"/>
  <c r="X6" i="10"/>
  <c r="W6" i="10"/>
  <c r="K6" i="10"/>
  <c r="J6" i="10"/>
  <c r="I6" i="10"/>
  <c r="H6" i="10"/>
  <c r="G6" i="10"/>
  <c r="F6" i="10"/>
  <c r="E6" i="10"/>
  <c r="BU5" i="10"/>
  <c r="BT5" i="10"/>
  <c r="BS5" i="10"/>
  <c r="BR5" i="10"/>
  <c r="BQ5" i="10"/>
  <c r="BP5" i="10"/>
  <c r="BO5" i="10"/>
  <c r="BJ5" i="10"/>
  <c r="BI5" i="10"/>
  <c r="BH5" i="10"/>
  <c r="BG5" i="10"/>
  <c r="BF5" i="10"/>
  <c r="BE5" i="10"/>
  <c r="BD5" i="10"/>
  <c r="BC5" i="10"/>
  <c r="BB5" i="10"/>
  <c r="AX5" i="10"/>
  <c r="AW5" i="10"/>
  <c r="AV5" i="10"/>
  <c r="AS5" i="10"/>
  <c r="AR5" i="10"/>
  <c r="AQ5" i="10"/>
  <c r="AP5" i="10"/>
  <c r="AO5" i="10"/>
  <c r="AN5" i="10"/>
  <c r="AM5" i="10"/>
  <c r="AL5" i="10"/>
  <c r="AH5" i="10"/>
  <c r="AG5" i="10"/>
  <c r="AF5" i="10"/>
  <c r="AE5" i="10"/>
  <c r="AD5" i="10"/>
  <c r="AC5" i="10"/>
  <c r="AA5" i="10"/>
  <c r="Z5" i="10"/>
  <c r="Y5" i="10"/>
  <c r="X5" i="10"/>
  <c r="W5" i="10"/>
  <c r="K5" i="10"/>
  <c r="J5" i="10"/>
  <c r="I5" i="10"/>
  <c r="H5" i="10"/>
  <c r="G5" i="10"/>
  <c r="F5" i="10"/>
  <c r="E5" i="10"/>
  <c r="BU4" i="10"/>
  <c r="BT4" i="10"/>
  <c r="BS4" i="10"/>
  <c r="BR4" i="10"/>
  <c r="BQ4" i="10"/>
  <c r="BP4" i="10"/>
  <c r="BO4" i="10"/>
  <c r="BJ4" i="10"/>
  <c r="BI4" i="10"/>
  <c r="BH4" i="10"/>
  <c r="BG4" i="10"/>
  <c r="BF4" i="10"/>
  <c r="BE4" i="10"/>
  <c r="BD4" i="10"/>
  <c r="BC4" i="10"/>
  <c r="BB4" i="10"/>
  <c r="AX4" i="10"/>
  <c r="AW4" i="10"/>
  <c r="AV4" i="10"/>
  <c r="AS4" i="10"/>
  <c r="AR4" i="10"/>
  <c r="AQ4" i="10"/>
  <c r="AP4" i="10"/>
  <c r="AO4" i="10"/>
  <c r="AN4" i="10"/>
  <c r="AM4" i="10"/>
  <c r="AL4" i="10"/>
  <c r="AH4" i="10"/>
  <c r="AG4" i="10"/>
  <c r="AF4" i="10"/>
  <c r="AE4" i="10"/>
  <c r="AD4" i="10"/>
  <c r="AC4" i="10"/>
  <c r="AA4" i="10"/>
  <c r="Z4" i="10"/>
  <c r="Y4" i="10"/>
  <c r="X4" i="10"/>
  <c r="W4" i="10"/>
  <c r="K4" i="10"/>
  <c r="J4" i="10"/>
  <c r="I4" i="10"/>
  <c r="H4" i="10"/>
  <c r="G4" i="10"/>
  <c r="F4" i="10"/>
  <c r="E4" i="10"/>
  <c r="BU3" i="10"/>
  <c r="BT3" i="10"/>
  <c r="BS3" i="10"/>
  <c r="BR3" i="10"/>
  <c r="BQ3" i="10"/>
  <c r="BP3" i="10"/>
  <c r="BO3" i="10"/>
  <c r="BJ3" i="10"/>
  <c r="BI3" i="10"/>
  <c r="BH3" i="10"/>
  <c r="BG3" i="10"/>
  <c r="BF3" i="10"/>
  <c r="BE3" i="10"/>
  <c r="BD3" i="10"/>
  <c r="BC3" i="10"/>
  <c r="BB3" i="10"/>
  <c r="AX3" i="10"/>
  <c r="AW3" i="10"/>
  <c r="AV3" i="10"/>
  <c r="AS3" i="10"/>
  <c r="AR3" i="10"/>
  <c r="AQ3" i="10"/>
  <c r="AP3" i="10"/>
  <c r="AO3" i="10"/>
  <c r="AN3" i="10"/>
  <c r="AM3" i="10"/>
  <c r="AL3" i="10"/>
  <c r="AH3" i="10"/>
  <c r="AG3" i="10"/>
  <c r="AF3" i="10"/>
  <c r="AE3" i="10"/>
  <c r="AD3" i="10"/>
  <c r="AC3" i="10"/>
  <c r="AA3" i="10"/>
  <c r="Z3" i="10"/>
  <c r="Y3" i="10"/>
  <c r="X3" i="10"/>
  <c r="W3" i="10"/>
  <c r="K3" i="10"/>
  <c r="J3" i="10"/>
  <c r="I3" i="10"/>
  <c r="H3" i="10"/>
  <c r="G3" i="10"/>
  <c r="F3" i="10"/>
  <c r="E3" i="10"/>
  <c r="BU52" i="9"/>
  <c r="BT52" i="9"/>
  <c r="BS52" i="9"/>
  <c r="BR52" i="9"/>
  <c r="BQ52" i="9"/>
  <c r="BP52" i="9"/>
  <c r="BO52" i="9"/>
  <c r="BJ52" i="9"/>
  <c r="BI52" i="9"/>
  <c r="BH52" i="9"/>
  <c r="BG52" i="9"/>
  <c r="BF52" i="9"/>
  <c r="BE52" i="9"/>
  <c r="BD52" i="9"/>
  <c r="BC52" i="9"/>
  <c r="BB52" i="9"/>
  <c r="AX52" i="9"/>
  <c r="AW52" i="9"/>
  <c r="AV52" i="9"/>
  <c r="AS52" i="9"/>
  <c r="AR52" i="9"/>
  <c r="AQ52" i="9"/>
  <c r="AP52" i="9"/>
  <c r="AO52" i="9"/>
  <c r="AN52" i="9"/>
  <c r="AM52" i="9"/>
  <c r="AL52" i="9"/>
  <c r="AH52" i="9"/>
  <c r="AG52" i="9"/>
  <c r="AF52" i="9"/>
  <c r="AE52" i="9"/>
  <c r="AD52" i="9"/>
  <c r="AC52" i="9"/>
  <c r="AA52" i="9"/>
  <c r="Z52" i="9"/>
  <c r="Y52" i="9"/>
  <c r="X52" i="9"/>
  <c r="W52" i="9"/>
  <c r="T52" i="9"/>
  <c r="S52" i="9"/>
  <c r="R52" i="9"/>
  <c r="Q52" i="9"/>
  <c r="P52" i="9"/>
  <c r="O52" i="9"/>
  <c r="K52" i="9"/>
  <c r="J52" i="9"/>
  <c r="I52" i="9"/>
  <c r="H52" i="9"/>
  <c r="G52" i="9"/>
  <c r="F52" i="9"/>
  <c r="E52" i="9"/>
  <c r="BU51" i="9"/>
  <c r="BT51" i="9"/>
  <c r="BS51" i="9"/>
  <c r="BR51" i="9"/>
  <c r="BQ51" i="9"/>
  <c r="BP51" i="9"/>
  <c r="BO51" i="9"/>
  <c r="BJ51" i="9"/>
  <c r="BI51" i="9"/>
  <c r="BH51" i="9"/>
  <c r="BG51" i="9"/>
  <c r="BF51" i="9"/>
  <c r="BE51" i="9"/>
  <c r="BD51" i="9"/>
  <c r="BC51" i="9"/>
  <c r="BB51" i="9"/>
  <c r="AX51" i="9"/>
  <c r="AW51" i="9"/>
  <c r="AV51" i="9"/>
  <c r="AS51" i="9"/>
  <c r="AR51" i="9"/>
  <c r="AQ51" i="9"/>
  <c r="AP51" i="9"/>
  <c r="AO51" i="9"/>
  <c r="AN51" i="9"/>
  <c r="AM51" i="9"/>
  <c r="AL51" i="9"/>
  <c r="AH51" i="9"/>
  <c r="AG51" i="9"/>
  <c r="AF51" i="9"/>
  <c r="AE51" i="9"/>
  <c r="AD51" i="9"/>
  <c r="AC51" i="9"/>
  <c r="AA51" i="9"/>
  <c r="Z51" i="9"/>
  <c r="Y51" i="9"/>
  <c r="X51" i="9"/>
  <c r="W51" i="9"/>
  <c r="T51" i="9"/>
  <c r="S51" i="9"/>
  <c r="R51" i="9"/>
  <c r="Q51" i="9"/>
  <c r="P51" i="9"/>
  <c r="O51" i="9"/>
  <c r="K51" i="9"/>
  <c r="J51" i="9"/>
  <c r="I51" i="9"/>
  <c r="H51" i="9"/>
  <c r="G51" i="9"/>
  <c r="F51" i="9"/>
  <c r="E51" i="9"/>
  <c r="BU50" i="9"/>
  <c r="BT50" i="9"/>
  <c r="BS50" i="9"/>
  <c r="BR50" i="9"/>
  <c r="BQ50" i="9"/>
  <c r="BP50" i="9"/>
  <c r="BO50" i="9"/>
  <c r="BJ50" i="9"/>
  <c r="BI50" i="9"/>
  <c r="BH50" i="9"/>
  <c r="BG50" i="9"/>
  <c r="BF50" i="9"/>
  <c r="BE50" i="9"/>
  <c r="BD50" i="9"/>
  <c r="BC50" i="9"/>
  <c r="BB50" i="9"/>
  <c r="AX50" i="9"/>
  <c r="AW50" i="9"/>
  <c r="AV50" i="9"/>
  <c r="AS50" i="9"/>
  <c r="AR50" i="9"/>
  <c r="AQ50" i="9"/>
  <c r="AP50" i="9"/>
  <c r="AO50" i="9"/>
  <c r="AN50" i="9"/>
  <c r="AM50" i="9"/>
  <c r="AL50" i="9"/>
  <c r="AH50" i="9"/>
  <c r="AG50" i="9"/>
  <c r="AF50" i="9"/>
  <c r="AE50" i="9"/>
  <c r="AD50" i="9"/>
  <c r="AC50" i="9"/>
  <c r="AA50" i="9"/>
  <c r="Z50" i="9"/>
  <c r="Y50" i="9"/>
  <c r="X50" i="9"/>
  <c r="W50" i="9"/>
  <c r="T50" i="9"/>
  <c r="S50" i="9"/>
  <c r="R50" i="9"/>
  <c r="Q50" i="9"/>
  <c r="P50" i="9"/>
  <c r="O50" i="9"/>
  <c r="K50" i="9"/>
  <c r="J50" i="9"/>
  <c r="I50" i="9"/>
  <c r="H50" i="9"/>
  <c r="G50" i="9"/>
  <c r="F50" i="9"/>
  <c r="E50" i="9"/>
  <c r="BU49" i="9"/>
  <c r="BT49" i="9"/>
  <c r="BS49" i="9"/>
  <c r="BR49" i="9"/>
  <c r="BQ49" i="9"/>
  <c r="BP49" i="9"/>
  <c r="BO49" i="9"/>
  <c r="BJ49" i="9"/>
  <c r="BI49" i="9"/>
  <c r="BH49" i="9"/>
  <c r="BG49" i="9"/>
  <c r="BF49" i="9"/>
  <c r="BE49" i="9"/>
  <c r="BD49" i="9"/>
  <c r="BC49" i="9"/>
  <c r="BB49" i="9"/>
  <c r="AX49" i="9"/>
  <c r="AW49" i="9"/>
  <c r="AV49" i="9"/>
  <c r="AS49" i="9"/>
  <c r="AR49" i="9"/>
  <c r="AQ49" i="9"/>
  <c r="AP49" i="9"/>
  <c r="AO49" i="9"/>
  <c r="AN49" i="9"/>
  <c r="AM49" i="9"/>
  <c r="AL49" i="9"/>
  <c r="AH49" i="9"/>
  <c r="AG49" i="9"/>
  <c r="AF49" i="9"/>
  <c r="AE49" i="9"/>
  <c r="AD49" i="9"/>
  <c r="AC49" i="9"/>
  <c r="AA49" i="9"/>
  <c r="Z49" i="9"/>
  <c r="Y49" i="9"/>
  <c r="X49" i="9"/>
  <c r="W49" i="9"/>
  <c r="T49" i="9"/>
  <c r="S49" i="9"/>
  <c r="R49" i="9"/>
  <c r="Q49" i="9"/>
  <c r="P49" i="9"/>
  <c r="O49" i="9"/>
  <c r="K49" i="9"/>
  <c r="J49" i="9"/>
  <c r="I49" i="9"/>
  <c r="H49" i="9"/>
  <c r="G49" i="9"/>
  <c r="F49" i="9"/>
  <c r="E49" i="9"/>
  <c r="BU48" i="9"/>
  <c r="BT48" i="9"/>
  <c r="BS48" i="9"/>
  <c r="BR48" i="9"/>
  <c r="BQ48" i="9"/>
  <c r="BP48" i="9"/>
  <c r="BO48" i="9"/>
  <c r="BJ48" i="9"/>
  <c r="BI48" i="9"/>
  <c r="BH48" i="9"/>
  <c r="BG48" i="9"/>
  <c r="BF48" i="9"/>
  <c r="BE48" i="9"/>
  <c r="BD48" i="9"/>
  <c r="BC48" i="9"/>
  <c r="BB48" i="9"/>
  <c r="AX48" i="9"/>
  <c r="AW48" i="9"/>
  <c r="AV48" i="9"/>
  <c r="AS48" i="9"/>
  <c r="AR48" i="9"/>
  <c r="AQ48" i="9"/>
  <c r="AP48" i="9"/>
  <c r="AO48" i="9"/>
  <c r="AN48" i="9"/>
  <c r="AM48" i="9"/>
  <c r="AL48" i="9"/>
  <c r="AH48" i="9"/>
  <c r="AG48" i="9"/>
  <c r="AF48" i="9"/>
  <c r="AE48" i="9"/>
  <c r="AD48" i="9"/>
  <c r="AC48" i="9"/>
  <c r="AA48" i="9"/>
  <c r="Z48" i="9"/>
  <c r="Y48" i="9"/>
  <c r="X48" i="9"/>
  <c r="W48" i="9"/>
  <c r="T48" i="9"/>
  <c r="S48" i="9"/>
  <c r="R48" i="9"/>
  <c r="Q48" i="9"/>
  <c r="P48" i="9"/>
  <c r="O48" i="9"/>
  <c r="K48" i="9"/>
  <c r="J48" i="9"/>
  <c r="I48" i="9"/>
  <c r="H48" i="9"/>
  <c r="G48" i="9"/>
  <c r="F48" i="9"/>
  <c r="E48" i="9"/>
  <c r="BU47" i="9"/>
  <c r="BT47" i="9"/>
  <c r="BS47" i="9"/>
  <c r="BR47" i="9"/>
  <c r="BQ47" i="9"/>
  <c r="BP47" i="9"/>
  <c r="BO47" i="9"/>
  <c r="BJ47" i="9"/>
  <c r="BI47" i="9"/>
  <c r="BH47" i="9"/>
  <c r="BG47" i="9"/>
  <c r="BF47" i="9"/>
  <c r="BE47" i="9"/>
  <c r="BD47" i="9"/>
  <c r="BC47" i="9"/>
  <c r="BB47" i="9"/>
  <c r="AX47" i="9"/>
  <c r="AW47" i="9"/>
  <c r="AV47" i="9"/>
  <c r="AS47" i="9"/>
  <c r="AR47" i="9"/>
  <c r="AQ47" i="9"/>
  <c r="AP47" i="9"/>
  <c r="AO47" i="9"/>
  <c r="AN47" i="9"/>
  <c r="AM47" i="9"/>
  <c r="AL47" i="9"/>
  <c r="AH47" i="9"/>
  <c r="AG47" i="9"/>
  <c r="AF47" i="9"/>
  <c r="AE47" i="9"/>
  <c r="AD47" i="9"/>
  <c r="AC47" i="9"/>
  <c r="AA47" i="9"/>
  <c r="Z47" i="9"/>
  <c r="Y47" i="9"/>
  <c r="X47" i="9"/>
  <c r="W47" i="9"/>
  <c r="T47" i="9"/>
  <c r="S47" i="9"/>
  <c r="R47" i="9"/>
  <c r="Q47" i="9"/>
  <c r="P47" i="9"/>
  <c r="O47" i="9"/>
  <c r="K47" i="9"/>
  <c r="J47" i="9"/>
  <c r="I47" i="9"/>
  <c r="H47" i="9"/>
  <c r="G47" i="9"/>
  <c r="F47" i="9"/>
  <c r="E47" i="9"/>
  <c r="BU46" i="9"/>
  <c r="BT46" i="9"/>
  <c r="BS46" i="9"/>
  <c r="BR46" i="9"/>
  <c r="BQ46" i="9"/>
  <c r="BP46" i="9"/>
  <c r="BO46" i="9"/>
  <c r="BJ46" i="9"/>
  <c r="BI46" i="9"/>
  <c r="BH46" i="9"/>
  <c r="BG46" i="9"/>
  <c r="BF46" i="9"/>
  <c r="BE46" i="9"/>
  <c r="BD46" i="9"/>
  <c r="BC46" i="9"/>
  <c r="BB46" i="9"/>
  <c r="AX46" i="9"/>
  <c r="AW46" i="9"/>
  <c r="AV46" i="9"/>
  <c r="AS46" i="9"/>
  <c r="AR46" i="9"/>
  <c r="AQ46" i="9"/>
  <c r="AP46" i="9"/>
  <c r="AO46" i="9"/>
  <c r="AN46" i="9"/>
  <c r="AM46" i="9"/>
  <c r="AL46" i="9"/>
  <c r="AH46" i="9"/>
  <c r="AG46" i="9"/>
  <c r="AF46" i="9"/>
  <c r="AE46" i="9"/>
  <c r="AD46" i="9"/>
  <c r="AC46" i="9"/>
  <c r="AA46" i="9"/>
  <c r="Z46" i="9"/>
  <c r="Y46" i="9"/>
  <c r="X46" i="9"/>
  <c r="W46" i="9"/>
  <c r="T46" i="9"/>
  <c r="S46" i="9"/>
  <c r="R46" i="9"/>
  <c r="Q46" i="9"/>
  <c r="P46" i="9"/>
  <c r="O46" i="9"/>
  <c r="K46" i="9"/>
  <c r="J46" i="9"/>
  <c r="I46" i="9"/>
  <c r="H46" i="9"/>
  <c r="G46" i="9"/>
  <c r="F46" i="9"/>
  <c r="E46" i="9"/>
  <c r="BU45" i="9"/>
  <c r="BT45" i="9"/>
  <c r="BS45" i="9"/>
  <c r="BR45" i="9"/>
  <c r="BQ45" i="9"/>
  <c r="BP45" i="9"/>
  <c r="BO45" i="9"/>
  <c r="BJ45" i="9"/>
  <c r="BI45" i="9"/>
  <c r="BH45" i="9"/>
  <c r="BG45" i="9"/>
  <c r="BF45" i="9"/>
  <c r="BE45" i="9"/>
  <c r="BD45" i="9"/>
  <c r="BC45" i="9"/>
  <c r="BB45" i="9"/>
  <c r="AX45" i="9"/>
  <c r="AW45" i="9"/>
  <c r="AV45" i="9"/>
  <c r="AS45" i="9"/>
  <c r="AR45" i="9"/>
  <c r="AQ45" i="9"/>
  <c r="AP45" i="9"/>
  <c r="AO45" i="9"/>
  <c r="AN45" i="9"/>
  <c r="AM45" i="9"/>
  <c r="AL45" i="9"/>
  <c r="AH45" i="9"/>
  <c r="AG45" i="9"/>
  <c r="AF45" i="9"/>
  <c r="AE45" i="9"/>
  <c r="AD45" i="9"/>
  <c r="AC45" i="9"/>
  <c r="AA45" i="9"/>
  <c r="Z45" i="9"/>
  <c r="Y45" i="9"/>
  <c r="X45" i="9"/>
  <c r="W45" i="9"/>
  <c r="T45" i="9"/>
  <c r="S45" i="9"/>
  <c r="R45" i="9"/>
  <c r="Q45" i="9"/>
  <c r="P45" i="9"/>
  <c r="O45" i="9"/>
  <c r="K45" i="9"/>
  <c r="J45" i="9"/>
  <c r="I45" i="9"/>
  <c r="H45" i="9"/>
  <c r="G45" i="9"/>
  <c r="F45" i="9"/>
  <c r="E45" i="9"/>
  <c r="BU44" i="9"/>
  <c r="BT44" i="9"/>
  <c r="BS44" i="9"/>
  <c r="BR44" i="9"/>
  <c r="BQ44" i="9"/>
  <c r="BP44" i="9"/>
  <c r="BO44" i="9"/>
  <c r="BJ44" i="9"/>
  <c r="BI44" i="9"/>
  <c r="BH44" i="9"/>
  <c r="BG44" i="9"/>
  <c r="BF44" i="9"/>
  <c r="BE44" i="9"/>
  <c r="BD44" i="9"/>
  <c r="BC44" i="9"/>
  <c r="BB44" i="9"/>
  <c r="AX44" i="9"/>
  <c r="AW44" i="9"/>
  <c r="AV44" i="9"/>
  <c r="AS44" i="9"/>
  <c r="AR44" i="9"/>
  <c r="AQ44" i="9"/>
  <c r="AP44" i="9"/>
  <c r="AO44" i="9"/>
  <c r="AN44" i="9"/>
  <c r="AM44" i="9"/>
  <c r="AL44" i="9"/>
  <c r="AH44" i="9"/>
  <c r="AG44" i="9"/>
  <c r="AF44" i="9"/>
  <c r="AE44" i="9"/>
  <c r="AD44" i="9"/>
  <c r="AC44" i="9"/>
  <c r="AA44" i="9"/>
  <c r="Z44" i="9"/>
  <c r="Y44" i="9"/>
  <c r="X44" i="9"/>
  <c r="W44" i="9"/>
  <c r="T44" i="9"/>
  <c r="S44" i="9"/>
  <c r="R44" i="9"/>
  <c r="Q44" i="9"/>
  <c r="P44" i="9"/>
  <c r="O44" i="9"/>
  <c r="K44" i="9"/>
  <c r="J44" i="9"/>
  <c r="I44" i="9"/>
  <c r="H44" i="9"/>
  <c r="G44" i="9"/>
  <c r="F44" i="9"/>
  <c r="E44" i="9"/>
  <c r="BU43" i="9"/>
  <c r="BT43" i="9"/>
  <c r="BS43" i="9"/>
  <c r="BR43" i="9"/>
  <c r="BQ43" i="9"/>
  <c r="BP43" i="9"/>
  <c r="BO43" i="9"/>
  <c r="BJ43" i="9"/>
  <c r="BI43" i="9"/>
  <c r="BH43" i="9"/>
  <c r="BG43" i="9"/>
  <c r="BF43" i="9"/>
  <c r="BE43" i="9"/>
  <c r="BD43" i="9"/>
  <c r="BC43" i="9"/>
  <c r="BB43" i="9"/>
  <c r="AX43" i="9"/>
  <c r="AW43" i="9"/>
  <c r="AV43" i="9"/>
  <c r="AS43" i="9"/>
  <c r="AR43" i="9"/>
  <c r="AQ43" i="9"/>
  <c r="AP43" i="9"/>
  <c r="AO43" i="9"/>
  <c r="AN43" i="9"/>
  <c r="AM43" i="9"/>
  <c r="AL43" i="9"/>
  <c r="AH43" i="9"/>
  <c r="AG43" i="9"/>
  <c r="AF43" i="9"/>
  <c r="AE43" i="9"/>
  <c r="AD43" i="9"/>
  <c r="AC43" i="9"/>
  <c r="AA43" i="9"/>
  <c r="Z43" i="9"/>
  <c r="Y43" i="9"/>
  <c r="X43" i="9"/>
  <c r="W43" i="9"/>
  <c r="T43" i="9"/>
  <c r="S43" i="9"/>
  <c r="R43" i="9"/>
  <c r="Q43" i="9"/>
  <c r="P43" i="9"/>
  <c r="O43" i="9"/>
  <c r="K43" i="9"/>
  <c r="J43" i="9"/>
  <c r="I43" i="9"/>
  <c r="H43" i="9"/>
  <c r="G43" i="9"/>
  <c r="F43" i="9"/>
  <c r="E43" i="9"/>
  <c r="BU42" i="9"/>
  <c r="BT42" i="9"/>
  <c r="BS42" i="9"/>
  <c r="BR42" i="9"/>
  <c r="BQ42" i="9"/>
  <c r="BP42" i="9"/>
  <c r="BO42" i="9"/>
  <c r="BJ42" i="9"/>
  <c r="BI42" i="9"/>
  <c r="BH42" i="9"/>
  <c r="BG42" i="9"/>
  <c r="BF42" i="9"/>
  <c r="BE42" i="9"/>
  <c r="BD42" i="9"/>
  <c r="BC42" i="9"/>
  <c r="BB42" i="9"/>
  <c r="AX42" i="9"/>
  <c r="AW42" i="9"/>
  <c r="AV42" i="9"/>
  <c r="AS42" i="9"/>
  <c r="AR42" i="9"/>
  <c r="AQ42" i="9"/>
  <c r="AP42" i="9"/>
  <c r="AO42" i="9"/>
  <c r="AN42" i="9"/>
  <c r="AM42" i="9"/>
  <c r="AL42" i="9"/>
  <c r="AH42" i="9"/>
  <c r="AG42" i="9"/>
  <c r="AF42" i="9"/>
  <c r="AE42" i="9"/>
  <c r="AD42" i="9"/>
  <c r="AC42" i="9"/>
  <c r="AA42" i="9"/>
  <c r="Z42" i="9"/>
  <c r="Y42" i="9"/>
  <c r="X42" i="9"/>
  <c r="W42" i="9"/>
  <c r="T42" i="9"/>
  <c r="S42" i="9"/>
  <c r="R42" i="9"/>
  <c r="Q42" i="9"/>
  <c r="P42" i="9"/>
  <c r="O42" i="9"/>
  <c r="K42" i="9"/>
  <c r="J42" i="9"/>
  <c r="I42" i="9"/>
  <c r="H42" i="9"/>
  <c r="G42" i="9"/>
  <c r="F42" i="9"/>
  <c r="E42" i="9"/>
  <c r="BU41" i="9"/>
  <c r="BT41" i="9"/>
  <c r="BS41" i="9"/>
  <c r="BR41" i="9"/>
  <c r="BQ41" i="9"/>
  <c r="BP41" i="9"/>
  <c r="BO41" i="9"/>
  <c r="BJ41" i="9"/>
  <c r="BI41" i="9"/>
  <c r="BH41" i="9"/>
  <c r="BG41" i="9"/>
  <c r="BF41" i="9"/>
  <c r="BE41" i="9"/>
  <c r="BD41" i="9"/>
  <c r="BC41" i="9"/>
  <c r="BB41" i="9"/>
  <c r="AX41" i="9"/>
  <c r="AW41" i="9"/>
  <c r="AV41" i="9"/>
  <c r="AS41" i="9"/>
  <c r="AR41" i="9"/>
  <c r="AQ41" i="9"/>
  <c r="AP41" i="9"/>
  <c r="AO41" i="9"/>
  <c r="AN41" i="9"/>
  <c r="AM41" i="9"/>
  <c r="AL41" i="9"/>
  <c r="AH41" i="9"/>
  <c r="AG41" i="9"/>
  <c r="AF41" i="9"/>
  <c r="AE41" i="9"/>
  <c r="AD41" i="9"/>
  <c r="AC41" i="9"/>
  <c r="AA41" i="9"/>
  <c r="Z41" i="9"/>
  <c r="Y41" i="9"/>
  <c r="X41" i="9"/>
  <c r="W41" i="9"/>
  <c r="T41" i="9"/>
  <c r="S41" i="9"/>
  <c r="R41" i="9"/>
  <c r="Q41" i="9"/>
  <c r="P41" i="9"/>
  <c r="O41" i="9"/>
  <c r="K41" i="9"/>
  <c r="J41" i="9"/>
  <c r="I41" i="9"/>
  <c r="H41" i="9"/>
  <c r="G41" i="9"/>
  <c r="F41" i="9"/>
  <c r="E41" i="9"/>
  <c r="BU40" i="9"/>
  <c r="BT40" i="9"/>
  <c r="BS40" i="9"/>
  <c r="BR40" i="9"/>
  <c r="BQ40" i="9"/>
  <c r="BP40" i="9"/>
  <c r="BO40" i="9"/>
  <c r="BJ40" i="9"/>
  <c r="BI40" i="9"/>
  <c r="BH40" i="9"/>
  <c r="BG40" i="9"/>
  <c r="BF40" i="9"/>
  <c r="BE40" i="9"/>
  <c r="BD40" i="9"/>
  <c r="BC40" i="9"/>
  <c r="BB40" i="9"/>
  <c r="AX40" i="9"/>
  <c r="AW40" i="9"/>
  <c r="AV40" i="9"/>
  <c r="AS40" i="9"/>
  <c r="AR40" i="9"/>
  <c r="AQ40" i="9"/>
  <c r="AP40" i="9"/>
  <c r="AO40" i="9"/>
  <c r="AN40" i="9"/>
  <c r="AM40" i="9"/>
  <c r="AL40" i="9"/>
  <c r="AH40" i="9"/>
  <c r="AG40" i="9"/>
  <c r="AF40" i="9"/>
  <c r="AE40" i="9"/>
  <c r="AD40" i="9"/>
  <c r="AC40" i="9"/>
  <c r="AA40" i="9"/>
  <c r="Z40" i="9"/>
  <c r="Y40" i="9"/>
  <c r="X40" i="9"/>
  <c r="W40" i="9"/>
  <c r="T40" i="9"/>
  <c r="S40" i="9"/>
  <c r="R40" i="9"/>
  <c r="Q40" i="9"/>
  <c r="P40" i="9"/>
  <c r="O40" i="9"/>
  <c r="K40" i="9"/>
  <c r="J40" i="9"/>
  <c r="I40" i="9"/>
  <c r="H40" i="9"/>
  <c r="G40" i="9"/>
  <c r="F40" i="9"/>
  <c r="E40" i="9"/>
  <c r="BU39" i="9"/>
  <c r="BT39" i="9"/>
  <c r="BS39" i="9"/>
  <c r="BR39" i="9"/>
  <c r="BQ39" i="9"/>
  <c r="BP39" i="9"/>
  <c r="BO39" i="9"/>
  <c r="BJ39" i="9"/>
  <c r="BI39" i="9"/>
  <c r="BH39" i="9"/>
  <c r="BG39" i="9"/>
  <c r="BF39" i="9"/>
  <c r="BE39" i="9"/>
  <c r="BD39" i="9"/>
  <c r="BC39" i="9"/>
  <c r="BB39" i="9"/>
  <c r="AX39" i="9"/>
  <c r="AW39" i="9"/>
  <c r="AV39" i="9"/>
  <c r="AS39" i="9"/>
  <c r="AR39" i="9"/>
  <c r="AQ39" i="9"/>
  <c r="AP39" i="9"/>
  <c r="AO39" i="9"/>
  <c r="AN39" i="9"/>
  <c r="AM39" i="9"/>
  <c r="AL39" i="9"/>
  <c r="AH39" i="9"/>
  <c r="AG39" i="9"/>
  <c r="AF39" i="9"/>
  <c r="AE39" i="9"/>
  <c r="AD39" i="9"/>
  <c r="AC39" i="9"/>
  <c r="AA39" i="9"/>
  <c r="Z39" i="9"/>
  <c r="Y39" i="9"/>
  <c r="X39" i="9"/>
  <c r="W39" i="9"/>
  <c r="T39" i="9"/>
  <c r="S39" i="9"/>
  <c r="R39" i="9"/>
  <c r="Q39" i="9"/>
  <c r="P39" i="9"/>
  <c r="O39" i="9"/>
  <c r="K39" i="9"/>
  <c r="J39" i="9"/>
  <c r="I39" i="9"/>
  <c r="H39" i="9"/>
  <c r="G39" i="9"/>
  <c r="F39" i="9"/>
  <c r="E39" i="9"/>
  <c r="BU38" i="9"/>
  <c r="BT38" i="9"/>
  <c r="BS38" i="9"/>
  <c r="BR38" i="9"/>
  <c r="BQ38" i="9"/>
  <c r="BP38" i="9"/>
  <c r="BO38" i="9"/>
  <c r="BJ38" i="9"/>
  <c r="BI38" i="9"/>
  <c r="BH38" i="9"/>
  <c r="BG38" i="9"/>
  <c r="BF38" i="9"/>
  <c r="BE38" i="9"/>
  <c r="BD38" i="9"/>
  <c r="BC38" i="9"/>
  <c r="BB38" i="9"/>
  <c r="AX38" i="9"/>
  <c r="AW38" i="9"/>
  <c r="AV38" i="9"/>
  <c r="AS38" i="9"/>
  <c r="AR38" i="9"/>
  <c r="AQ38" i="9"/>
  <c r="AP38" i="9"/>
  <c r="AO38" i="9"/>
  <c r="AN38" i="9"/>
  <c r="AM38" i="9"/>
  <c r="AL38" i="9"/>
  <c r="AH38" i="9"/>
  <c r="AG38" i="9"/>
  <c r="AF38" i="9"/>
  <c r="AE38" i="9"/>
  <c r="AD38" i="9"/>
  <c r="AC38" i="9"/>
  <c r="AA38" i="9"/>
  <c r="Z38" i="9"/>
  <c r="Y38" i="9"/>
  <c r="X38" i="9"/>
  <c r="W38" i="9"/>
  <c r="T38" i="9"/>
  <c r="S38" i="9"/>
  <c r="R38" i="9"/>
  <c r="Q38" i="9"/>
  <c r="P38" i="9"/>
  <c r="O38" i="9"/>
  <c r="K38" i="9"/>
  <c r="J38" i="9"/>
  <c r="I38" i="9"/>
  <c r="H38" i="9"/>
  <c r="G38" i="9"/>
  <c r="F38" i="9"/>
  <c r="E38" i="9"/>
  <c r="BU37" i="9"/>
  <c r="BT37" i="9"/>
  <c r="BS37" i="9"/>
  <c r="BR37" i="9"/>
  <c r="BQ37" i="9"/>
  <c r="BP37" i="9"/>
  <c r="BO37" i="9"/>
  <c r="BJ37" i="9"/>
  <c r="BI37" i="9"/>
  <c r="BH37" i="9"/>
  <c r="BG37" i="9"/>
  <c r="BF37" i="9"/>
  <c r="BE37" i="9"/>
  <c r="BD37" i="9"/>
  <c r="BC37" i="9"/>
  <c r="BB37" i="9"/>
  <c r="AX37" i="9"/>
  <c r="AW37" i="9"/>
  <c r="AV37" i="9"/>
  <c r="AS37" i="9"/>
  <c r="AR37" i="9"/>
  <c r="AQ37" i="9"/>
  <c r="AP37" i="9"/>
  <c r="AO37" i="9"/>
  <c r="AN37" i="9"/>
  <c r="AM37" i="9"/>
  <c r="AL37" i="9"/>
  <c r="AH37" i="9"/>
  <c r="AG37" i="9"/>
  <c r="AF37" i="9"/>
  <c r="AE37" i="9"/>
  <c r="AD37" i="9"/>
  <c r="AC37" i="9"/>
  <c r="AA37" i="9"/>
  <c r="Z37" i="9"/>
  <c r="Y37" i="9"/>
  <c r="X37" i="9"/>
  <c r="W37" i="9"/>
  <c r="T37" i="9"/>
  <c r="S37" i="9"/>
  <c r="R37" i="9"/>
  <c r="Q37" i="9"/>
  <c r="P37" i="9"/>
  <c r="O37" i="9"/>
  <c r="K37" i="9"/>
  <c r="J37" i="9"/>
  <c r="I37" i="9"/>
  <c r="H37" i="9"/>
  <c r="G37" i="9"/>
  <c r="F37" i="9"/>
  <c r="E37" i="9"/>
  <c r="BU36" i="9"/>
  <c r="BT36" i="9"/>
  <c r="BS36" i="9"/>
  <c r="BR36" i="9"/>
  <c r="BQ36" i="9"/>
  <c r="BP36" i="9"/>
  <c r="BO36" i="9"/>
  <c r="BJ36" i="9"/>
  <c r="BI36" i="9"/>
  <c r="BH36" i="9"/>
  <c r="BG36" i="9"/>
  <c r="BF36" i="9"/>
  <c r="BE36" i="9"/>
  <c r="BD36" i="9"/>
  <c r="BC36" i="9"/>
  <c r="BB36" i="9"/>
  <c r="AX36" i="9"/>
  <c r="AW36" i="9"/>
  <c r="AV36" i="9"/>
  <c r="AS36" i="9"/>
  <c r="AR36" i="9"/>
  <c r="AQ36" i="9"/>
  <c r="AP36" i="9"/>
  <c r="AO36" i="9"/>
  <c r="AN36" i="9"/>
  <c r="AM36" i="9"/>
  <c r="AL36" i="9"/>
  <c r="AH36" i="9"/>
  <c r="AG36" i="9"/>
  <c r="AF36" i="9"/>
  <c r="AE36" i="9"/>
  <c r="AD36" i="9"/>
  <c r="AC36" i="9"/>
  <c r="AA36" i="9"/>
  <c r="Z36" i="9"/>
  <c r="Y36" i="9"/>
  <c r="X36" i="9"/>
  <c r="W36" i="9"/>
  <c r="T36" i="9"/>
  <c r="S36" i="9"/>
  <c r="R36" i="9"/>
  <c r="Q36" i="9"/>
  <c r="P36" i="9"/>
  <c r="O36" i="9"/>
  <c r="K36" i="9"/>
  <c r="J36" i="9"/>
  <c r="I36" i="9"/>
  <c r="H36" i="9"/>
  <c r="G36" i="9"/>
  <c r="F36" i="9"/>
  <c r="E36" i="9"/>
  <c r="BU35" i="9"/>
  <c r="BT35" i="9"/>
  <c r="BS35" i="9"/>
  <c r="BR35" i="9"/>
  <c r="BQ35" i="9"/>
  <c r="BP35" i="9"/>
  <c r="BO35" i="9"/>
  <c r="BJ35" i="9"/>
  <c r="BI35" i="9"/>
  <c r="BH35" i="9"/>
  <c r="BG35" i="9"/>
  <c r="BF35" i="9"/>
  <c r="BE35" i="9"/>
  <c r="BD35" i="9"/>
  <c r="BC35" i="9"/>
  <c r="BB35" i="9"/>
  <c r="AX35" i="9"/>
  <c r="AW35" i="9"/>
  <c r="AV35" i="9"/>
  <c r="AS35" i="9"/>
  <c r="AR35" i="9"/>
  <c r="AQ35" i="9"/>
  <c r="AP35" i="9"/>
  <c r="AO35" i="9"/>
  <c r="AN35" i="9"/>
  <c r="AM35" i="9"/>
  <c r="AL35" i="9"/>
  <c r="AH35" i="9"/>
  <c r="AG35" i="9"/>
  <c r="AF35" i="9"/>
  <c r="AE35" i="9"/>
  <c r="AD35" i="9"/>
  <c r="AC35" i="9"/>
  <c r="AA35" i="9"/>
  <c r="Z35" i="9"/>
  <c r="Y35" i="9"/>
  <c r="X35" i="9"/>
  <c r="W35" i="9"/>
  <c r="T35" i="9"/>
  <c r="S35" i="9"/>
  <c r="R35" i="9"/>
  <c r="Q35" i="9"/>
  <c r="P35" i="9"/>
  <c r="O35" i="9"/>
  <c r="K35" i="9"/>
  <c r="J35" i="9"/>
  <c r="I35" i="9"/>
  <c r="H35" i="9"/>
  <c r="G35" i="9"/>
  <c r="F35" i="9"/>
  <c r="E35" i="9"/>
  <c r="BU34" i="9"/>
  <c r="BT34" i="9"/>
  <c r="BS34" i="9"/>
  <c r="BR34" i="9"/>
  <c r="BQ34" i="9"/>
  <c r="BP34" i="9"/>
  <c r="BO34" i="9"/>
  <c r="BJ34" i="9"/>
  <c r="BI34" i="9"/>
  <c r="BH34" i="9"/>
  <c r="BG34" i="9"/>
  <c r="BF34" i="9"/>
  <c r="BE34" i="9"/>
  <c r="BD34" i="9"/>
  <c r="BC34" i="9"/>
  <c r="BB34" i="9"/>
  <c r="AX34" i="9"/>
  <c r="AW34" i="9"/>
  <c r="AV34" i="9"/>
  <c r="AS34" i="9"/>
  <c r="AR34" i="9"/>
  <c r="AQ34" i="9"/>
  <c r="AP34" i="9"/>
  <c r="AO34" i="9"/>
  <c r="AN34" i="9"/>
  <c r="AM34" i="9"/>
  <c r="AL34" i="9"/>
  <c r="AH34" i="9"/>
  <c r="AG34" i="9"/>
  <c r="AF34" i="9"/>
  <c r="AE34" i="9"/>
  <c r="AD34" i="9"/>
  <c r="AC34" i="9"/>
  <c r="AA34" i="9"/>
  <c r="Z34" i="9"/>
  <c r="Y34" i="9"/>
  <c r="X34" i="9"/>
  <c r="W34" i="9"/>
  <c r="T34" i="9"/>
  <c r="S34" i="9"/>
  <c r="R34" i="9"/>
  <c r="Q34" i="9"/>
  <c r="P34" i="9"/>
  <c r="O34" i="9"/>
  <c r="K34" i="9"/>
  <c r="J34" i="9"/>
  <c r="I34" i="9"/>
  <c r="H34" i="9"/>
  <c r="G34" i="9"/>
  <c r="F34" i="9"/>
  <c r="E34" i="9"/>
  <c r="BU33" i="9"/>
  <c r="BT33" i="9"/>
  <c r="BS33" i="9"/>
  <c r="BR33" i="9"/>
  <c r="BQ33" i="9"/>
  <c r="BP33" i="9"/>
  <c r="BO33" i="9"/>
  <c r="BJ33" i="9"/>
  <c r="BI33" i="9"/>
  <c r="BH33" i="9"/>
  <c r="BG33" i="9"/>
  <c r="BF33" i="9"/>
  <c r="BE33" i="9"/>
  <c r="BD33" i="9"/>
  <c r="BC33" i="9"/>
  <c r="BB33" i="9"/>
  <c r="AX33" i="9"/>
  <c r="AW33" i="9"/>
  <c r="AV33" i="9"/>
  <c r="AS33" i="9"/>
  <c r="AR33" i="9"/>
  <c r="AQ33" i="9"/>
  <c r="AP33" i="9"/>
  <c r="AO33" i="9"/>
  <c r="AN33" i="9"/>
  <c r="AM33" i="9"/>
  <c r="AL33" i="9"/>
  <c r="AH33" i="9"/>
  <c r="AG33" i="9"/>
  <c r="AF33" i="9"/>
  <c r="AE33" i="9"/>
  <c r="AD33" i="9"/>
  <c r="AC33" i="9"/>
  <c r="AA33" i="9"/>
  <c r="Z33" i="9"/>
  <c r="Y33" i="9"/>
  <c r="X33" i="9"/>
  <c r="W33" i="9"/>
  <c r="T33" i="9"/>
  <c r="S33" i="9"/>
  <c r="R33" i="9"/>
  <c r="Q33" i="9"/>
  <c r="P33" i="9"/>
  <c r="O33" i="9"/>
  <c r="K33" i="9"/>
  <c r="J33" i="9"/>
  <c r="I33" i="9"/>
  <c r="H33" i="9"/>
  <c r="G33" i="9"/>
  <c r="F33" i="9"/>
  <c r="E33" i="9"/>
  <c r="BU32" i="9"/>
  <c r="BT32" i="9"/>
  <c r="BS32" i="9"/>
  <c r="BR32" i="9"/>
  <c r="BQ32" i="9"/>
  <c r="BP32" i="9"/>
  <c r="BO32" i="9"/>
  <c r="BJ32" i="9"/>
  <c r="BI32" i="9"/>
  <c r="BH32" i="9"/>
  <c r="BG32" i="9"/>
  <c r="BF32" i="9"/>
  <c r="BE32" i="9"/>
  <c r="BD32" i="9"/>
  <c r="BC32" i="9"/>
  <c r="BB32" i="9"/>
  <c r="AX32" i="9"/>
  <c r="AW32" i="9"/>
  <c r="AV32" i="9"/>
  <c r="AS32" i="9"/>
  <c r="AR32" i="9"/>
  <c r="AQ32" i="9"/>
  <c r="AP32" i="9"/>
  <c r="AO32" i="9"/>
  <c r="AN32" i="9"/>
  <c r="AM32" i="9"/>
  <c r="AL32" i="9"/>
  <c r="AH32" i="9"/>
  <c r="AG32" i="9"/>
  <c r="AF32" i="9"/>
  <c r="AE32" i="9"/>
  <c r="AD32" i="9"/>
  <c r="AC32" i="9"/>
  <c r="AA32" i="9"/>
  <c r="Z32" i="9"/>
  <c r="Y32" i="9"/>
  <c r="X32" i="9"/>
  <c r="W32" i="9"/>
  <c r="T32" i="9"/>
  <c r="S32" i="9"/>
  <c r="R32" i="9"/>
  <c r="Q32" i="9"/>
  <c r="P32" i="9"/>
  <c r="O32" i="9"/>
  <c r="K32" i="9"/>
  <c r="J32" i="9"/>
  <c r="I32" i="9"/>
  <c r="H32" i="9"/>
  <c r="G32" i="9"/>
  <c r="F32" i="9"/>
  <c r="E32" i="9"/>
  <c r="BU31" i="9"/>
  <c r="BT31" i="9"/>
  <c r="BS31" i="9"/>
  <c r="BR31" i="9"/>
  <c r="BQ31" i="9"/>
  <c r="BP31" i="9"/>
  <c r="BO31" i="9"/>
  <c r="BJ31" i="9"/>
  <c r="BI31" i="9"/>
  <c r="BH31" i="9"/>
  <c r="BG31" i="9"/>
  <c r="BF31" i="9"/>
  <c r="BE31" i="9"/>
  <c r="BD31" i="9"/>
  <c r="BC31" i="9"/>
  <c r="BB31" i="9"/>
  <c r="AX31" i="9"/>
  <c r="AW31" i="9"/>
  <c r="AV31" i="9"/>
  <c r="AS31" i="9"/>
  <c r="AR31" i="9"/>
  <c r="AQ31" i="9"/>
  <c r="AP31" i="9"/>
  <c r="AO31" i="9"/>
  <c r="AN31" i="9"/>
  <c r="AM31" i="9"/>
  <c r="AL31" i="9"/>
  <c r="AH31" i="9"/>
  <c r="AG31" i="9"/>
  <c r="AF31" i="9"/>
  <c r="AE31" i="9"/>
  <c r="AD31" i="9"/>
  <c r="AC31" i="9"/>
  <c r="AA31" i="9"/>
  <c r="Z31" i="9"/>
  <c r="Y31" i="9"/>
  <c r="X31" i="9"/>
  <c r="W31" i="9"/>
  <c r="T31" i="9"/>
  <c r="S31" i="9"/>
  <c r="R31" i="9"/>
  <c r="Q31" i="9"/>
  <c r="P31" i="9"/>
  <c r="O31" i="9"/>
  <c r="K31" i="9"/>
  <c r="J31" i="9"/>
  <c r="I31" i="9"/>
  <c r="H31" i="9"/>
  <c r="G31" i="9"/>
  <c r="F31" i="9"/>
  <c r="E31" i="9"/>
  <c r="BU30" i="9"/>
  <c r="BT30" i="9"/>
  <c r="BS30" i="9"/>
  <c r="BR30" i="9"/>
  <c r="BQ30" i="9"/>
  <c r="BP30" i="9"/>
  <c r="BO30" i="9"/>
  <c r="BJ30" i="9"/>
  <c r="BI30" i="9"/>
  <c r="BH30" i="9"/>
  <c r="BG30" i="9"/>
  <c r="BF30" i="9"/>
  <c r="BE30" i="9"/>
  <c r="BD30" i="9"/>
  <c r="BC30" i="9"/>
  <c r="BB30" i="9"/>
  <c r="AX30" i="9"/>
  <c r="AW30" i="9"/>
  <c r="AV30" i="9"/>
  <c r="AS30" i="9"/>
  <c r="AR30" i="9"/>
  <c r="AQ30" i="9"/>
  <c r="AP30" i="9"/>
  <c r="AO30" i="9"/>
  <c r="AN30" i="9"/>
  <c r="AM30" i="9"/>
  <c r="AL30" i="9"/>
  <c r="AH30" i="9"/>
  <c r="AG30" i="9"/>
  <c r="AF30" i="9"/>
  <c r="AE30" i="9"/>
  <c r="AD30" i="9"/>
  <c r="AC30" i="9"/>
  <c r="AA30" i="9"/>
  <c r="Z30" i="9"/>
  <c r="Y30" i="9"/>
  <c r="X30" i="9"/>
  <c r="W30" i="9"/>
  <c r="T30" i="9"/>
  <c r="S30" i="9"/>
  <c r="R30" i="9"/>
  <c r="Q30" i="9"/>
  <c r="P30" i="9"/>
  <c r="O30" i="9"/>
  <c r="K30" i="9"/>
  <c r="J30" i="9"/>
  <c r="I30" i="9"/>
  <c r="H30" i="9"/>
  <c r="G30" i="9"/>
  <c r="F30" i="9"/>
  <c r="E30" i="9"/>
  <c r="BU29" i="9"/>
  <c r="BT29" i="9"/>
  <c r="BS29" i="9"/>
  <c r="BR29" i="9"/>
  <c r="BQ29" i="9"/>
  <c r="BP29" i="9"/>
  <c r="BO29" i="9"/>
  <c r="BJ29" i="9"/>
  <c r="BI29" i="9"/>
  <c r="BH29" i="9"/>
  <c r="BG29" i="9"/>
  <c r="BF29" i="9"/>
  <c r="BE29" i="9"/>
  <c r="BD29" i="9"/>
  <c r="BC29" i="9"/>
  <c r="BB29" i="9"/>
  <c r="AX29" i="9"/>
  <c r="AW29" i="9"/>
  <c r="AV29" i="9"/>
  <c r="AS29" i="9"/>
  <c r="AR29" i="9"/>
  <c r="AQ29" i="9"/>
  <c r="AP29" i="9"/>
  <c r="AO29" i="9"/>
  <c r="AN29" i="9"/>
  <c r="AM29" i="9"/>
  <c r="AL29" i="9"/>
  <c r="AH29" i="9"/>
  <c r="AG29" i="9"/>
  <c r="AF29" i="9"/>
  <c r="AE29" i="9"/>
  <c r="AD29" i="9"/>
  <c r="AC29" i="9"/>
  <c r="AA29" i="9"/>
  <c r="Z29" i="9"/>
  <c r="Y29" i="9"/>
  <c r="X29" i="9"/>
  <c r="W29" i="9"/>
  <c r="T29" i="9"/>
  <c r="S29" i="9"/>
  <c r="R29" i="9"/>
  <c r="Q29" i="9"/>
  <c r="P29" i="9"/>
  <c r="O29" i="9"/>
  <c r="K29" i="9"/>
  <c r="J29" i="9"/>
  <c r="I29" i="9"/>
  <c r="H29" i="9"/>
  <c r="G29" i="9"/>
  <c r="F29" i="9"/>
  <c r="E29" i="9"/>
  <c r="BU28" i="9"/>
  <c r="BT28" i="9"/>
  <c r="BS28" i="9"/>
  <c r="BR28" i="9"/>
  <c r="BQ28" i="9"/>
  <c r="BP28" i="9"/>
  <c r="BO28" i="9"/>
  <c r="BJ28" i="9"/>
  <c r="BI28" i="9"/>
  <c r="BH28" i="9"/>
  <c r="BG28" i="9"/>
  <c r="BF28" i="9"/>
  <c r="BE28" i="9"/>
  <c r="BD28" i="9"/>
  <c r="BC28" i="9"/>
  <c r="BB28" i="9"/>
  <c r="AX28" i="9"/>
  <c r="AW28" i="9"/>
  <c r="AV28" i="9"/>
  <c r="AS28" i="9"/>
  <c r="AR28" i="9"/>
  <c r="AQ28" i="9"/>
  <c r="AP28" i="9"/>
  <c r="AO28" i="9"/>
  <c r="AN28" i="9"/>
  <c r="AM28" i="9"/>
  <c r="AL28" i="9"/>
  <c r="AH28" i="9"/>
  <c r="AG28" i="9"/>
  <c r="AF28" i="9"/>
  <c r="AE28" i="9"/>
  <c r="AD28" i="9"/>
  <c r="AC28" i="9"/>
  <c r="AA28" i="9"/>
  <c r="Z28" i="9"/>
  <c r="Y28" i="9"/>
  <c r="X28" i="9"/>
  <c r="W28" i="9"/>
  <c r="T28" i="9"/>
  <c r="S28" i="9"/>
  <c r="R28" i="9"/>
  <c r="Q28" i="9"/>
  <c r="P28" i="9"/>
  <c r="O28" i="9"/>
  <c r="K28" i="9"/>
  <c r="J28" i="9"/>
  <c r="I28" i="9"/>
  <c r="H28" i="9"/>
  <c r="G28" i="9"/>
  <c r="F28" i="9"/>
  <c r="E28" i="9"/>
  <c r="BU27" i="9"/>
  <c r="BT27" i="9"/>
  <c r="BS27" i="9"/>
  <c r="BR27" i="9"/>
  <c r="BQ27" i="9"/>
  <c r="BP27" i="9"/>
  <c r="BO27" i="9"/>
  <c r="BJ27" i="9"/>
  <c r="BI27" i="9"/>
  <c r="BH27" i="9"/>
  <c r="BG27" i="9"/>
  <c r="BF27" i="9"/>
  <c r="BE27" i="9"/>
  <c r="BD27" i="9"/>
  <c r="BC27" i="9"/>
  <c r="BB27" i="9"/>
  <c r="AX27" i="9"/>
  <c r="AW27" i="9"/>
  <c r="AV27" i="9"/>
  <c r="AS27" i="9"/>
  <c r="AR27" i="9"/>
  <c r="AQ27" i="9"/>
  <c r="AP27" i="9"/>
  <c r="AO27" i="9"/>
  <c r="AN27" i="9"/>
  <c r="AM27" i="9"/>
  <c r="AL27" i="9"/>
  <c r="AH27" i="9"/>
  <c r="AG27" i="9"/>
  <c r="AF27" i="9"/>
  <c r="AE27" i="9"/>
  <c r="AD27" i="9"/>
  <c r="AC27" i="9"/>
  <c r="AA27" i="9"/>
  <c r="Z27" i="9"/>
  <c r="Y27" i="9"/>
  <c r="X27" i="9"/>
  <c r="W27" i="9"/>
  <c r="T27" i="9"/>
  <c r="S27" i="9"/>
  <c r="R27" i="9"/>
  <c r="Q27" i="9"/>
  <c r="P27" i="9"/>
  <c r="O27" i="9"/>
  <c r="K27" i="9"/>
  <c r="J27" i="9"/>
  <c r="I27" i="9"/>
  <c r="H27" i="9"/>
  <c r="G27" i="9"/>
  <c r="F27" i="9"/>
  <c r="E27" i="9"/>
  <c r="BU26" i="9"/>
  <c r="BT26" i="9"/>
  <c r="BS26" i="9"/>
  <c r="BR26" i="9"/>
  <c r="BQ26" i="9"/>
  <c r="BP26" i="9"/>
  <c r="BO26" i="9"/>
  <c r="BJ26" i="9"/>
  <c r="BI26" i="9"/>
  <c r="BH26" i="9"/>
  <c r="BG26" i="9"/>
  <c r="BF26" i="9"/>
  <c r="BE26" i="9"/>
  <c r="BD26" i="9"/>
  <c r="BC26" i="9"/>
  <c r="BB26" i="9"/>
  <c r="AX26" i="9"/>
  <c r="AW26" i="9"/>
  <c r="AV26" i="9"/>
  <c r="AS26" i="9"/>
  <c r="AR26" i="9"/>
  <c r="AQ26" i="9"/>
  <c r="AP26" i="9"/>
  <c r="AO26" i="9"/>
  <c r="AN26" i="9"/>
  <c r="AM26" i="9"/>
  <c r="AL26" i="9"/>
  <c r="AH26" i="9"/>
  <c r="AG26" i="9"/>
  <c r="AF26" i="9"/>
  <c r="AE26" i="9"/>
  <c r="AD26" i="9"/>
  <c r="AC26" i="9"/>
  <c r="AA26" i="9"/>
  <c r="Z26" i="9"/>
  <c r="Y26" i="9"/>
  <c r="X26" i="9"/>
  <c r="W26" i="9"/>
  <c r="T26" i="9"/>
  <c r="S26" i="9"/>
  <c r="R26" i="9"/>
  <c r="Q26" i="9"/>
  <c r="P26" i="9"/>
  <c r="O26" i="9"/>
  <c r="K26" i="9"/>
  <c r="J26" i="9"/>
  <c r="I26" i="9"/>
  <c r="H26" i="9"/>
  <c r="G26" i="9"/>
  <c r="F26" i="9"/>
  <c r="E26" i="9"/>
  <c r="BU25" i="9"/>
  <c r="BT25" i="9"/>
  <c r="BS25" i="9"/>
  <c r="BR25" i="9"/>
  <c r="BQ25" i="9"/>
  <c r="BP25" i="9"/>
  <c r="BO25" i="9"/>
  <c r="BJ25" i="9"/>
  <c r="BI25" i="9"/>
  <c r="BH25" i="9"/>
  <c r="BG25" i="9"/>
  <c r="BF25" i="9"/>
  <c r="BE25" i="9"/>
  <c r="BD25" i="9"/>
  <c r="BC25" i="9"/>
  <c r="BB25" i="9"/>
  <c r="AX25" i="9"/>
  <c r="AW25" i="9"/>
  <c r="AV25" i="9"/>
  <c r="AS25" i="9"/>
  <c r="AR25" i="9"/>
  <c r="AQ25" i="9"/>
  <c r="AP25" i="9"/>
  <c r="AO25" i="9"/>
  <c r="AN25" i="9"/>
  <c r="AM25" i="9"/>
  <c r="AL25" i="9"/>
  <c r="AH25" i="9"/>
  <c r="AG25" i="9"/>
  <c r="AF25" i="9"/>
  <c r="AE25" i="9"/>
  <c r="AD25" i="9"/>
  <c r="AC25" i="9"/>
  <c r="AA25" i="9"/>
  <c r="Z25" i="9"/>
  <c r="Y25" i="9"/>
  <c r="X25" i="9"/>
  <c r="W25" i="9"/>
  <c r="T25" i="9"/>
  <c r="S25" i="9"/>
  <c r="R25" i="9"/>
  <c r="Q25" i="9"/>
  <c r="P25" i="9"/>
  <c r="O25" i="9"/>
  <c r="K25" i="9"/>
  <c r="J25" i="9"/>
  <c r="I25" i="9"/>
  <c r="H25" i="9"/>
  <c r="G25" i="9"/>
  <c r="F25" i="9"/>
  <c r="E25" i="9"/>
  <c r="BU24" i="9"/>
  <c r="BT24" i="9"/>
  <c r="BS24" i="9"/>
  <c r="BR24" i="9"/>
  <c r="BQ24" i="9"/>
  <c r="BP24" i="9"/>
  <c r="BO24" i="9"/>
  <c r="BJ24" i="9"/>
  <c r="BI24" i="9"/>
  <c r="BH24" i="9"/>
  <c r="BG24" i="9"/>
  <c r="BF24" i="9"/>
  <c r="BE24" i="9"/>
  <c r="BD24" i="9"/>
  <c r="BC24" i="9"/>
  <c r="BB24" i="9"/>
  <c r="AX24" i="9"/>
  <c r="AW24" i="9"/>
  <c r="AV24" i="9"/>
  <c r="AS24" i="9"/>
  <c r="AR24" i="9"/>
  <c r="AQ24" i="9"/>
  <c r="AP24" i="9"/>
  <c r="AO24" i="9"/>
  <c r="AN24" i="9"/>
  <c r="AM24" i="9"/>
  <c r="AL24" i="9"/>
  <c r="AH24" i="9"/>
  <c r="AG24" i="9"/>
  <c r="AF24" i="9"/>
  <c r="AE24" i="9"/>
  <c r="AD24" i="9"/>
  <c r="AC24" i="9"/>
  <c r="AA24" i="9"/>
  <c r="Z24" i="9"/>
  <c r="Y24" i="9"/>
  <c r="X24" i="9"/>
  <c r="W24" i="9"/>
  <c r="T24" i="9"/>
  <c r="S24" i="9"/>
  <c r="R24" i="9"/>
  <c r="Q24" i="9"/>
  <c r="P24" i="9"/>
  <c r="O24" i="9"/>
  <c r="K24" i="9"/>
  <c r="J24" i="9"/>
  <c r="I24" i="9"/>
  <c r="H24" i="9"/>
  <c r="G24" i="9"/>
  <c r="F24" i="9"/>
  <c r="E24" i="9"/>
  <c r="BU23" i="9"/>
  <c r="BT23" i="9"/>
  <c r="BS23" i="9"/>
  <c r="BR23" i="9"/>
  <c r="BQ23" i="9"/>
  <c r="BP23" i="9"/>
  <c r="BO23" i="9"/>
  <c r="BJ23" i="9"/>
  <c r="BI23" i="9"/>
  <c r="BH23" i="9"/>
  <c r="BG23" i="9"/>
  <c r="BF23" i="9"/>
  <c r="BE23" i="9"/>
  <c r="BD23" i="9"/>
  <c r="BC23" i="9"/>
  <c r="BB23" i="9"/>
  <c r="AX23" i="9"/>
  <c r="AW23" i="9"/>
  <c r="AV23" i="9"/>
  <c r="AS23" i="9"/>
  <c r="AR23" i="9"/>
  <c r="AQ23" i="9"/>
  <c r="AP23" i="9"/>
  <c r="AO23" i="9"/>
  <c r="AN23" i="9"/>
  <c r="AM23" i="9"/>
  <c r="AL23" i="9"/>
  <c r="AH23" i="9"/>
  <c r="AG23" i="9"/>
  <c r="AF23" i="9"/>
  <c r="AE23" i="9"/>
  <c r="AD23" i="9"/>
  <c r="AC23" i="9"/>
  <c r="AA23" i="9"/>
  <c r="Z23" i="9"/>
  <c r="Y23" i="9"/>
  <c r="X23" i="9"/>
  <c r="W23" i="9"/>
  <c r="T23" i="9"/>
  <c r="S23" i="9"/>
  <c r="R23" i="9"/>
  <c r="Q23" i="9"/>
  <c r="P23" i="9"/>
  <c r="O23" i="9"/>
  <c r="K23" i="9"/>
  <c r="J23" i="9"/>
  <c r="I23" i="9"/>
  <c r="H23" i="9"/>
  <c r="G23" i="9"/>
  <c r="F23" i="9"/>
  <c r="E23" i="9"/>
  <c r="BU22" i="9"/>
  <c r="BT22" i="9"/>
  <c r="BS22" i="9"/>
  <c r="BR22" i="9"/>
  <c r="BQ22" i="9"/>
  <c r="BP22" i="9"/>
  <c r="BO22" i="9"/>
  <c r="BJ22" i="9"/>
  <c r="BI22" i="9"/>
  <c r="BH22" i="9"/>
  <c r="BG22" i="9"/>
  <c r="BF22" i="9"/>
  <c r="BE22" i="9"/>
  <c r="BD22" i="9"/>
  <c r="BC22" i="9"/>
  <c r="BB22" i="9"/>
  <c r="AX22" i="9"/>
  <c r="AW22" i="9"/>
  <c r="AV22" i="9"/>
  <c r="AS22" i="9"/>
  <c r="AR22" i="9"/>
  <c r="AQ22" i="9"/>
  <c r="AP22" i="9"/>
  <c r="AO22" i="9"/>
  <c r="AN22" i="9"/>
  <c r="AM22" i="9"/>
  <c r="AL22" i="9"/>
  <c r="AH22" i="9"/>
  <c r="AG22" i="9"/>
  <c r="AF22" i="9"/>
  <c r="AE22" i="9"/>
  <c r="AD22" i="9"/>
  <c r="AC22" i="9"/>
  <c r="AA22" i="9"/>
  <c r="Z22" i="9"/>
  <c r="Y22" i="9"/>
  <c r="X22" i="9"/>
  <c r="W22" i="9"/>
  <c r="T22" i="9"/>
  <c r="S22" i="9"/>
  <c r="R22" i="9"/>
  <c r="Q22" i="9"/>
  <c r="P22" i="9"/>
  <c r="O22" i="9"/>
  <c r="K22" i="9"/>
  <c r="J22" i="9"/>
  <c r="I22" i="9"/>
  <c r="H22" i="9"/>
  <c r="G22" i="9"/>
  <c r="F22" i="9"/>
  <c r="E22" i="9"/>
  <c r="BU21" i="9"/>
  <c r="BT21" i="9"/>
  <c r="BS21" i="9"/>
  <c r="BR21" i="9"/>
  <c r="BQ21" i="9"/>
  <c r="BP21" i="9"/>
  <c r="BO21" i="9"/>
  <c r="BJ21" i="9"/>
  <c r="BI21" i="9"/>
  <c r="BH21" i="9"/>
  <c r="BG21" i="9"/>
  <c r="BF21" i="9"/>
  <c r="BE21" i="9"/>
  <c r="BD21" i="9"/>
  <c r="BC21" i="9"/>
  <c r="BB21" i="9"/>
  <c r="AX21" i="9"/>
  <c r="AW21" i="9"/>
  <c r="AV21" i="9"/>
  <c r="AS21" i="9"/>
  <c r="AR21" i="9"/>
  <c r="AQ21" i="9"/>
  <c r="AP21" i="9"/>
  <c r="AO21" i="9"/>
  <c r="AN21" i="9"/>
  <c r="AM21" i="9"/>
  <c r="AL21" i="9"/>
  <c r="AH21" i="9"/>
  <c r="AG21" i="9"/>
  <c r="AF21" i="9"/>
  <c r="AE21" i="9"/>
  <c r="AD21" i="9"/>
  <c r="AC21" i="9"/>
  <c r="AA21" i="9"/>
  <c r="Z21" i="9"/>
  <c r="Y21" i="9"/>
  <c r="X21" i="9"/>
  <c r="W21" i="9"/>
  <c r="T21" i="9"/>
  <c r="S21" i="9"/>
  <c r="R21" i="9"/>
  <c r="Q21" i="9"/>
  <c r="P21" i="9"/>
  <c r="O21" i="9"/>
  <c r="K21" i="9"/>
  <c r="J21" i="9"/>
  <c r="I21" i="9"/>
  <c r="H21" i="9"/>
  <c r="G21" i="9"/>
  <c r="F21" i="9"/>
  <c r="E21" i="9"/>
  <c r="BU20" i="9"/>
  <c r="BT20" i="9"/>
  <c r="BS20" i="9"/>
  <c r="BR20" i="9"/>
  <c r="BQ20" i="9"/>
  <c r="BP20" i="9"/>
  <c r="BO20" i="9"/>
  <c r="BJ20" i="9"/>
  <c r="BI20" i="9"/>
  <c r="BH20" i="9"/>
  <c r="BG20" i="9"/>
  <c r="BF20" i="9"/>
  <c r="BE20" i="9"/>
  <c r="BD20" i="9"/>
  <c r="BC20" i="9"/>
  <c r="BB20" i="9"/>
  <c r="AX20" i="9"/>
  <c r="AW20" i="9"/>
  <c r="AV20" i="9"/>
  <c r="AS20" i="9"/>
  <c r="AR20" i="9"/>
  <c r="AQ20" i="9"/>
  <c r="AP20" i="9"/>
  <c r="AO20" i="9"/>
  <c r="AN20" i="9"/>
  <c r="AM20" i="9"/>
  <c r="AL20" i="9"/>
  <c r="AH20" i="9"/>
  <c r="AG20" i="9"/>
  <c r="AF20" i="9"/>
  <c r="AE20" i="9"/>
  <c r="AD20" i="9"/>
  <c r="AC20" i="9"/>
  <c r="AA20" i="9"/>
  <c r="Z20" i="9"/>
  <c r="Y20" i="9"/>
  <c r="X20" i="9"/>
  <c r="W20" i="9"/>
  <c r="T20" i="9"/>
  <c r="S20" i="9"/>
  <c r="R20" i="9"/>
  <c r="Q20" i="9"/>
  <c r="P20" i="9"/>
  <c r="O20" i="9"/>
  <c r="K20" i="9"/>
  <c r="J20" i="9"/>
  <c r="I20" i="9"/>
  <c r="H20" i="9"/>
  <c r="G20" i="9"/>
  <c r="F20" i="9"/>
  <c r="E20" i="9"/>
  <c r="BU19" i="9"/>
  <c r="BT19" i="9"/>
  <c r="BS19" i="9"/>
  <c r="BR19" i="9"/>
  <c r="BQ19" i="9"/>
  <c r="BP19" i="9"/>
  <c r="BO19" i="9"/>
  <c r="BJ19" i="9"/>
  <c r="BI19" i="9"/>
  <c r="BH19" i="9"/>
  <c r="BG19" i="9"/>
  <c r="BF19" i="9"/>
  <c r="BE19" i="9"/>
  <c r="BD19" i="9"/>
  <c r="BC19" i="9"/>
  <c r="BB19" i="9"/>
  <c r="AX19" i="9"/>
  <c r="AW19" i="9"/>
  <c r="AV19" i="9"/>
  <c r="AS19" i="9"/>
  <c r="AR19" i="9"/>
  <c r="AQ19" i="9"/>
  <c r="AP19" i="9"/>
  <c r="AO19" i="9"/>
  <c r="AN19" i="9"/>
  <c r="AM19" i="9"/>
  <c r="AL19" i="9"/>
  <c r="AH19" i="9"/>
  <c r="AG19" i="9"/>
  <c r="AF19" i="9"/>
  <c r="AE19" i="9"/>
  <c r="AD19" i="9"/>
  <c r="AC19" i="9"/>
  <c r="AA19" i="9"/>
  <c r="Z19" i="9"/>
  <c r="Y19" i="9"/>
  <c r="X19" i="9"/>
  <c r="W19" i="9"/>
  <c r="T19" i="9"/>
  <c r="S19" i="9"/>
  <c r="R19" i="9"/>
  <c r="Q19" i="9"/>
  <c r="P19" i="9"/>
  <c r="O19" i="9"/>
  <c r="K19" i="9"/>
  <c r="J19" i="9"/>
  <c r="I19" i="9"/>
  <c r="H19" i="9"/>
  <c r="G19" i="9"/>
  <c r="F19" i="9"/>
  <c r="E19" i="9"/>
  <c r="BU18" i="9"/>
  <c r="BT18" i="9"/>
  <c r="BS18" i="9"/>
  <c r="BR18" i="9"/>
  <c r="BQ18" i="9"/>
  <c r="BP18" i="9"/>
  <c r="BO18" i="9"/>
  <c r="BJ18" i="9"/>
  <c r="BI18" i="9"/>
  <c r="BH18" i="9"/>
  <c r="BG18" i="9"/>
  <c r="BF18" i="9"/>
  <c r="BE18" i="9"/>
  <c r="BD18" i="9"/>
  <c r="BC18" i="9"/>
  <c r="BB18" i="9"/>
  <c r="AX18" i="9"/>
  <c r="AW18" i="9"/>
  <c r="AV18" i="9"/>
  <c r="AS18" i="9"/>
  <c r="AR18" i="9"/>
  <c r="AQ18" i="9"/>
  <c r="AP18" i="9"/>
  <c r="AO18" i="9"/>
  <c r="AN18" i="9"/>
  <c r="AM18" i="9"/>
  <c r="AL18" i="9"/>
  <c r="AH18" i="9"/>
  <c r="AG18" i="9"/>
  <c r="AF18" i="9"/>
  <c r="AE18" i="9"/>
  <c r="AD18" i="9"/>
  <c r="AC18" i="9"/>
  <c r="AA18" i="9"/>
  <c r="Z18" i="9"/>
  <c r="Y18" i="9"/>
  <c r="X18" i="9"/>
  <c r="W18" i="9"/>
  <c r="T18" i="9"/>
  <c r="S18" i="9"/>
  <c r="R18" i="9"/>
  <c r="Q18" i="9"/>
  <c r="P18" i="9"/>
  <c r="O18" i="9"/>
  <c r="K18" i="9"/>
  <c r="J18" i="9"/>
  <c r="I18" i="9"/>
  <c r="H18" i="9"/>
  <c r="G18" i="9"/>
  <c r="F18" i="9"/>
  <c r="E18" i="9"/>
  <c r="BU17" i="9"/>
  <c r="BT17" i="9"/>
  <c r="BS17" i="9"/>
  <c r="BR17" i="9"/>
  <c r="BQ17" i="9"/>
  <c r="BP17" i="9"/>
  <c r="BO17" i="9"/>
  <c r="BJ17" i="9"/>
  <c r="BI17" i="9"/>
  <c r="BH17" i="9"/>
  <c r="BG17" i="9"/>
  <c r="BF17" i="9"/>
  <c r="BE17" i="9"/>
  <c r="BD17" i="9"/>
  <c r="BC17" i="9"/>
  <c r="BB17" i="9"/>
  <c r="AX17" i="9"/>
  <c r="AW17" i="9"/>
  <c r="AV17" i="9"/>
  <c r="AS17" i="9"/>
  <c r="AR17" i="9"/>
  <c r="AQ17" i="9"/>
  <c r="AP17" i="9"/>
  <c r="AO17" i="9"/>
  <c r="AN17" i="9"/>
  <c r="AM17" i="9"/>
  <c r="AL17" i="9"/>
  <c r="AH17" i="9"/>
  <c r="AG17" i="9"/>
  <c r="AF17" i="9"/>
  <c r="AE17" i="9"/>
  <c r="AD17" i="9"/>
  <c r="AC17" i="9"/>
  <c r="AA17" i="9"/>
  <c r="Z17" i="9"/>
  <c r="Y17" i="9"/>
  <c r="X17" i="9"/>
  <c r="W17" i="9"/>
  <c r="T17" i="9"/>
  <c r="S17" i="9"/>
  <c r="R17" i="9"/>
  <c r="Q17" i="9"/>
  <c r="P17" i="9"/>
  <c r="O17" i="9"/>
  <c r="K17" i="9"/>
  <c r="J17" i="9"/>
  <c r="I17" i="9"/>
  <c r="H17" i="9"/>
  <c r="G17" i="9"/>
  <c r="F17" i="9"/>
  <c r="E17" i="9"/>
  <c r="BU16" i="9"/>
  <c r="BT16" i="9"/>
  <c r="BS16" i="9"/>
  <c r="BR16" i="9"/>
  <c r="BQ16" i="9"/>
  <c r="BP16" i="9"/>
  <c r="BO16" i="9"/>
  <c r="BJ16" i="9"/>
  <c r="BI16" i="9"/>
  <c r="BH16" i="9"/>
  <c r="BG16" i="9"/>
  <c r="BF16" i="9"/>
  <c r="BE16" i="9"/>
  <c r="BD16" i="9"/>
  <c r="BC16" i="9"/>
  <c r="BB16" i="9"/>
  <c r="AX16" i="9"/>
  <c r="AW16" i="9"/>
  <c r="AV16" i="9"/>
  <c r="AS16" i="9"/>
  <c r="AR16" i="9"/>
  <c r="AQ16" i="9"/>
  <c r="AP16" i="9"/>
  <c r="AO16" i="9"/>
  <c r="AN16" i="9"/>
  <c r="AM16" i="9"/>
  <c r="AL16" i="9"/>
  <c r="AH16" i="9"/>
  <c r="AG16" i="9"/>
  <c r="AF16" i="9"/>
  <c r="AE16" i="9"/>
  <c r="AD16" i="9"/>
  <c r="AC16" i="9"/>
  <c r="AA16" i="9"/>
  <c r="Z16" i="9"/>
  <c r="Y16" i="9"/>
  <c r="X16" i="9"/>
  <c r="W16" i="9"/>
  <c r="T16" i="9"/>
  <c r="S16" i="9"/>
  <c r="R16" i="9"/>
  <c r="Q16" i="9"/>
  <c r="P16" i="9"/>
  <c r="O16" i="9"/>
  <c r="K16" i="9"/>
  <c r="J16" i="9"/>
  <c r="I16" i="9"/>
  <c r="H16" i="9"/>
  <c r="G16" i="9"/>
  <c r="F16" i="9"/>
  <c r="E16" i="9"/>
  <c r="BU15" i="9"/>
  <c r="BT15" i="9"/>
  <c r="BS15" i="9"/>
  <c r="BR15" i="9"/>
  <c r="BQ15" i="9"/>
  <c r="BP15" i="9"/>
  <c r="BO15" i="9"/>
  <c r="BJ15" i="9"/>
  <c r="BI15" i="9"/>
  <c r="BH15" i="9"/>
  <c r="BG15" i="9"/>
  <c r="BF15" i="9"/>
  <c r="BE15" i="9"/>
  <c r="BD15" i="9"/>
  <c r="BC15" i="9"/>
  <c r="BB15" i="9"/>
  <c r="AX15" i="9"/>
  <c r="AW15" i="9"/>
  <c r="AV15" i="9"/>
  <c r="AS15" i="9"/>
  <c r="AR15" i="9"/>
  <c r="AQ15" i="9"/>
  <c r="AP15" i="9"/>
  <c r="AO15" i="9"/>
  <c r="AN15" i="9"/>
  <c r="AM15" i="9"/>
  <c r="AL15" i="9"/>
  <c r="AH15" i="9"/>
  <c r="AG15" i="9"/>
  <c r="AF15" i="9"/>
  <c r="AE15" i="9"/>
  <c r="AD15" i="9"/>
  <c r="AC15" i="9"/>
  <c r="AA15" i="9"/>
  <c r="Z15" i="9"/>
  <c r="Y15" i="9"/>
  <c r="X15" i="9"/>
  <c r="W15" i="9"/>
  <c r="T15" i="9"/>
  <c r="S15" i="9"/>
  <c r="R15" i="9"/>
  <c r="Q15" i="9"/>
  <c r="P15" i="9"/>
  <c r="O15" i="9"/>
  <c r="K15" i="9"/>
  <c r="J15" i="9"/>
  <c r="I15" i="9"/>
  <c r="H15" i="9"/>
  <c r="G15" i="9"/>
  <c r="F15" i="9"/>
  <c r="E15" i="9"/>
  <c r="BU14" i="9"/>
  <c r="BT14" i="9"/>
  <c r="BS14" i="9"/>
  <c r="BR14" i="9"/>
  <c r="BQ14" i="9"/>
  <c r="BP14" i="9"/>
  <c r="BO14" i="9"/>
  <c r="BJ14" i="9"/>
  <c r="BI14" i="9"/>
  <c r="BH14" i="9"/>
  <c r="BG14" i="9"/>
  <c r="BF14" i="9"/>
  <c r="BE14" i="9"/>
  <c r="BD14" i="9"/>
  <c r="BC14" i="9"/>
  <c r="BB14" i="9"/>
  <c r="AX14" i="9"/>
  <c r="AW14" i="9"/>
  <c r="AV14" i="9"/>
  <c r="AS14" i="9"/>
  <c r="AR14" i="9"/>
  <c r="AQ14" i="9"/>
  <c r="AP14" i="9"/>
  <c r="AO14" i="9"/>
  <c r="AN14" i="9"/>
  <c r="AM14" i="9"/>
  <c r="AL14" i="9"/>
  <c r="AH14" i="9"/>
  <c r="AG14" i="9"/>
  <c r="AF14" i="9"/>
  <c r="AE14" i="9"/>
  <c r="AD14" i="9"/>
  <c r="AC14" i="9"/>
  <c r="AA14" i="9"/>
  <c r="Z14" i="9"/>
  <c r="Y14" i="9"/>
  <c r="X14" i="9"/>
  <c r="W14" i="9"/>
  <c r="T14" i="9"/>
  <c r="S14" i="9"/>
  <c r="R14" i="9"/>
  <c r="Q14" i="9"/>
  <c r="P14" i="9"/>
  <c r="O14" i="9"/>
  <c r="K14" i="9"/>
  <c r="J14" i="9"/>
  <c r="I14" i="9"/>
  <c r="H14" i="9"/>
  <c r="G14" i="9"/>
  <c r="F14" i="9"/>
  <c r="E14" i="9"/>
  <c r="BU13" i="9"/>
  <c r="BT13" i="9"/>
  <c r="BS13" i="9"/>
  <c r="BR13" i="9"/>
  <c r="BQ13" i="9"/>
  <c r="BP13" i="9"/>
  <c r="BO13" i="9"/>
  <c r="BJ13" i="9"/>
  <c r="BI13" i="9"/>
  <c r="BH13" i="9"/>
  <c r="BG13" i="9"/>
  <c r="BF13" i="9"/>
  <c r="BE13" i="9"/>
  <c r="BD13" i="9"/>
  <c r="BC13" i="9"/>
  <c r="BB13" i="9"/>
  <c r="AX13" i="9"/>
  <c r="AW13" i="9"/>
  <c r="AV13" i="9"/>
  <c r="AS13" i="9"/>
  <c r="AR13" i="9"/>
  <c r="AQ13" i="9"/>
  <c r="AP13" i="9"/>
  <c r="AO13" i="9"/>
  <c r="AN13" i="9"/>
  <c r="AM13" i="9"/>
  <c r="AL13" i="9"/>
  <c r="AH13" i="9"/>
  <c r="AG13" i="9"/>
  <c r="AF13" i="9"/>
  <c r="AE13" i="9"/>
  <c r="AD13" i="9"/>
  <c r="AC13" i="9"/>
  <c r="AA13" i="9"/>
  <c r="Z13" i="9"/>
  <c r="Y13" i="9"/>
  <c r="X13" i="9"/>
  <c r="W13" i="9"/>
  <c r="T13" i="9"/>
  <c r="S13" i="9"/>
  <c r="R13" i="9"/>
  <c r="Q13" i="9"/>
  <c r="P13" i="9"/>
  <c r="O13" i="9"/>
  <c r="K13" i="9"/>
  <c r="J13" i="9"/>
  <c r="I13" i="9"/>
  <c r="H13" i="9"/>
  <c r="G13" i="9"/>
  <c r="F13" i="9"/>
  <c r="E13" i="9"/>
  <c r="BU12" i="9"/>
  <c r="BT12" i="9"/>
  <c r="BS12" i="9"/>
  <c r="BR12" i="9"/>
  <c r="BQ12" i="9"/>
  <c r="BP12" i="9"/>
  <c r="BO12" i="9"/>
  <c r="BJ12" i="9"/>
  <c r="BI12" i="9"/>
  <c r="BH12" i="9"/>
  <c r="BG12" i="9"/>
  <c r="BF12" i="9"/>
  <c r="BE12" i="9"/>
  <c r="BD12" i="9"/>
  <c r="BC12" i="9"/>
  <c r="BB12" i="9"/>
  <c r="AX12" i="9"/>
  <c r="AW12" i="9"/>
  <c r="AV12" i="9"/>
  <c r="AS12" i="9"/>
  <c r="AR12" i="9"/>
  <c r="AQ12" i="9"/>
  <c r="AP12" i="9"/>
  <c r="AO12" i="9"/>
  <c r="AN12" i="9"/>
  <c r="AM12" i="9"/>
  <c r="AL12" i="9"/>
  <c r="AH12" i="9"/>
  <c r="AG12" i="9"/>
  <c r="AF12" i="9"/>
  <c r="AE12" i="9"/>
  <c r="AD12" i="9"/>
  <c r="AC12" i="9"/>
  <c r="AA12" i="9"/>
  <c r="Z12" i="9"/>
  <c r="Y12" i="9"/>
  <c r="X12" i="9"/>
  <c r="W12" i="9"/>
  <c r="T12" i="9"/>
  <c r="S12" i="9"/>
  <c r="R12" i="9"/>
  <c r="Q12" i="9"/>
  <c r="P12" i="9"/>
  <c r="O12" i="9"/>
  <c r="K12" i="9"/>
  <c r="J12" i="9"/>
  <c r="I12" i="9"/>
  <c r="H12" i="9"/>
  <c r="G12" i="9"/>
  <c r="F12" i="9"/>
  <c r="E12" i="9"/>
  <c r="BU11" i="9"/>
  <c r="BT11" i="9"/>
  <c r="BS11" i="9"/>
  <c r="BR11" i="9"/>
  <c r="BQ11" i="9"/>
  <c r="BP11" i="9"/>
  <c r="BO11" i="9"/>
  <c r="BJ11" i="9"/>
  <c r="BI11" i="9"/>
  <c r="BH11" i="9"/>
  <c r="BG11" i="9"/>
  <c r="BF11" i="9"/>
  <c r="BE11" i="9"/>
  <c r="BD11" i="9"/>
  <c r="BC11" i="9"/>
  <c r="BB11" i="9"/>
  <c r="AX11" i="9"/>
  <c r="AW11" i="9"/>
  <c r="AV11" i="9"/>
  <c r="AS11" i="9"/>
  <c r="AR11" i="9"/>
  <c r="AQ11" i="9"/>
  <c r="AP11" i="9"/>
  <c r="AO11" i="9"/>
  <c r="AN11" i="9"/>
  <c r="AM11" i="9"/>
  <c r="AL11" i="9"/>
  <c r="AH11" i="9"/>
  <c r="AG11" i="9"/>
  <c r="AF11" i="9"/>
  <c r="AE11" i="9"/>
  <c r="AD11" i="9"/>
  <c r="AC11" i="9"/>
  <c r="AA11" i="9"/>
  <c r="Z11" i="9"/>
  <c r="Y11" i="9"/>
  <c r="X11" i="9"/>
  <c r="W11" i="9"/>
  <c r="T11" i="9"/>
  <c r="S11" i="9"/>
  <c r="R11" i="9"/>
  <c r="Q11" i="9"/>
  <c r="P11" i="9"/>
  <c r="O11" i="9"/>
  <c r="K11" i="9"/>
  <c r="J11" i="9"/>
  <c r="I11" i="9"/>
  <c r="H11" i="9"/>
  <c r="G11" i="9"/>
  <c r="F11" i="9"/>
  <c r="E11" i="9"/>
  <c r="BU10" i="9"/>
  <c r="BT10" i="9"/>
  <c r="BS10" i="9"/>
  <c r="BR10" i="9"/>
  <c r="BQ10" i="9"/>
  <c r="BP10" i="9"/>
  <c r="BO10" i="9"/>
  <c r="BJ10" i="9"/>
  <c r="BI10" i="9"/>
  <c r="BH10" i="9"/>
  <c r="BG10" i="9"/>
  <c r="BF10" i="9"/>
  <c r="BE10" i="9"/>
  <c r="BD10" i="9"/>
  <c r="BC10" i="9"/>
  <c r="BB10" i="9"/>
  <c r="AX10" i="9"/>
  <c r="AW10" i="9"/>
  <c r="AV10" i="9"/>
  <c r="AS10" i="9"/>
  <c r="AR10" i="9"/>
  <c r="AQ10" i="9"/>
  <c r="AP10" i="9"/>
  <c r="AO10" i="9"/>
  <c r="AN10" i="9"/>
  <c r="AM10" i="9"/>
  <c r="AL10" i="9"/>
  <c r="AH10" i="9"/>
  <c r="AG10" i="9"/>
  <c r="AF10" i="9"/>
  <c r="AE10" i="9"/>
  <c r="AD10" i="9"/>
  <c r="AC10" i="9"/>
  <c r="AA10" i="9"/>
  <c r="Z10" i="9"/>
  <c r="Y10" i="9"/>
  <c r="X10" i="9"/>
  <c r="W10" i="9"/>
  <c r="T10" i="9"/>
  <c r="S10" i="9"/>
  <c r="R10" i="9"/>
  <c r="Q10" i="9"/>
  <c r="P10" i="9"/>
  <c r="O10" i="9"/>
  <c r="K10" i="9"/>
  <c r="J10" i="9"/>
  <c r="I10" i="9"/>
  <c r="H10" i="9"/>
  <c r="G10" i="9"/>
  <c r="F10" i="9"/>
  <c r="E10" i="9"/>
  <c r="BU9" i="9"/>
  <c r="BT9" i="9"/>
  <c r="BS9" i="9"/>
  <c r="BR9" i="9"/>
  <c r="BQ9" i="9"/>
  <c r="BP9" i="9"/>
  <c r="BO9" i="9"/>
  <c r="BJ9" i="9"/>
  <c r="BI9" i="9"/>
  <c r="BH9" i="9"/>
  <c r="BG9" i="9"/>
  <c r="BF9" i="9"/>
  <c r="BE9" i="9"/>
  <c r="BD9" i="9"/>
  <c r="BC9" i="9"/>
  <c r="BB9" i="9"/>
  <c r="AX9" i="9"/>
  <c r="AW9" i="9"/>
  <c r="AV9" i="9"/>
  <c r="AS9" i="9"/>
  <c r="AR9" i="9"/>
  <c r="AQ9" i="9"/>
  <c r="AP9" i="9"/>
  <c r="AO9" i="9"/>
  <c r="AN9" i="9"/>
  <c r="AM9" i="9"/>
  <c r="AL9" i="9"/>
  <c r="AH9" i="9"/>
  <c r="AG9" i="9"/>
  <c r="AF9" i="9"/>
  <c r="AE9" i="9"/>
  <c r="AD9" i="9"/>
  <c r="AC9" i="9"/>
  <c r="AA9" i="9"/>
  <c r="Z9" i="9"/>
  <c r="Y9" i="9"/>
  <c r="X9" i="9"/>
  <c r="W9" i="9"/>
  <c r="T9" i="9"/>
  <c r="S9" i="9"/>
  <c r="R9" i="9"/>
  <c r="Q9" i="9"/>
  <c r="P9" i="9"/>
  <c r="O9" i="9"/>
  <c r="K9" i="9"/>
  <c r="J9" i="9"/>
  <c r="I9" i="9"/>
  <c r="H9" i="9"/>
  <c r="G9" i="9"/>
  <c r="F9" i="9"/>
  <c r="E9" i="9"/>
  <c r="BU8" i="9"/>
  <c r="BT8" i="9"/>
  <c r="BS8" i="9"/>
  <c r="BR8" i="9"/>
  <c r="BQ8" i="9"/>
  <c r="BP8" i="9"/>
  <c r="BO8" i="9"/>
  <c r="BJ8" i="9"/>
  <c r="BI8" i="9"/>
  <c r="BH8" i="9"/>
  <c r="BG8" i="9"/>
  <c r="BF8" i="9"/>
  <c r="BE8" i="9"/>
  <c r="BD8" i="9"/>
  <c r="BC8" i="9"/>
  <c r="BB8" i="9"/>
  <c r="AX8" i="9"/>
  <c r="AW8" i="9"/>
  <c r="AV8" i="9"/>
  <c r="AS8" i="9"/>
  <c r="AR8" i="9"/>
  <c r="AQ8" i="9"/>
  <c r="AP8" i="9"/>
  <c r="AO8" i="9"/>
  <c r="AN8" i="9"/>
  <c r="AM8" i="9"/>
  <c r="AL8" i="9"/>
  <c r="AH8" i="9"/>
  <c r="AG8" i="9"/>
  <c r="AF8" i="9"/>
  <c r="AE8" i="9"/>
  <c r="AD8" i="9"/>
  <c r="AC8" i="9"/>
  <c r="AA8" i="9"/>
  <c r="Z8" i="9"/>
  <c r="Y8" i="9"/>
  <c r="X8" i="9"/>
  <c r="W8" i="9"/>
  <c r="T8" i="9"/>
  <c r="S8" i="9"/>
  <c r="R8" i="9"/>
  <c r="Q8" i="9"/>
  <c r="P8" i="9"/>
  <c r="O8" i="9"/>
  <c r="K8" i="9"/>
  <c r="J8" i="9"/>
  <c r="I8" i="9"/>
  <c r="H8" i="9"/>
  <c r="G8" i="9"/>
  <c r="F8" i="9"/>
  <c r="E8" i="9"/>
  <c r="BU7" i="9"/>
  <c r="BT7" i="9"/>
  <c r="BS7" i="9"/>
  <c r="BR7" i="9"/>
  <c r="BQ7" i="9"/>
  <c r="BP7" i="9"/>
  <c r="BO7" i="9"/>
  <c r="BJ7" i="9"/>
  <c r="BI7" i="9"/>
  <c r="BH7" i="9"/>
  <c r="BG7" i="9"/>
  <c r="BF7" i="9"/>
  <c r="BE7" i="9"/>
  <c r="BD7" i="9"/>
  <c r="BC7" i="9"/>
  <c r="BB7" i="9"/>
  <c r="AX7" i="9"/>
  <c r="AW7" i="9"/>
  <c r="AV7" i="9"/>
  <c r="AS7" i="9"/>
  <c r="AR7" i="9"/>
  <c r="AQ7" i="9"/>
  <c r="AP7" i="9"/>
  <c r="AO7" i="9"/>
  <c r="AN7" i="9"/>
  <c r="AM7" i="9"/>
  <c r="AL7" i="9"/>
  <c r="AH7" i="9"/>
  <c r="AG7" i="9"/>
  <c r="AF7" i="9"/>
  <c r="AE7" i="9"/>
  <c r="AD7" i="9"/>
  <c r="AC7" i="9"/>
  <c r="AA7" i="9"/>
  <c r="Z7" i="9"/>
  <c r="Y7" i="9"/>
  <c r="X7" i="9"/>
  <c r="W7" i="9"/>
  <c r="T7" i="9"/>
  <c r="S7" i="9"/>
  <c r="R7" i="9"/>
  <c r="Q7" i="9"/>
  <c r="P7" i="9"/>
  <c r="O7" i="9"/>
  <c r="K7" i="9"/>
  <c r="J7" i="9"/>
  <c r="I7" i="9"/>
  <c r="H7" i="9"/>
  <c r="G7" i="9"/>
  <c r="F7" i="9"/>
  <c r="E7" i="9"/>
  <c r="BU6" i="9"/>
  <c r="BT6" i="9"/>
  <c r="BS6" i="9"/>
  <c r="BR6" i="9"/>
  <c r="BQ6" i="9"/>
  <c r="BP6" i="9"/>
  <c r="BO6" i="9"/>
  <c r="BJ6" i="9"/>
  <c r="BI6" i="9"/>
  <c r="BH6" i="9"/>
  <c r="BG6" i="9"/>
  <c r="BF6" i="9"/>
  <c r="BE6" i="9"/>
  <c r="BD6" i="9"/>
  <c r="BC6" i="9"/>
  <c r="BB6" i="9"/>
  <c r="AX6" i="9"/>
  <c r="AW6" i="9"/>
  <c r="AV6" i="9"/>
  <c r="AS6" i="9"/>
  <c r="AR6" i="9"/>
  <c r="AQ6" i="9"/>
  <c r="AP6" i="9"/>
  <c r="AO6" i="9"/>
  <c r="AN6" i="9"/>
  <c r="AM6" i="9"/>
  <c r="AL6" i="9"/>
  <c r="AH6" i="9"/>
  <c r="AG6" i="9"/>
  <c r="AF6" i="9"/>
  <c r="AE6" i="9"/>
  <c r="AD6" i="9"/>
  <c r="AC6" i="9"/>
  <c r="AA6" i="9"/>
  <c r="Z6" i="9"/>
  <c r="Y6" i="9"/>
  <c r="X6" i="9"/>
  <c r="W6" i="9"/>
  <c r="T6" i="9"/>
  <c r="S6" i="9"/>
  <c r="R6" i="9"/>
  <c r="Q6" i="9"/>
  <c r="P6" i="9"/>
  <c r="O6" i="9"/>
  <c r="K6" i="9"/>
  <c r="J6" i="9"/>
  <c r="I6" i="9"/>
  <c r="H6" i="9"/>
  <c r="G6" i="9"/>
  <c r="F6" i="9"/>
  <c r="E6" i="9"/>
  <c r="BU5" i="9"/>
  <c r="BT5" i="9"/>
  <c r="BS5" i="9"/>
  <c r="BR5" i="9"/>
  <c r="BQ5" i="9"/>
  <c r="BP5" i="9"/>
  <c r="BO5" i="9"/>
  <c r="BJ5" i="9"/>
  <c r="BI5" i="9"/>
  <c r="BH5" i="9"/>
  <c r="BG5" i="9"/>
  <c r="BF5" i="9"/>
  <c r="BE5" i="9"/>
  <c r="BD5" i="9"/>
  <c r="BC5" i="9"/>
  <c r="BB5" i="9"/>
  <c r="AX5" i="9"/>
  <c r="AW5" i="9"/>
  <c r="AV5" i="9"/>
  <c r="AS5" i="9"/>
  <c r="AR5" i="9"/>
  <c r="AQ5" i="9"/>
  <c r="AP5" i="9"/>
  <c r="AO5" i="9"/>
  <c r="AN5" i="9"/>
  <c r="AM5" i="9"/>
  <c r="AL5" i="9"/>
  <c r="AH5" i="9"/>
  <c r="AG5" i="9"/>
  <c r="AF5" i="9"/>
  <c r="AE5" i="9"/>
  <c r="AD5" i="9"/>
  <c r="AC5" i="9"/>
  <c r="AA5" i="9"/>
  <c r="Z5" i="9"/>
  <c r="Y5" i="9"/>
  <c r="X5" i="9"/>
  <c r="W5" i="9"/>
  <c r="T5" i="9"/>
  <c r="S5" i="9"/>
  <c r="R5" i="9"/>
  <c r="Q5" i="9"/>
  <c r="P5" i="9"/>
  <c r="O5" i="9"/>
  <c r="K5" i="9"/>
  <c r="J5" i="9"/>
  <c r="I5" i="9"/>
  <c r="H5" i="9"/>
  <c r="G5" i="9"/>
  <c r="F5" i="9"/>
  <c r="E5" i="9"/>
  <c r="BU4" i="9"/>
  <c r="BT4" i="9"/>
  <c r="BS4" i="9"/>
  <c r="BR4" i="9"/>
  <c r="BQ4" i="9"/>
  <c r="BP4" i="9"/>
  <c r="BO4" i="9"/>
  <c r="BJ4" i="9"/>
  <c r="BI4" i="9"/>
  <c r="BH4" i="9"/>
  <c r="BG4" i="9"/>
  <c r="BF4" i="9"/>
  <c r="BE4" i="9"/>
  <c r="BD4" i="9"/>
  <c r="BC4" i="9"/>
  <c r="BB4" i="9"/>
  <c r="AX4" i="9"/>
  <c r="AW4" i="9"/>
  <c r="AV4" i="9"/>
  <c r="AS4" i="9"/>
  <c r="AR4" i="9"/>
  <c r="AQ4" i="9"/>
  <c r="AP4" i="9"/>
  <c r="AO4" i="9"/>
  <c r="AN4" i="9"/>
  <c r="AM4" i="9"/>
  <c r="AL4" i="9"/>
  <c r="AH4" i="9"/>
  <c r="AG4" i="9"/>
  <c r="AF4" i="9"/>
  <c r="AE4" i="9"/>
  <c r="AD4" i="9"/>
  <c r="AC4" i="9"/>
  <c r="AA4" i="9"/>
  <c r="Z4" i="9"/>
  <c r="Y4" i="9"/>
  <c r="X4" i="9"/>
  <c r="W4" i="9"/>
  <c r="T4" i="9"/>
  <c r="S4" i="9"/>
  <c r="R4" i="9"/>
  <c r="Q4" i="9"/>
  <c r="P4" i="9"/>
  <c r="O4" i="9"/>
  <c r="K4" i="9"/>
  <c r="J4" i="9"/>
  <c r="I4" i="9"/>
  <c r="H4" i="9"/>
  <c r="G4" i="9"/>
  <c r="F4" i="9"/>
  <c r="E4" i="9"/>
  <c r="BU3" i="9"/>
  <c r="BT3" i="9"/>
  <c r="BS3" i="9"/>
  <c r="BR3" i="9"/>
  <c r="BQ3" i="9"/>
  <c r="BP3" i="9"/>
  <c r="BO3" i="9"/>
  <c r="BJ3" i="9"/>
  <c r="BI3" i="9"/>
  <c r="BH3" i="9"/>
  <c r="BG3" i="9"/>
  <c r="BF3" i="9"/>
  <c r="BE3" i="9"/>
  <c r="BD3" i="9"/>
  <c r="BC3" i="9"/>
  <c r="BB3" i="9"/>
  <c r="AX3" i="9"/>
  <c r="AW3" i="9"/>
  <c r="AV3" i="9"/>
  <c r="AS3" i="9"/>
  <c r="AR3" i="9"/>
  <c r="AQ3" i="9"/>
  <c r="AP3" i="9"/>
  <c r="AO3" i="9"/>
  <c r="AN3" i="9"/>
  <c r="AM3" i="9"/>
  <c r="AL3" i="9"/>
  <c r="AH3" i="9"/>
  <c r="AG3" i="9"/>
  <c r="AF3" i="9"/>
  <c r="AE3" i="9"/>
  <c r="AD3" i="9"/>
  <c r="AC3" i="9"/>
  <c r="AA3" i="9"/>
  <c r="Z3" i="9"/>
  <c r="Y3" i="9"/>
  <c r="X3" i="9"/>
  <c r="W3" i="9"/>
  <c r="T3" i="9"/>
  <c r="S3" i="9"/>
  <c r="R3" i="9"/>
  <c r="Q3" i="9"/>
  <c r="P3" i="9"/>
  <c r="O3" i="9"/>
  <c r="K3" i="9"/>
  <c r="J3" i="9"/>
  <c r="I3" i="9"/>
  <c r="H3" i="9"/>
  <c r="G3" i="9"/>
  <c r="F3" i="9"/>
  <c r="E3" i="9"/>
  <c r="BU19" i="8"/>
  <c r="BT19" i="8"/>
  <c r="BS19" i="8"/>
  <c r="BR19" i="8"/>
  <c r="BQ19" i="8"/>
  <c r="BP19" i="8"/>
  <c r="BO19" i="8"/>
  <c r="BJ19" i="8"/>
  <c r="BI19" i="8"/>
  <c r="BH19" i="8"/>
  <c r="BG19" i="8"/>
  <c r="BF19" i="8"/>
  <c r="BE19" i="8"/>
  <c r="BD19" i="8"/>
  <c r="BC19" i="8"/>
  <c r="BB19" i="8"/>
  <c r="AX19" i="8"/>
  <c r="AW19" i="8"/>
  <c r="AV19" i="8"/>
  <c r="AS19" i="8"/>
  <c r="AR19" i="8"/>
  <c r="AQ19" i="8"/>
  <c r="AP19" i="8"/>
  <c r="AO19" i="8"/>
  <c r="AN19" i="8"/>
  <c r="AM19" i="8"/>
  <c r="AL19" i="8"/>
  <c r="AH19" i="8"/>
  <c r="AG19" i="8"/>
  <c r="AF19" i="8"/>
  <c r="AE19" i="8"/>
  <c r="AD19" i="8"/>
  <c r="AC19" i="8"/>
  <c r="AA19" i="8"/>
  <c r="Z19" i="8"/>
  <c r="Y19" i="8"/>
  <c r="X19" i="8"/>
  <c r="W19" i="8"/>
  <c r="T19" i="8"/>
  <c r="S19" i="8"/>
  <c r="R19" i="8"/>
  <c r="Q19" i="8"/>
  <c r="P19" i="8"/>
  <c r="O19" i="8"/>
  <c r="K19" i="8"/>
  <c r="J19" i="8"/>
  <c r="I19" i="8"/>
  <c r="H19" i="8"/>
  <c r="G19" i="8"/>
  <c r="F19" i="8"/>
  <c r="E19" i="8"/>
  <c r="BU18" i="8"/>
  <c r="BT18" i="8"/>
  <c r="BS18" i="8"/>
  <c r="BR18" i="8"/>
  <c r="BQ18" i="8"/>
  <c r="BP18" i="8"/>
  <c r="BO18" i="8"/>
  <c r="BJ18" i="8"/>
  <c r="BI18" i="8"/>
  <c r="BH18" i="8"/>
  <c r="BG18" i="8"/>
  <c r="BF18" i="8"/>
  <c r="BE18" i="8"/>
  <c r="BD18" i="8"/>
  <c r="BC18" i="8"/>
  <c r="BB18" i="8"/>
  <c r="AX18" i="8"/>
  <c r="AW18" i="8"/>
  <c r="AV18" i="8"/>
  <c r="AS18" i="8"/>
  <c r="AR18" i="8"/>
  <c r="AQ18" i="8"/>
  <c r="AP18" i="8"/>
  <c r="AO18" i="8"/>
  <c r="AN18" i="8"/>
  <c r="AM18" i="8"/>
  <c r="AL18" i="8"/>
  <c r="AH18" i="8"/>
  <c r="AG18" i="8"/>
  <c r="AF18" i="8"/>
  <c r="AE18" i="8"/>
  <c r="AD18" i="8"/>
  <c r="AC18" i="8"/>
  <c r="AA18" i="8"/>
  <c r="Z18" i="8"/>
  <c r="Y18" i="8"/>
  <c r="X18" i="8"/>
  <c r="W18" i="8"/>
  <c r="T18" i="8"/>
  <c r="S18" i="8"/>
  <c r="R18" i="8"/>
  <c r="Q18" i="8"/>
  <c r="P18" i="8"/>
  <c r="O18" i="8"/>
  <c r="K18" i="8"/>
  <c r="J18" i="8"/>
  <c r="I18" i="8"/>
  <c r="H18" i="8"/>
  <c r="G18" i="8"/>
  <c r="F18" i="8"/>
  <c r="E18" i="8"/>
  <c r="BU17" i="8"/>
  <c r="BT17" i="8"/>
  <c r="BS17" i="8"/>
  <c r="BR17" i="8"/>
  <c r="BQ17" i="8"/>
  <c r="BP17" i="8"/>
  <c r="BO17" i="8"/>
  <c r="BJ17" i="8"/>
  <c r="BI17" i="8"/>
  <c r="BH17" i="8"/>
  <c r="BG17" i="8"/>
  <c r="BF17" i="8"/>
  <c r="BE17" i="8"/>
  <c r="BD17" i="8"/>
  <c r="BC17" i="8"/>
  <c r="BB17" i="8"/>
  <c r="AX17" i="8"/>
  <c r="AW17" i="8"/>
  <c r="AV17" i="8"/>
  <c r="AS17" i="8"/>
  <c r="AR17" i="8"/>
  <c r="AQ17" i="8"/>
  <c r="AP17" i="8"/>
  <c r="AO17" i="8"/>
  <c r="AN17" i="8"/>
  <c r="AM17" i="8"/>
  <c r="AL17" i="8"/>
  <c r="AH17" i="8"/>
  <c r="AG17" i="8"/>
  <c r="AF17" i="8"/>
  <c r="AE17" i="8"/>
  <c r="AD17" i="8"/>
  <c r="AC17" i="8"/>
  <c r="AA17" i="8"/>
  <c r="Z17" i="8"/>
  <c r="Y17" i="8"/>
  <c r="X17" i="8"/>
  <c r="W17" i="8"/>
  <c r="T17" i="8"/>
  <c r="S17" i="8"/>
  <c r="R17" i="8"/>
  <c r="Q17" i="8"/>
  <c r="P17" i="8"/>
  <c r="O17" i="8"/>
  <c r="K17" i="8"/>
  <c r="J17" i="8"/>
  <c r="I17" i="8"/>
  <c r="H17" i="8"/>
  <c r="G17" i="8"/>
  <c r="F17" i="8"/>
  <c r="E17" i="8"/>
  <c r="BU16" i="8"/>
  <c r="BT16" i="8"/>
  <c r="BS16" i="8"/>
  <c r="BR16" i="8"/>
  <c r="BQ16" i="8"/>
  <c r="BP16" i="8"/>
  <c r="BO16" i="8"/>
  <c r="BJ16" i="8"/>
  <c r="BI16" i="8"/>
  <c r="BH16" i="8"/>
  <c r="BG16" i="8"/>
  <c r="BF16" i="8"/>
  <c r="BE16" i="8"/>
  <c r="BD16" i="8"/>
  <c r="BC16" i="8"/>
  <c r="BB16" i="8"/>
  <c r="AX16" i="8"/>
  <c r="AW16" i="8"/>
  <c r="AV16" i="8"/>
  <c r="AS16" i="8"/>
  <c r="AR16" i="8"/>
  <c r="AQ16" i="8"/>
  <c r="AP16" i="8"/>
  <c r="AO16" i="8"/>
  <c r="AN16" i="8"/>
  <c r="AM16" i="8"/>
  <c r="AL16" i="8"/>
  <c r="AH16" i="8"/>
  <c r="AG16" i="8"/>
  <c r="AF16" i="8"/>
  <c r="AE16" i="8"/>
  <c r="AD16" i="8"/>
  <c r="AC16" i="8"/>
  <c r="AA16" i="8"/>
  <c r="Z16" i="8"/>
  <c r="Y16" i="8"/>
  <c r="X16" i="8"/>
  <c r="W16" i="8"/>
  <c r="T16" i="8"/>
  <c r="S16" i="8"/>
  <c r="R16" i="8"/>
  <c r="Q16" i="8"/>
  <c r="P16" i="8"/>
  <c r="O16" i="8"/>
  <c r="K16" i="8"/>
  <c r="J16" i="8"/>
  <c r="I16" i="8"/>
  <c r="H16" i="8"/>
  <c r="G16" i="8"/>
  <c r="F16" i="8"/>
  <c r="E16" i="8"/>
  <c r="BU15" i="8"/>
  <c r="BT15" i="8"/>
  <c r="BS15" i="8"/>
  <c r="BR15" i="8"/>
  <c r="BQ15" i="8"/>
  <c r="BP15" i="8"/>
  <c r="BO15" i="8"/>
  <c r="BJ15" i="8"/>
  <c r="BI15" i="8"/>
  <c r="BH15" i="8"/>
  <c r="BG15" i="8"/>
  <c r="BF15" i="8"/>
  <c r="BE15" i="8"/>
  <c r="BD15" i="8"/>
  <c r="BC15" i="8"/>
  <c r="BB15" i="8"/>
  <c r="AX15" i="8"/>
  <c r="AW15" i="8"/>
  <c r="AV15" i="8"/>
  <c r="AS15" i="8"/>
  <c r="AR15" i="8"/>
  <c r="AQ15" i="8"/>
  <c r="AP15" i="8"/>
  <c r="AO15" i="8"/>
  <c r="AN15" i="8"/>
  <c r="AM15" i="8"/>
  <c r="AL15" i="8"/>
  <c r="AH15" i="8"/>
  <c r="AG15" i="8"/>
  <c r="AF15" i="8"/>
  <c r="AE15" i="8"/>
  <c r="AD15" i="8"/>
  <c r="AC15" i="8"/>
  <c r="AA15" i="8"/>
  <c r="Z15" i="8"/>
  <c r="Y15" i="8"/>
  <c r="X15" i="8"/>
  <c r="W15" i="8"/>
  <c r="T15" i="8"/>
  <c r="S15" i="8"/>
  <c r="R15" i="8"/>
  <c r="Q15" i="8"/>
  <c r="P15" i="8"/>
  <c r="O15" i="8"/>
  <c r="K15" i="8"/>
  <c r="J15" i="8"/>
  <c r="I15" i="8"/>
  <c r="H15" i="8"/>
  <c r="G15" i="8"/>
  <c r="F15" i="8"/>
  <c r="E15" i="8"/>
  <c r="BU14" i="8"/>
  <c r="BT14" i="8"/>
  <c r="BS14" i="8"/>
  <c r="BR14" i="8"/>
  <c r="BQ14" i="8"/>
  <c r="BP14" i="8"/>
  <c r="BO14" i="8"/>
  <c r="BJ14" i="8"/>
  <c r="BI14" i="8"/>
  <c r="BH14" i="8"/>
  <c r="BG14" i="8"/>
  <c r="BF14" i="8"/>
  <c r="BE14" i="8"/>
  <c r="BD14" i="8"/>
  <c r="BC14" i="8"/>
  <c r="BB14" i="8"/>
  <c r="AX14" i="8"/>
  <c r="AW14" i="8"/>
  <c r="AV14" i="8"/>
  <c r="AS14" i="8"/>
  <c r="AR14" i="8"/>
  <c r="AQ14" i="8"/>
  <c r="AP14" i="8"/>
  <c r="AO14" i="8"/>
  <c r="AN14" i="8"/>
  <c r="AM14" i="8"/>
  <c r="AL14" i="8"/>
  <c r="AH14" i="8"/>
  <c r="AG14" i="8"/>
  <c r="AF14" i="8"/>
  <c r="AE14" i="8"/>
  <c r="AD14" i="8"/>
  <c r="AC14" i="8"/>
  <c r="AA14" i="8"/>
  <c r="Z14" i="8"/>
  <c r="Y14" i="8"/>
  <c r="X14" i="8"/>
  <c r="W14" i="8"/>
  <c r="T14" i="8"/>
  <c r="S14" i="8"/>
  <c r="R14" i="8"/>
  <c r="Q14" i="8"/>
  <c r="P14" i="8"/>
  <c r="O14" i="8"/>
  <c r="K14" i="8"/>
  <c r="J14" i="8"/>
  <c r="I14" i="8"/>
  <c r="H14" i="8"/>
  <c r="G14" i="8"/>
  <c r="F14" i="8"/>
  <c r="E14" i="8"/>
  <c r="BU13" i="8"/>
  <c r="BT13" i="8"/>
  <c r="BS13" i="8"/>
  <c r="BR13" i="8"/>
  <c r="BQ13" i="8"/>
  <c r="BP13" i="8"/>
  <c r="BO13" i="8"/>
  <c r="BJ13" i="8"/>
  <c r="BI13" i="8"/>
  <c r="BH13" i="8"/>
  <c r="BG13" i="8"/>
  <c r="BF13" i="8"/>
  <c r="BE13" i="8"/>
  <c r="BD13" i="8"/>
  <c r="BC13" i="8"/>
  <c r="BB13" i="8"/>
  <c r="AX13" i="8"/>
  <c r="AW13" i="8"/>
  <c r="AV13" i="8"/>
  <c r="AS13" i="8"/>
  <c r="AR13" i="8"/>
  <c r="AQ13" i="8"/>
  <c r="AP13" i="8"/>
  <c r="AO13" i="8"/>
  <c r="AN13" i="8"/>
  <c r="AM13" i="8"/>
  <c r="AL13" i="8"/>
  <c r="AH13" i="8"/>
  <c r="AG13" i="8"/>
  <c r="AF13" i="8"/>
  <c r="AE13" i="8"/>
  <c r="AD13" i="8"/>
  <c r="AC13" i="8"/>
  <c r="AA13" i="8"/>
  <c r="Z13" i="8"/>
  <c r="Y13" i="8"/>
  <c r="X13" i="8"/>
  <c r="W13" i="8"/>
  <c r="T13" i="8"/>
  <c r="S13" i="8"/>
  <c r="R13" i="8"/>
  <c r="Q13" i="8"/>
  <c r="P13" i="8"/>
  <c r="O13" i="8"/>
  <c r="K13" i="8"/>
  <c r="J13" i="8"/>
  <c r="I13" i="8"/>
  <c r="H13" i="8"/>
  <c r="G13" i="8"/>
  <c r="F13" i="8"/>
  <c r="E13" i="8"/>
  <c r="BU12" i="8"/>
  <c r="BT12" i="8"/>
  <c r="BS12" i="8"/>
  <c r="BR12" i="8"/>
  <c r="BQ12" i="8"/>
  <c r="BP12" i="8"/>
  <c r="BO12" i="8"/>
  <c r="BJ12" i="8"/>
  <c r="BI12" i="8"/>
  <c r="BH12" i="8"/>
  <c r="BG12" i="8"/>
  <c r="BF12" i="8"/>
  <c r="BE12" i="8"/>
  <c r="BD12" i="8"/>
  <c r="BC12" i="8"/>
  <c r="BB12" i="8"/>
  <c r="AX12" i="8"/>
  <c r="AW12" i="8"/>
  <c r="AV12" i="8"/>
  <c r="AS12" i="8"/>
  <c r="AR12" i="8"/>
  <c r="AQ12" i="8"/>
  <c r="AP12" i="8"/>
  <c r="AO12" i="8"/>
  <c r="AN12" i="8"/>
  <c r="AM12" i="8"/>
  <c r="AL12" i="8"/>
  <c r="AH12" i="8"/>
  <c r="AG12" i="8"/>
  <c r="AF12" i="8"/>
  <c r="AE12" i="8"/>
  <c r="AD12" i="8"/>
  <c r="AC12" i="8"/>
  <c r="AA12" i="8"/>
  <c r="Z12" i="8"/>
  <c r="Y12" i="8"/>
  <c r="X12" i="8"/>
  <c r="W12" i="8"/>
  <c r="T12" i="8"/>
  <c r="S12" i="8"/>
  <c r="R12" i="8"/>
  <c r="Q12" i="8"/>
  <c r="P12" i="8"/>
  <c r="O12" i="8"/>
  <c r="K12" i="8"/>
  <c r="J12" i="8"/>
  <c r="I12" i="8"/>
  <c r="H12" i="8"/>
  <c r="G12" i="8"/>
  <c r="F12" i="8"/>
  <c r="E12" i="8"/>
  <c r="BU11" i="8"/>
  <c r="BT11" i="8"/>
  <c r="BS11" i="8"/>
  <c r="BR11" i="8"/>
  <c r="BQ11" i="8"/>
  <c r="BP11" i="8"/>
  <c r="BO11" i="8"/>
  <c r="BJ11" i="8"/>
  <c r="BI11" i="8"/>
  <c r="BH11" i="8"/>
  <c r="BG11" i="8"/>
  <c r="BF11" i="8"/>
  <c r="BE11" i="8"/>
  <c r="BD11" i="8"/>
  <c r="BC11" i="8"/>
  <c r="BB11" i="8"/>
  <c r="AX11" i="8"/>
  <c r="AW11" i="8"/>
  <c r="AV11" i="8"/>
  <c r="AS11" i="8"/>
  <c r="AR11" i="8"/>
  <c r="AQ11" i="8"/>
  <c r="AP11" i="8"/>
  <c r="AO11" i="8"/>
  <c r="AN11" i="8"/>
  <c r="AM11" i="8"/>
  <c r="AL11" i="8"/>
  <c r="AH11" i="8"/>
  <c r="AG11" i="8"/>
  <c r="AF11" i="8"/>
  <c r="AE11" i="8"/>
  <c r="AD11" i="8"/>
  <c r="AC11" i="8"/>
  <c r="AA11" i="8"/>
  <c r="Z11" i="8"/>
  <c r="Y11" i="8"/>
  <c r="X11" i="8"/>
  <c r="W11" i="8"/>
  <c r="T11" i="8"/>
  <c r="S11" i="8"/>
  <c r="R11" i="8"/>
  <c r="Q11" i="8"/>
  <c r="P11" i="8"/>
  <c r="O11" i="8"/>
  <c r="K11" i="8"/>
  <c r="J11" i="8"/>
  <c r="I11" i="8"/>
  <c r="H11" i="8"/>
  <c r="G11" i="8"/>
  <c r="F11" i="8"/>
  <c r="E11" i="8"/>
  <c r="BU10" i="8"/>
  <c r="BT10" i="8"/>
  <c r="BS10" i="8"/>
  <c r="BR10" i="8"/>
  <c r="BQ10" i="8"/>
  <c r="BP10" i="8"/>
  <c r="BO10" i="8"/>
  <c r="BJ10" i="8"/>
  <c r="BI10" i="8"/>
  <c r="BH10" i="8"/>
  <c r="BG10" i="8"/>
  <c r="BF10" i="8"/>
  <c r="BE10" i="8"/>
  <c r="BD10" i="8"/>
  <c r="BC10" i="8"/>
  <c r="BB10" i="8"/>
  <c r="AX10" i="8"/>
  <c r="AW10" i="8"/>
  <c r="AV10" i="8"/>
  <c r="AS10" i="8"/>
  <c r="AR10" i="8"/>
  <c r="AQ10" i="8"/>
  <c r="AP10" i="8"/>
  <c r="AO10" i="8"/>
  <c r="AN10" i="8"/>
  <c r="AM10" i="8"/>
  <c r="AL10" i="8"/>
  <c r="AH10" i="8"/>
  <c r="AG10" i="8"/>
  <c r="AF10" i="8"/>
  <c r="AE10" i="8"/>
  <c r="AD10" i="8"/>
  <c r="AC10" i="8"/>
  <c r="AA10" i="8"/>
  <c r="Z10" i="8"/>
  <c r="Y10" i="8"/>
  <c r="X10" i="8"/>
  <c r="W10" i="8"/>
  <c r="T10" i="8"/>
  <c r="S10" i="8"/>
  <c r="R10" i="8"/>
  <c r="Q10" i="8"/>
  <c r="P10" i="8"/>
  <c r="O10" i="8"/>
  <c r="K10" i="8"/>
  <c r="J10" i="8"/>
  <c r="I10" i="8"/>
  <c r="H10" i="8"/>
  <c r="G10" i="8"/>
  <c r="F10" i="8"/>
  <c r="E10" i="8"/>
  <c r="BU9" i="8"/>
  <c r="BT9" i="8"/>
  <c r="BS9" i="8"/>
  <c r="BR9" i="8"/>
  <c r="BQ9" i="8"/>
  <c r="BP9" i="8"/>
  <c r="BO9" i="8"/>
  <c r="BJ9" i="8"/>
  <c r="BI9" i="8"/>
  <c r="BH9" i="8"/>
  <c r="BG9" i="8"/>
  <c r="BF9" i="8"/>
  <c r="BE9" i="8"/>
  <c r="BD9" i="8"/>
  <c r="BC9" i="8"/>
  <c r="BB9" i="8"/>
  <c r="AX9" i="8"/>
  <c r="AW9" i="8"/>
  <c r="AV9" i="8"/>
  <c r="AS9" i="8"/>
  <c r="AR9" i="8"/>
  <c r="AQ9" i="8"/>
  <c r="AP9" i="8"/>
  <c r="AO9" i="8"/>
  <c r="AN9" i="8"/>
  <c r="AM9" i="8"/>
  <c r="AL9" i="8"/>
  <c r="AH9" i="8"/>
  <c r="AG9" i="8"/>
  <c r="AF9" i="8"/>
  <c r="AE9" i="8"/>
  <c r="AD9" i="8"/>
  <c r="AC9" i="8"/>
  <c r="AA9" i="8"/>
  <c r="Z9" i="8"/>
  <c r="Y9" i="8"/>
  <c r="X9" i="8"/>
  <c r="W9" i="8"/>
  <c r="T9" i="8"/>
  <c r="S9" i="8"/>
  <c r="R9" i="8"/>
  <c r="Q9" i="8"/>
  <c r="P9" i="8"/>
  <c r="O9" i="8"/>
  <c r="K9" i="8"/>
  <c r="J9" i="8"/>
  <c r="I9" i="8"/>
  <c r="H9" i="8"/>
  <c r="G9" i="8"/>
  <c r="F9" i="8"/>
  <c r="E9" i="8"/>
  <c r="BU8" i="8"/>
  <c r="BT8" i="8"/>
  <c r="BS8" i="8"/>
  <c r="BR8" i="8"/>
  <c r="BQ8" i="8"/>
  <c r="BP8" i="8"/>
  <c r="BO8" i="8"/>
  <c r="BJ8" i="8"/>
  <c r="BI8" i="8"/>
  <c r="BH8" i="8"/>
  <c r="BG8" i="8"/>
  <c r="BF8" i="8"/>
  <c r="BE8" i="8"/>
  <c r="BD8" i="8"/>
  <c r="BC8" i="8"/>
  <c r="BB8" i="8"/>
  <c r="AX8" i="8"/>
  <c r="AW8" i="8"/>
  <c r="AV8" i="8"/>
  <c r="AS8" i="8"/>
  <c r="AR8" i="8"/>
  <c r="AQ8" i="8"/>
  <c r="AP8" i="8"/>
  <c r="AO8" i="8"/>
  <c r="AN8" i="8"/>
  <c r="AM8" i="8"/>
  <c r="AL8" i="8"/>
  <c r="AH8" i="8"/>
  <c r="AG8" i="8"/>
  <c r="AF8" i="8"/>
  <c r="AE8" i="8"/>
  <c r="AD8" i="8"/>
  <c r="AC8" i="8"/>
  <c r="AA8" i="8"/>
  <c r="Z8" i="8"/>
  <c r="Y8" i="8"/>
  <c r="X8" i="8"/>
  <c r="W8" i="8"/>
  <c r="T8" i="8"/>
  <c r="S8" i="8"/>
  <c r="R8" i="8"/>
  <c r="Q8" i="8"/>
  <c r="P8" i="8"/>
  <c r="O8" i="8"/>
  <c r="K8" i="8"/>
  <c r="J8" i="8"/>
  <c r="I8" i="8"/>
  <c r="H8" i="8"/>
  <c r="G8" i="8"/>
  <c r="F8" i="8"/>
  <c r="E8" i="8"/>
  <c r="BU7" i="8"/>
  <c r="BT7" i="8"/>
  <c r="BS7" i="8"/>
  <c r="BR7" i="8"/>
  <c r="BQ7" i="8"/>
  <c r="BP7" i="8"/>
  <c r="BO7" i="8"/>
  <c r="BJ7" i="8"/>
  <c r="BI7" i="8"/>
  <c r="BH7" i="8"/>
  <c r="BG7" i="8"/>
  <c r="BF7" i="8"/>
  <c r="BE7" i="8"/>
  <c r="BD7" i="8"/>
  <c r="BC7" i="8"/>
  <c r="BB7" i="8"/>
  <c r="AX7" i="8"/>
  <c r="AW7" i="8"/>
  <c r="AV7" i="8"/>
  <c r="AS7" i="8"/>
  <c r="AR7" i="8"/>
  <c r="AQ7" i="8"/>
  <c r="AP7" i="8"/>
  <c r="AO7" i="8"/>
  <c r="AN7" i="8"/>
  <c r="AM7" i="8"/>
  <c r="AL7" i="8"/>
  <c r="AH7" i="8"/>
  <c r="AG7" i="8"/>
  <c r="AF7" i="8"/>
  <c r="AE7" i="8"/>
  <c r="AD7" i="8"/>
  <c r="AC7" i="8"/>
  <c r="AA7" i="8"/>
  <c r="Z7" i="8"/>
  <c r="Y7" i="8"/>
  <c r="X7" i="8"/>
  <c r="W7" i="8"/>
  <c r="T7" i="8"/>
  <c r="S7" i="8"/>
  <c r="R7" i="8"/>
  <c r="Q7" i="8"/>
  <c r="P7" i="8"/>
  <c r="O7" i="8"/>
  <c r="K7" i="8"/>
  <c r="J7" i="8"/>
  <c r="I7" i="8"/>
  <c r="H7" i="8"/>
  <c r="G7" i="8"/>
  <c r="F7" i="8"/>
  <c r="E7" i="8"/>
  <c r="BU6" i="8"/>
  <c r="BT6" i="8"/>
  <c r="BS6" i="8"/>
  <c r="BR6" i="8"/>
  <c r="BQ6" i="8"/>
  <c r="BP6" i="8"/>
  <c r="BO6" i="8"/>
  <c r="BJ6" i="8"/>
  <c r="BI6" i="8"/>
  <c r="BH6" i="8"/>
  <c r="BG6" i="8"/>
  <c r="BF6" i="8"/>
  <c r="BE6" i="8"/>
  <c r="BD6" i="8"/>
  <c r="BC6" i="8"/>
  <c r="BB6" i="8"/>
  <c r="AX6" i="8"/>
  <c r="AW6" i="8"/>
  <c r="AV6" i="8"/>
  <c r="AS6" i="8"/>
  <c r="AR6" i="8"/>
  <c r="AQ6" i="8"/>
  <c r="AP6" i="8"/>
  <c r="AO6" i="8"/>
  <c r="AN6" i="8"/>
  <c r="AM6" i="8"/>
  <c r="AL6" i="8"/>
  <c r="AH6" i="8"/>
  <c r="AG6" i="8"/>
  <c r="AF6" i="8"/>
  <c r="AE6" i="8"/>
  <c r="AD6" i="8"/>
  <c r="AC6" i="8"/>
  <c r="AA6" i="8"/>
  <c r="Z6" i="8"/>
  <c r="Y6" i="8"/>
  <c r="X6" i="8"/>
  <c r="W6" i="8"/>
  <c r="T6" i="8"/>
  <c r="S6" i="8"/>
  <c r="R6" i="8"/>
  <c r="Q6" i="8"/>
  <c r="P6" i="8"/>
  <c r="O6" i="8"/>
  <c r="K6" i="8"/>
  <c r="J6" i="8"/>
  <c r="I6" i="8"/>
  <c r="H6" i="8"/>
  <c r="G6" i="8"/>
  <c r="F6" i="8"/>
  <c r="E6" i="8"/>
  <c r="BU5" i="8"/>
  <c r="BT5" i="8"/>
  <c r="BS5" i="8"/>
  <c r="BR5" i="8"/>
  <c r="BQ5" i="8"/>
  <c r="BP5" i="8"/>
  <c r="BO5" i="8"/>
  <c r="BJ5" i="8"/>
  <c r="BI5" i="8"/>
  <c r="BH5" i="8"/>
  <c r="BG5" i="8"/>
  <c r="BF5" i="8"/>
  <c r="BE5" i="8"/>
  <c r="BD5" i="8"/>
  <c r="BC5" i="8"/>
  <c r="BB5" i="8"/>
  <c r="AX5" i="8"/>
  <c r="AW5" i="8"/>
  <c r="AV5" i="8"/>
  <c r="AS5" i="8"/>
  <c r="AR5" i="8"/>
  <c r="AQ5" i="8"/>
  <c r="AP5" i="8"/>
  <c r="AO5" i="8"/>
  <c r="AN5" i="8"/>
  <c r="AM5" i="8"/>
  <c r="AL5" i="8"/>
  <c r="AH5" i="8"/>
  <c r="AG5" i="8"/>
  <c r="AF5" i="8"/>
  <c r="AE5" i="8"/>
  <c r="AD5" i="8"/>
  <c r="AC5" i="8"/>
  <c r="AA5" i="8"/>
  <c r="Z5" i="8"/>
  <c r="Y5" i="8"/>
  <c r="X5" i="8"/>
  <c r="W5" i="8"/>
  <c r="T5" i="8"/>
  <c r="S5" i="8"/>
  <c r="R5" i="8"/>
  <c r="Q5" i="8"/>
  <c r="P5" i="8"/>
  <c r="O5" i="8"/>
  <c r="K5" i="8"/>
  <c r="J5" i="8"/>
  <c r="I5" i="8"/>
  <c r="H5" i="8"/>
  <c r="G5" i="8"/>
  <c r="F5" i="8"/>
  <c r="E5" i="8"/>
  <c r="BU4" i="8"/>
  <c r="BT4" i="8"/>
  <c r="BS4" i="8"/>
  <c r="BR4" i="8"/>
  <c r="BQ4" i="8"/>
  <c r="BP4" i="8"/>
  <c r="BO4" i="8"/>
  <c r="BJ4" i="8"/>
  <c r="BI4" i="8"/>
  <c r="BH4" i="8"/>
  <c r="BG4" i="8"/>
  <c r="BF4" i="8"/>
  <c r="BE4" i="8"/>
  <c r="BD4" i="8"/>
  <c r="BC4" i="8"/>
  <c r="BB4" i="8"/>
  <c r="AX4" i="8"/>
  <c r="AW4" i="8"/>
  <c r="AV4" i="8"/>
  <c r="AS4" i="8"/>
  <c r="AR4" i="8"/>
  <c r="AQ4" i="8"/>
  <c r="AP4" i="8"/>
  <c r="AO4" i="8"/>
  <c r="AN4" i="8"/>
  <c r="AM4" i="8"/>
  <c r="AL4" i="8"/>
  <c r="AH4" i="8"/>
  <c r="AG4" i="8"/>
  <c r="AF4" i="8"/>
  <c r="AE4" i="8"/>
  <c r="AD4" i="8"/>
  <c r="AC4" i="8"/>
  <c r="AA4" i="8"/>
  <c r="Z4" i="8"/>
  <c r="Y4" i="8"/>
  <c r="X4" i="8"/>
  <c r="W4" i="8"/>
  <c r="T4" i="8"/>
  <c r="S4" i="8"/>
  <c r="R4" i="8"/>
  <c r="Q4" i="8"/>
  <c r="P4" i="8"/>
  <c r="O4" i="8"/>
  <c r="K4" i="8"/>
  <c r="J4" i="8"/>
  <c r="I4" i="8"/>
  <c r="H4" i="8"/>
  <c r="G4" i="8"/>
  <c r="F4" i="8"/>
  <c r="E4" i="8"/>
  <c r="BU3" i="8"/>
  <c r="BT3" i="8"/>
  <c r="BS3" i="8"/>
  <c r="BR3" i="8"/>
  <c r="BQ3" i="8"/>
  <c r="BP3" i="8"/>
  <c r="BO3" i="8"/>
  <c r="BJ3" i="8"/>
  <c r="BI3" i="8"/>
  <c r="BH3" i="8"/>
  <c r="BG3" i="8"/>
  <c r="BF3" i="8"/>
  <c r="BE3" i="8"/>
  <c r="BD3" i="8"/>
  <c r="BC3" i="8"/>
  <c r="BB3" i="8"/>
  <c r="AX3" i="8"/>
  <c r="AW3" i="8"/>
  <c r="AV3" i="8"/>
  <c r="AS3" i="8"/>
  <c r="AR3" i="8"/>
  <c r="AQ3" i="8"/>
  <c r="AP3" i="8"/>
  <c r="AO3" i="8"/>
  <c r="AN3" i="8"/>
  <c r="AM3" i="8"/>
  <c r="AL3" i="8"/>
  <c r="AH3" i="8"/>
  <c r="AG3" i="8"/>
  <c r="AF3" i="8"/>
  <c r="AE3" i="8"/>
  <c r="AD3" i="8"/>
  <c r="AC3" i="8"/>
  <c r="AA3" i="8"/>
  <c r="Z3" i="8"/>
  <c r="Y3" i="8"/>
  <c r="X3" i="8"/>
  <c r="W3" i="8"/>
  <c r="T3" i="8"/>
  <c r="S3" i="8"/>
  <c r="R3" i="8"/>
  <c r="Q3" i="8"/>
  <c r="P3" i="8"/>
  <c r="O3" i="8"/>
  <c r="K3" i="8"/>
  <c r="J3" i="8"/>
  <c r="I3" i="8"/>
  <c r="H3" i="8"/>
  <c r="G3" i="8"/>
  <c r="F3" i="8"/>
  <c r="E3" i="8"/>
  <c r="BU16" i="7"/>
  <c r="BT16" i="7"/>
  <c r="BS16" i="7"/>
  <c r="BR16" i="7"/>
  <c r="BQ16" i="7"/>
  <c r="BP16" i="7"/>
  <c r="BO16" i="7"/>
  <c r="BJ16" i="7"/>
  <c r="BI16" i="7"/>
  <c r="BH16" i="7"/>
  <c r="BG16" i="7"/>
  <c r="BF16" i="7"/>
  <c r="BE16" i="7"/>
  <c r="BD16" i="7"/>
  <c r="BC16" i="7"/>
  <c r="BB16" i="7"/>
  <c r="AX16" i="7"/>
  <c r="AW16" i="7"/>
  <c r="AV16" i="7"/>
  <c r="AS16" i="7"/>
  <c r="AR16" i="7"/>
  <c r="AQ16" i="7"/>
  <c r="AP16" i="7"/>
  <c r="AO16" i="7"/>
  <c r="AN16" i="7"/>
  <c r="AM16" i="7"/>
  <c r="AL16" i="7"/>
  <c r="AH16" i="7"/>
  <c r="AG16" i="7"/>
  <c r="AF16" i="7"/>
  <c r="AE16" i="7"/>
  <c r="AD16" i="7"/>
  <c r="AC16" i="7"/>
  <c r="AA16" i="7"/>
  <c r="Z16" i="7"/>
  <c r="Y16" i="7"/>
  <c r="X16" i="7"/>
  <c r="W16" i="7"/>
  <c r="T16" i="7"/>
  <c r="S16" i="7"/>
  <c r="R16" i="7"/>
  <c r="Q16" i="7"/>
  <c r="P16" i="7"/>
  <c r="O16" i="7"/>
  <c r="K16" i="7"/>
  <c r="J16" i="7"/>
  <c r="I16" i="7"/>
  <c r="H16" i="7"/>
  <c r="G16" i="7"/>
  <c r="F16" i="7"/>
  <c r="E16" i="7"/>
  <c r="BU15" i="7"/>
  <c r="BT15" i="7"/>
  <c r="BS15" i="7"/>
  <c r="BR15" i="7"/>
  <c r="BQ15" i="7"/>
  <c r="BP15" i="7"/>
  <c r="BO15" i="7"/>
  <c r="BJ15" i="7"/>
  <c r="BI15" i="7"/>
  <c r="BH15" i="7"/>
  <c r="BG15" i="7"/>
  <c r="BF15" i="7"/>
  <c r="BE15" i="7"/>
  <c r="BD15" i="7"/>
  <c r="BC15" i="7"/>
  <c r="BB15" i="7"/>
  <c r="AX15" i="7"/>
  <c r="AW15" i="7"/>
  <c r="AV15" i="7"/>
  <c r="AS15" i="7"/>
  <c r="AR15" i="7"/>
  <c r="AQ15" i="7"/>
  <c r="AP15" i="7"/>
  <c r="AO15" i="7"/>
  <c r="AN15" i="7"/>
  <c r="AM15" i="7"/>
  <c r="AL15" i="7"/>
  <c r="AH15" i="7"/>
  <c r="AG15" i="7"/>
  <c r="AF15" i="7"/>
  <c r="AE15" i="7"/>
  <c r="AD15" i="7"/>
  <c r="AC15" i="7"/>
  <c r="AA15" i="7"/>
  <c r="Z15" i="7"/>
  <c r="Y15" i="7"/>
  <c r="X15" i="7"/>
  <c r="W15" i="7"/>
  <c r="T15" i="7"/>
  <c r="S15" i="7"/>
  <c r="R15" i="7"/>
  <c r="Q15" i="7"/>
  <c r="P15" i="7"/>
  <c r="O15" i="7"/>
  <c r="K15" i="7"/>
  <c r="J15" i="7"/>
  <c r="I15" i="7"/>
  <c r="H15" i="7"/>
  <c r="G15" i="7"/>
  <c r="F15" i="7"/>
  <c r="E15" i="7"/>
  <c r="BU14" i="7"/>
  <c r="BT14" i="7"/>
  <c r="BS14" i="7"/>
  <c r="BR14" i="7"/>
  <c r="BQ14" i="7"/>
  <c r="BP14" i="7"/>
  <c r="BO14" i="7"/>
  <c r="BJ14" i="7"/>
  <c r="BI14" i="7"/>
  <c r="BH14" i="7"/>
  <c r="BG14" i="7"/>
  <c r="BF14" i="7"/>
  <c r="BE14" i="7"/>
  <c r="BD14" i="7"/>
  <c r="BC14" i="7"/>
  <c r="BB14" i="7"/>
  <c r="AX14" i="7"/>
  <c r="AW14" i="7"/>
  <c r="AV14" i="7"/>
  <c r="AS14" i="7"/>
  <c r="AR14" i="7"/>
  <c r="AQ14" i="7"/>
  <c r="AP14" i="7"/>
  <c r="AO14" i="7"/>
  <c r="AN14" i="7"/>
  <c r="AM14" i="7"/>
  <c r="AL14" i="7"/>
  <c r="AH14" i="7"/>
  <c r="AG14" i="7"/>
  <c r="AF14" i="7"/>
  <c r="AE14" i="7"/>
  <c r="AD14" i="7"/>
  <c r="AC14" i="7"/>
  <c r="AA14" i="7"/>
  <c r="Z14" i="7"/>
  <c r="Y14" i="7"/>
  <c r="X14" i="7"/>
  <c r="W14" i="7"/>
  <c r="T14" i="7"/>
  <c r="S14" i="7"/>
  <c r="R14" i="7"/>
  <c r="Q14" i="7"/>
  <c r="P14" i="7"/>
  <c r="O14" i="7"/>
  <c r="K14" i="7"/>
  <c r="J14" i="7"/>
  <c r="I14" i="7"/>
  <c r="H14" i="7"/>
  <c r="G14" i="7"/>
  <c r="F14" i="7"/>
  <c r="E14" i="7"/>
  <c r="BU13" i="7"/>
  <c r="BT13" i="7"/>
  <c r="BS13" i="7"/>
  <c r="BR13" i="7"/>
  <c r="BQ13" i="7"/>
  <c r="BP13" i="7"/>
  <c r="BO13" i="7"/>
  <c r="BJ13" i="7"/>
  <c r="BI13" i="7"/>
  <c r="BH13" i="7"/>
  <c r="BG13" i="7"/>
  <c r="BF13" i="7"/>
  <c r="BE13" i="7"/>
  <c r="BD13" i="7"/>
  <c r="BC13" i="7"/>
  <c r="BB13" i="7"/>
  <c r="AX13" i="7"/>
  <c r="AW13" i="7"/>
  <c r="AV13" i="7"/>
  <c r="AS13" i="7"/>
  <c r="AR13" i="7"/>
  <c r="AQ13" i="7"/>
  <c r="AP13" i="7"/>
  <c r="AO13" i="7"/>
  <c r="AN13" i="7"/>
  <c r="AM13" i="7"/>
  <c r="AL13" i="7"/>
  <c r="AH13" i="7"/>
  <c r="AG13" i="7"/>
  <c r="AF13" i="7"/>
  <c r="AE13" i="7"/>
  <c r="AD13" i="7"/>
  <c r="AC13" i="7"/>
  <c r="AA13" i="7"/>
  <c r="Z13" i="7"/>
  <c r="Y13" i="7"/>
  <c r="X13" i="7"/>
  <c r="W13" i="7"/>
  <c r="T13" i="7"/>
  <c r="S13" i="7"/>
  <c r="R13" i="7"/>
  <c r="Q13" i="7"/>
  <c r="P13" i="7"/>
  <c r="O13" i="7"/>
  <c r="K13" i="7"/>
  <c r="J13" i="7"/>
  <c r="I13" i="7"/>
  <c r="H13" i="7"/>
  <c r="G13" i="7"/>
  <c r="F13" i="7"/>
  <c r="E13" i="7"/>
  <c r="BU12" i="7"/>
  <c r="BT12" i="7"/>
  <c r="BS12" i="7"/>
  <c r="BR12" i="7"/>
  <c r="BQ12" i="7"/>
  <c r="BP12" i="7"/>
  <c r="BO12" i="7"/>
  <c r="BJ12" i="7"/>
  <c r="BI12" i="7"/>
  <c r="BH12" i="7"/>
  <c r="BG12" i="7"/>
  <c r="BF12" i="7"/>
  <c r="BE12" i="7"/>
  <c r="BD12" i="7"/>
  <c r="BC12" i="7"/>
  <c r="BB12" i="7"/>
  <c r="AX12" i="7"/>
  <c r="AW12" i="7"/>
  <c r="AV12" i="7"/>
  <c r="AS12" i="7"/>
  <c r="AR12" i="7"/>
  <c r="AQ12" i="7"/>
  <c r="AP12" i="7"/>
  <c r="AO12" i="7"/>
  <c r="AN12" i="7"/>
  <c r="AM12" i="7"/>
  <c r="AL12" i="7"/>
  <c r="AH12" i="7"/>
  <c r="AG12" i="7"/>
  <c r="AF12" i="7"/>
  <c r="AE12" i="7"/>
  <c r="AD12" i="7"/>
  <c r="AC12" i="7"/>
  <c r="AA12" i="7"/>
  <c r="Z12" i="7"/>
  <c r="Y12" i="7"/>
  <c r="X12" i="7"/>
  <c r="W12" i="7"/>
  <c r="T12" i="7"/>
  <c r="S12" i="7"/>
  <c r="R12" i="7"/>
  <c r="Q12" i="7"/>
  <c r="P12" i="7"/>
  <c r="O12" i="7"/>
  <c r="K12" i="7"/>
  <c r="J12" i="7"/>
  <c r="I12" i="7"/>
  <c r="H12" i="7"/>
  <c r="G12" i="7"/>
  <c r="F12" i="7"/>
  <c r="E12" i="7"/>
  <c r="BU11" i="7"/>
  <c r="BT11" i="7"/>
  <c r="BS11" i="7"/>
  <c r="BR11" i="7"/>
  <c r="BQ11" i="7"/>
  <c r="BP11" i="7"/>
  <c r="BO11" i="7"/>
  <c r="BJ11" i="7"/>
  <c r="BI11" i="7"/>
  <c r="BH11" i="7"/>
  <c r="BG11" i="7"/>
  <c r="BF11" i="7"/>
  <c r="BE11" i="7"/>
  <c r="BD11" i="7"/>
  <c r="BC11" i="7"/>
  <c r="BB11" i="7"/>
  <c r="AX11" i="7"/>
  <c r="AW11" i="7"/>
  <c r="AV11" i="7"/>
  <c r="AS11" i="7"/>
  <c r="AR11" i="7"/>
  <c r="AQ11" i="7"/>
  <c r="AP11" i="7"/>
  <c r="AO11" i="7"/>
  <c r="AN11" i="7"/>
  <c r="AM11" i="7"/>
  <c r="AL11" i="7"/>
  <c r="AH11" i="7"/>
  <c r="AG11" i="7"/>
  <c r="AF11" i="7"/>
  <c r="AE11" i="7"/>
  <c r="AD11" i="7"/>
  <c r="AC11" i="7"/>
  <c r="AA11" i="7"/>
  <c r="Z11" i="7"/>
  <c r="Y11" i="7"/>
  <c r="X11" i="7"/>
  <c r="W11" i="7"/>
  <c r="T11" i="7"/>
  <c r="S11" i="7"/>
  <c r="R11" i="7"/>
  <c r="Q11" i="7"/>
  <c r="P11" i="7"/>
  <c r="O11" i="7"/>
  <c r="K11" i="7"/>
  <c r="J11" i="7"/>
  <c r="I11" i="7"/>
  <c r="H11" i="7"/>
  <c r="G11" i="7"/>
  <c r="F11" i="7"/>
  <c r="E11" i="7"/>
  <c r="BU10" i="7"/>
  <c r="BT10" i="7"/>
  <c r="BS10" i="7"/>
  <c r="BR10" i="7"/>
  <c r="BQ10" i="7"/>
  <c r="BP10" i="7"/>
  <c r="BO10" i="7"/>
  <c r="BJ10" i="7"/>
  <c r="BI10" i="7"/>
  <c r="BH10" i="7"/>
  <c r="BG10" i="7"/>
  <c r="BF10" i="7"/>
  <c r="BE10" i="7"/>
  <c r="BD10" i="7"/>
  <c r="BC10" i="7"/>
  <c r="BB10" i="7"/>
  <c r="AX10" i="7"/>
  <c r="AW10" i="7"/>
  <c r="AV10" i="7"/>
  <c r="AS10" i="7"/>
  <c r="AR10" i="7"/>
  <c r="AQ10" i="7"/>
  <c r="AP10" i="7"/>
  <c r="AO10" i="7"/>
  <c r="AN10" i="7"/>
  <c r="AM10" i="7"/>
  <c r="AL10" i="7"/>
  <c r="AH10" i="7"/>
  <c r="AG10" i="7"/>
  <c r="AF10" i="7"/>
  <c r="AE10" i="7"/>
  <c r="AD10" i="7"/>
  <c r="AC10" i="7"/>
  <c r="AA10" i="7"/>
  <c r="Z10" i="7"/>
  <c r="Y10" i="7"/>
  <c r="X10" i="7"/>
  <c r="W10" i="7"/>
  <c r="T10" i="7"/>
  <c r="S10" i="7"/>
  <c r="R10" i="7"/>
  <c r="Q10" i="7"/>
  <c r="P10" i="7"/>
  <c r="O10" i="7"/>
  <c r="K10" i="7"/>
  <c r="J10" i="7"/>
  <c r="I10" i="7"/>
  <c r="H10" i="7"/>
  <c r="G10" i="7"/>
  <c r="F10" i="7"/>
  <c r="E10" i="7"/>
  <c r="BU9" i="7"/>
  <c r="BT9" i="7"/>
  <c r="BS9" i="7"/>
  <c r="BR9" i="7"/>
  <c r="BQ9" i="7"/>
  <c r="BP9" i="7"/>
  <c r="BO9" i="7"/>
  <c r="BJ9" i="7"/>
  <c r="BI9" i="7"/>
  <c r="BH9" i="7"/>
  <c r="BG9" i="7"/>
  <c r="BF9" i="7"/>
  <c r="BE9" i="7"/>
  <c r="BD9" i="7"/>
  <c r="BC9" i="7"/>
  <c r="BB9" i="7"/>
  <c r="AX9" i="7"/>
  <c r="AW9" i="7"/>
  <c r="AV9" i="7"/>
  <c r="AS9" i="7"/>
  <c r="AR9" i="7"/>
  <c r="AQ9" i="7"/>
  <c r="AP9" i="7"/>
  <c r="AO9" i="7"/>
  <c r="AN9" i="7"/>
  <c r="AM9" i="7"/>
  <c r="AL9" i="7"/>
  <c r="AH9" i="7"/>
  <c r="AG9" i="7"/>
  <c r="AF9" i="7"/>
  <c r="AE9" i="7"/>
  <c r="AD9" i="7"/>
  <c r="AC9" i="7"/>
  <c r="AA9" i="7"/>
  <c r="Z9" i="7"/>
  <c r="Y9" i="7"/>
  <c r="X9" i="7"/>
  <c r="W9" i="7"/>
  <c r="T9" i="7"/>
  <c r="S9" i="7"/>
  <c r="R9" i="7"/>
  <c r="Q9" i="7"/>
  <c r="P9" i="7"/>
  <c r="O9" i="7"/>
  <c r="K9" i="7"/>
  <c r="J9" i="7"/>
  <c r="I9" i="7"/>
  <c r="H9" i="7"/>
  <c r="G9" i="7"/>
  <c r="F9" i="7"/>
  <c r="E9" i="7"/>
  <c r="BU8" i="7"/>
  <c r="BT8" i="7"/>
  <c r="BS8" i="7"/>
  <c r="BR8" i="7"/>
  <c r="BQ8" i="7"/>
  <c r="BP8" i="7"/>
  <c r="BO8" i="7"/>
  <c r="BJ8" i="7"/>
  <c r="BI8" i="7"/>
  <c r="BH8" i="7"/>
  <c r="BG8" i="7"/>
  <c r="BF8" i="7"/>
  <c r="BE8" i="7"/>
  <c r="BD8" i="7"/>
  <c r="BC8" i="7"/>
  <c r="BB8" i="7"/>
  <c r="AX8" i="7"/>
  <c r="AW8" i="7"/>
  <c r="AV8" i="7"/>
  <c r="AS8" i="7"/>
  <c r="AR8" i="7"/>
  <c r="AQ8" i="7"/>
  <c r="AP8" i="7"/>
  <c r="AO8" i="7"/>
  <c r="AN8" i="7"/>
  <c r="AM8" i="7"/>
  <c r="AL8" i="7"/>
  <c r="AH8" i="7"/>
  <c r="AG8" i="7"/>
  <c r="AF8" i="7"/>
  <c r="AE8" i="7"/>
  <c r="AD8" i="7"/>
  <c r="AC8" i="7"/>
  <c r="AA8" i="7"/>
  <c r="Z8" i="7"/>
  <c r="Y8" i="7"/>
  <c r="X8" i="7"/>
  <c r="W8" i="7"/>
  <c r="T8" i="7"/>
  <c r="S8" i="7"/>
  <c r="R8" i="7"/>
  <c r="Q8" i="7"/>
  <c r="P8" i="7"/>
  <c r="O8" i="7"/>
  <c r="K8" i="7"/>
  <c r="J8" i="7"/>
  <c r="I8" i="7"/>
  <c r="H8" i="7"/>
  <c r="G8" i="7"/>
  <c r="F8" i="7"/>
  <c r="E8" i="7"/>
  <c r="BU7" i="7"/>
  <c r="BT7" i="7"/>
  <c r="BS7" i="7"/>
  <c r="BR7" i="7"/>
  <c r="BQ7" i="7"/>
  <c r="BP7" i="7"/>
  <c r="BO7" i="7"/>
  <c r="BJ7" i="7"/>
  <c r="BI7" i="7"/>
  <c r="BH7" i="7"/>
  <c r="BG7" i="7"/>
  <c r="BF7" i="7"/>
  <c r="BE7" i="7"/>
  <c r="BD7" i="7"/>
  <c r="BC7" i="7"/>
  <c r="BB7" i="7"/>
  <c r="AX7" i="7"/>
  <c r="AW7" i="7"/>
  <c r="AV7" i="7"/>
  <c r="AS7" i="7"/>
  <c r="AR7" i="7"/>
  <c r="AQ7" i="7"/>
  <c r="AP7" i="7"/>
  <c r="AO7" i="7"/>
  <c r="AN7" i="7"/>
  <c r="AM7" i="7"/>
  <c r="AL7" i="7"/>
  <c r="AH7" i="7"/>
  <c r="AG7" i="7"/>
  <c r="AF7" i="7"/>
  <c r="AE7" i="7"/>
  <c r="AD7" i="7"/>
  <c r="AC7" i="7"/>
  <c r="AA7" i="7"/>
  <c r="Z7" i="7"/>
  <c r="Y7" i="7"/>
  <c r="X7" i="7"/>
  <c r="W7" i="7"/>
  <c r="T7" i="7"/>
  <c r="S7" i="7"/>
  <c r="R7" i="7"/>
  <c r="Q7" i="7"/>
  <c r="P7" i="7"/>
  <c r="O7" i="7"/>
  <c r="K7" i="7"/>
  <c r="J7" i="7"/>
  <c r="I7" i="7"/>
  <c r="H7" i="7"/>
  <c r="G7" i="7"/>
  <c r="F7" i="7"/>
  <c r="E7" i="7"/>
  <c r="BU6" i="7"/>
  <c r="BT6" i="7"/>
  <c r="BS6" i="7"/>
  <c r="BR6" i="7"/>
  <c r="BQ6" i="7"/>
  <c r="BP6" i="7"/>
  <c r="BO6" i="7"/>
  <c r="BJ6" i="7"/>
  <c r="BI6" i="7"/>
  <c r="BH6" i="7"/>
  <c r="BG6" i="7"/>
  <c r="BF6" i="7"/>
  <c r="BE6" i="7"/>
  <c r="BD6" i="7"/>
  <c r="BC6" i="7"/>
  <c r="BB6" i="7"/>
  <c r="AX6" i="7"/>
  <c r="AW6" i="7"/>
  <c r="AV6" i="7"/>
  <c r="AS6" i="7"/>
  <c r="AR6" i="7"/>
  <c r="AQ6" i="7"/>
  <c r="AP6" i="7"/>
  <c r="AO6" i="7"/>
  <c r="AN6" i="7"/>
  <c r="AM6" i="7"/>
  <c r="AL6" i="7"/>
  <c r="AH6" i="7"/>
  <c r="AG6" i="7"/>
  <c r="AF6" i="7"/>
  <c r="AE6" i="7"/>
  <c r="AD6" i="7"/>
  <c r="AC6" i="7"/>
  <c r="AA6" i="7"/>
  <c r="Z6" i="7"/>
  <c r="Y6" i="7"/>
  <c r="X6" i="7"/>
  <c r="W6" i="7"/>
  <c r="T6" i="7"/>
  <c r="S6" i="7"/>
  <c r="R6" i="7"/>
  <c r="Q6" i="7"/>
  <c r="P6" i="7"/>
  <c r="O6" i="7"/>
  <c r="K6" i="7"/>
  <c r="J6" i="7"/>
  <c r="I6" i="7"/>
  <c r="H6" i="7"/>
  <c r="G6" i="7"/>
  <c r="F6" i="7"/>
  <c r="E6" i="7"/>
  <c r="BU5" i="7"/>
  <c r="BT5" i="7"/>
  <c r="BS5" i="7"/>
  <c r="BR5" i="7"/>
  <c r="BQ5" i="7"/>
  <c r="BP5" i="7"/>
  <c r="BO5" i="7"/>
  <c r="BJ5" i="7"/>
  <c r="BI5" i="7"/>
  <c r="BH5" i="7"/>
  <c r="BG5" i="7"/>
  <c r="BF5" i="7"/>
  <c r="BE5" i="7"/>
  <c r="BD5" i="7"/>
  <c r="BC5" i="7"/>
  <c r="BB5" i="7"/>
  <c r="AX5" i="7"/>
  <c r="AW5" i="7"/>
  <c r="AV5" i="7"/>
  <c r="AS5" i="7"/>
  <c r="AR5" i="7"/>
  <c r="AQ5" i="7"/>
  <c r="AP5" i="7"/>
  <c r="AO5" i="7"/>
  <c r="AN5" i="7"/>
  <c r="AM5" i="7"/>
  <c r="AL5" i="7"/>
  <c r="AH5" i="7"/>
  <c r="AG5" i="7"/>
  <c r="AF5" i="7"/>
  <c r="AE5" i="7"/>
  <c r="AD5" i="7"/>
  <c r="AC5" i="7"/>
  <c r="AA5" i="7"/>
  <c r="Z5" i="7"/>
  <c r="Y5" i="7"/>
  <c r="X5" i="7"/>
  <c r="W5" i="7"/>
  <c r="T5" i="7"/>
  <c r="S5" i="7"/>
  <c r="R5" i="7"/>
  <c r="Q5" i="7"/>
  <c r="P5" i="7"/>
  <c r="O5" i="7"/>
  <c r="K5" i="7"/>
  <c r="J5" i="7"/>
  <c r="I5" i="7"/>
  <c r="H5" i="7"/>
  <c r="G5" i="7"/>
  <c r="F5" i="7"/>
  <c r="E5" i="7"/>
  <c r="BU4" i="7"/>
  <c r="BT4" i="7"/>
  <c r="BS4" i="7"/>
  <c r="BR4" i="7"/>
  <c r="BQ4" i="7"/>
  <c r="BP4" i="7"/>
  <c r="BO4" i="7"/>
  <c r="BJ4" i="7"/>
  <c r="BI4" i="7"/>
  <c r="BH4" i="7"/>
  <c r="BG4" i="7"/>
  <c r="BF4" i="7"/>
  <c r="BE4" i="7"/>
  <c r="BD4" i="7"/>
  <c r="BC4" i="7"/>
  <c r="BB4" i="7"/>
  <c r="AX4" i="7"/>
  <c r="AW4" i="7"/>
  <c r="AV4" i="7"/>
  <c r="AS4" i="7"/>
  <c r="AR4" i="7"/>
  <c r="AQ4" i="7"/>
  <c r="AP4" i="7"/>
  <c r="AO4" i="7"/>
  <c r="AN4" i="7"/>
  <c r="AM4" i="7"/>
  <c r="AL4" i="7"/>
  <c r="AH4" i="7"/>
  <c r="AG4" i="7"/>
  <c r="AF4" i="7"/>
  <c r="AE4" i="7"/>
  <c r="AD4" i="7"/>
  <c r="AC4" i="7"/>
  <c r="AA4" i="7"/>
  <c r="Z4" i="7"/>
  <c r="Y4" i="7"/>
  <c r="X4" i="7"/>
  <c r="W4" i="7"/>
  <c r="T4" i="7"/>
  <c r="S4" i="7"/>
  <c r="R4" i="7"/>
  <c r="Q4" i="7"/>
  <c r="P4" i="7"/>
  <c r="O4" i="7"/>
  <c r="K4" i="7"/>
  <c r="J4" i="7"/>
  <c r="I4" i="7"/>
  <c r="H4" i="7"/>
  <c r="G4" i="7"/>
  <c r="F4" i="7"/>
  <c r="E4" i="7"/>
  <c r="BU3" i="7"/>
  <c r="BT3" i="7"/>
  <c r="BS3" i="7"/>
  <c r="BR3" i="7"/>
  <c r="BQ3" i="7"/>
  <c r="BP3" i="7"/>
  <c r="BO3" i="7"/>
  <c r="BJ3" i="7"/>
  <c r="BI3" i="7"/>
  <c r="BH3" i="7"/>
  <c r="BG3" i="7"/>
  <c r="BF3" i="7"/>
  <c r="BE3" i="7"/>
  <c r="BD3" i="7"/>
  <c r="BC3" i="7"/>
  <c r="BB3" i="7"/>
  <c r="AX3" i="7"/>
  <c r="AW3" i="7"/>
  <c r="AV3" i="7"/>
  <c r="AS3" i="7"/>
  <c r="AR3" i="7"/>
  <c r="AQ3" i="7"/>
  <c r="AP3" i="7"/>
  <c r="AO3" i="7"/>
  <c r="AN3" i="7"/>
  <c r="AM3" i="7"/>
  <c r="AL3" i="7"/>
  <c r="AH3" i="7"/>
  <c r="AG3" i="7"/>
  <c r="AF3" i="7"/>
  <c r="AE3" i="7"/>
  <c r="AD3" i="7"/>
  <c r="AC3" i="7"/>
  <c r="AA3" i="7"/>
  <c r="Z3" i="7"/>
  <c r="Y3" i="7"/>
  <c r="X3" i="7"/>
  <c r="W3" i="7"/>
  <c r="T3" i="7"/>
  <c r="S3" i="7"/>
  <c r="R3" i="7"/>
  <c r="Q3" i="7"/>
  <c r="P3" i="7"/>
  <c r="O3" i="7"/>
  <c r="K3" i="7"/>
  <c r="J3" i="7"/>
  <c r="I3" i="7"/>
  <c r="H3" i="7"/>
  <c r="G3" i="7"/>
  <c r="F3" i="7"/>
  <c r="E3" i="7"/>
  <c r="BU28" i="6"/>
  <c r="BT28" i="6"/>
  <c r="BS28" i="6"/>
  <c r="BR28" i="6"/>
  <c r="BQ28" i="6"/>
  <c r="BP28" i="6"/>
  <c r="BO28" i="6"/>
  <c r="BJ28" i="6"/>
  <c r="BI28" i="6"/>
  <c r="BH28" i="6"/>
  <c r="BG28" i="6"/>
  <c r="BF28" i="6"/>
  <c r="BE28" i="6"/>
  <c r="BD28" i="6"/>
  <c r="BC28" i="6"/>
  <c r="BB28" i="6"/>
  <c r="AX28" i="6"/>
  <c r="AW28" i="6"/>
  <c r="AV28" i="6"/>
  <c r="AS28" i="6"/>
  <c r="AR28" i="6"/>
  <c r="AQ28" i="6"/>
  <c r="AP28" i="6"/>
  <c r="AO28" i="6"/>
  <c r="AN28" i="6"/>
  <c r="AM28" i="6"/>
  <c r="AL28" i="6"/>
  <c r="AH28" i="6"/>
  <c r="AG28" i="6"/>
  <c r="AF28" i="6"/>
  <c r="AE28" i="6"/>
  <c r="AD28" i="6"/>
  <c r="AC28" i="6"/>
  <c r="AA28" i="6"/>
  <c r="Z28" i="6"/>
  <c r="Y28" i="6"/>
  <c r="X28" i="6"/>
  <c r="W28" i="6"/>
  <c r="T28" i="6"/>
  <c r="S28" i="6"/>
  <c r="R28" i="6"/>
  <c r="Q28" i="6"/>
  <c r="P28" i="6"/>
  <c r="O28" i="6"/>
  <c r="K28" i="6"/>
  <c r="J28" i="6"/>
  <c r="I28" i="6"/>
  <c r="H28" i="6"/>
  <c r="G28" i="6"/>
  <c r="F28" i="6"/>
  <c r="E28" i="6"/>
  <c r="BU27" i="6"/>
  <c r="BT27" i="6"/>
  <c r="BS27" i="6"/>
  <c r="BR27" i="6"/>
  <c r="BQ27" i="6"/>
  <c r="BP27" i="6"/>
  <c r="BO27" i="6"/>
  <c r="BJ27" i="6"/>
  <c r="BI27" i="6"/>
  <c r="BH27" i="6"/>
  <c r="BG27" i="6"/>
  <c r="BF27" i="6"/>
  <c r="BE27" i="6"/>
  <c r="BD27" i="6"/>
  <c r="BC27" i="6"/>
  <c r="BB27" i="6"/>
  <c r="AX27" i="6"/>
  <c r="AW27" i="6"/>
  <c r="AV27" i="6"/>
  <c r="AS27" i="6"/>
  <c r="AR27" i="6"/>
  <c r="AQ27" i="6"/>
  <c r="AP27" i="6"/>
  <c r="AO27" i="6"/>
  <c r="AN27" i="6"/>
  <c r="AM27" i="6"/>
  <c r="AL27" i="6"/>
  <c r="AH27" i="6"/>
  <c r="AG27" i="6"/>
  <c r="AF27" i="6"/>
  <c r="AE27" i="6"/>
  <c r="AD27" i="6"/>
  <c r="AC27" i="6"/>
  <c r="AA27" i="6"/>
  <c r="Z27" i="6"/>
  <c r="Y27" i="6"/>
  <c r="X27" i="6"/>
  <c r="W27" i="6"/>
  <c r="T27" i="6"/>
  <c r="S27" i="6"/>
  <c r="R27" i="6"/>
  <c r="Q27" i="6"/>
  <c r="P27" i="6"/>
  <c r="O27" i="6"/>
  <c r="K27" i="6"/>
  <c r="J27" i="6"/>
  <c r="I27" i="6"/>
  <c r="H27" i="6"/>
  <c r="G27" i="6"/>
  <c r="F27" i="6"/>
  <c r="E27" i="6"/>
  <c r="BU26" i="6"/>
  <c r="BT26" i="6"/>
  <c r="BS26" i="6"/>
  <c r="BR26" i="6"/>
  <c r="BQ26" i="6"/>
  <c r="BP26" i="6"/>
  <c r="BO26" i="6"/>
  <c r="BJ26" i="6"/>
  <c r="BI26" i="6"/>
  <c r="BH26" i="6"/>
  <c r="BG26" i="6"/>
  <c r="BF26" i="6"/>
  <c r="BE26" i="6"/>
  <c r="BD26" i="6"/>
  <c r="BC26" i="6"/>
  <c r="BB26" i="6"/>
  <c r="AX26" i="6"/>
  <c r="AW26" i="6"/>
  <c r="AV26" i="6"/>
  <c r="AS26" i="6"/>
  <c r="AR26" i="6"/>
  <c r="AQ26" i="6"/>
  <c r="AP26" i="6"/>
  <c r="AO26" i="6"/>
  <c r="AN26" i="6"/>
  <c r="AM26" i="6"/>
  <c r="AL26" i="6"/>
  <c r="AH26" i="6"/>
  <c r="AG26" i="6"/>
  <c r="AF26" i="6"/>
  <c r="AE26" i="6"/>
  <c r="AD26" i="6"/>
  <c r="AC26" i="6"/>
  <c r="AA26" i="6"/>
  <c r="Z26" i="6"/>
  <c r="Y26" i="6"/>
  <c r="X26" i="6"/>
  <c r="W26" i="6"/>
  <c r="T26" i="6"/>
  <c r="S26" i="6"/>
  <c r="R26" i="6"/>
  <c r="Q26" i="6"/>
  <c r="P26" i="6"/>
  <c r="O26" i="6"/>
  <c r="K26" i="6"/>
  <c r="J26" i="6"/>
  <c r="I26" i="6"/>
  <c r="H26" i="6"/>
  <c r="G26" i="6"/>
  <c r="F26" i="6"/>
  <c r="E26" i="6"/>
  <c r="BU25" i="6"/>
  <c r="BT25" i="6"/>
  <c r="BS25" i="6"/>
  <c r="BR25" i="6"/>
  <c r="BQ25" i="6"/>
  <c r="BP25" i="6"/>
  <c r="BO25" i="6"/>
  <c r="BJ25" i="6"/>
  <c r="BI25" i="6"/>
  <c r="BH25" i="6"/>
  <c r="BG25" i="6"/>
  <c r="BF25" i="6"/>
  <c r="BE25" i="6"/>
  <c r="BD25" i="6"/>
  <c r="BC25" i="6"/>
  <c r="BB25" i="6"/>
  <c r="AX25" i="6"/>
  <c r="AW25" i="6"/>
  <c r="AV25" i="6"/>
  <c r="AS25" i="6"/>
  <c r="AR25" i="6"/>
  <c r="AQ25" i="6"/>
  <c r="AP25" i="6"/>
  <c r="AO25" i="6"/>
  <c r="AN25" i="6"/>
  <c r="AM25" i="6"/>
  <c r="AL25" i="6"/>
  <c r="AH25" i="6"/>
  <c r="AG25" i="6"/>
  <c r="AF25" i="6"/>
  <c r="AE25" i="6"/>
  <c r="AD25" i="6"/>
  <c r="AC25" i="6"/>
  <c r="AA25" i="6"/>
  <c r="Z25" i="6"/>
  <c r="Y25" i="6"/>
  <c r="X25" i="6"/>
  <c r="W25" i="6"/>
  <c r="T25" i="6"/>
  <c r="S25" i="6"/>
  <c r="R25" i="6"/>
  <c r="Q25" i="6"/>
  <c r="P25" i="6"/>
  <c r="O25" i="6"/>
  <c r="K25" i="6"/>
  <c r="J25" i="6"/>
  <c r="I25" i="6"/>
  <c r="H25" i="6"/>
  <c r="G25" i="6"/>
  <c r="F25" i="6"/>
  <c r="E25" i="6"/>
  <c r="BU24" i="6"/>
  <c r="BT24" i="6"/>
  <c r="BS24" i="6"/>
  <c r="BR24" i="6"/>
  <c r="BQ24" i="6"/>
  <c r="BP24" i="6"/>
  <c r="BO24" i="6"/>
  <c r="BJ24" i="6"/>
  <c r="BI24" i="6"/>
  <c r="BH24" i="6"/>
  <c r="BG24" i="6"/>
  <c r="BF24" i="6"/>
  <c r="BE24" i="6"/>
  <c r="BD24" i="6"/>
  <c r="BC24" i="6"/>
  <c r="BB24" i="6"/>
  <c r="AX24" i="6"/>
  <c r="AW24" i="6"/>
  <c r="AV24" i="6"/>
  <c r="AS24" i="6"/>
  <c r="AR24" i="6"/>
  <c r="AQ24" i="6"/>
  <c r="AP24" i="6"/>
  <c r="AO24" i="6"/>
  <c r="AN24" i="6"/>
  <c r="AM24" i="6"/>
  <c r="AL24" i="6"/>
  <c r="AH24" i="6"/>
  <c r="AG24" i="6"/>
  <c r="AF24" i="6"/>
  <c r="AE24" i="6"/>
  <c r="AD24" i="6"/>
  <c r="AC24" i="6"/>
  <c r="AA24" i="6"/>
  <c r="Z24" i="6"/>
  <c r="Y24" i="6"/>
  <c r="X24" i="6"/>
  <c r="W24" i="6"/>
  <c r="T24" i="6"/>
  <c r="S24" i="6"/>
  <c r="R24" i="6"/>
  <c r="Q24" i="6"/>
  <c r="P24" i="6"/>
  <c r="O24" i="6"/>
  <c r="K24" i="6"/>
  <c r="J24" i="6"/>
  <c r="I24" i="6"/>
  <c r="H24" i="6"/>
  <c r="G24" i="6"/>
  <c r="F24" i="6"/>
  <c r="E24" i="6"/>
  <c r="BU23" i="6"/>
  <c r="BT23" i="6"/>
  <c r="BS23" i="6"/>
  <c r="BR23" i="6"/>
  <c r="BQ23" i="6"/>
  <c r="BP23" i="6"/>
  <c r="BO23" i="6"/>
  <c r="BJ23" i="6"/>
  <c r="BI23" i="6"/>
  <c r="BH23" i="6"/>
  <c r="BG23" i="6"/>
  <c r="BF23" i="6"/>
  <c r="BE23" i="6"/>
  <c r="BD23" i="6"/>
  <c r="BC23" i="6"/>
  <c r="BB23" i="6"/>
  <c r="AX23" i="6"/>
  <c r="AW23" i="6"/>
  <c r="AV23" i="6"/>
  <c r="AS23" i="6"/>
  <c r="AR23" i="6"/>
  <c r="AQ23" i="6"/>
  <c r="AP23" i="6"/>
  <c r="AO23" i="6"/>
  <c r="AN23" i="6"/>
  <c r="AM23" i="6"/>
  <c r="AL23" i="6"/>
  <c r="AH23" i="6"/>
  <c r="AG23" i="6"/>
  <c r="AF23" i="6"/>
  <c r="AE23" i="6"/>
  <c r="AD23" i="6"/>
  <c r="AC23" i="6"/>
  <c r="AA23" i="6"/>
  <c r="Z23" i="6"/>
  <c r="Y23" i="6"/>
  <c r="X23" i="6"/>
  <c r="W23" i="6"/>
  <c r="T23" i="6"/>
  <c r="S23" i="6"/>
  <c r="R23" i="6"/>
  <c r="Q23" i="6"/>
  <c r="P23" i="6"/>
  <c r="O23" i="6"/>
  <c r="K23" i="6"/>
  <c r="J23" i="6"/>
  <c r="I23" i="6"/>
  <c r="H23" i="6"/>
  <c r="G23" i="6"/>
  <c r="F23" i="6"/>
  <c r="E23" i="6"/>
  <c r="BU22" i="6"/>
  <c r="BT22" i="6"/>
  <c r="BS22" i="6"/>
  <c r="BR22" i="6"/>
  <c r="BQ22" i="6"/>
  <c r="BP22" i="6"/>
  <c r="BO22" i="6"/>
  <c r="BJ22" i="6"/>
  <c r="BI22" i="6"/>
  <c r="BH22" i="6"/>
  <c r="BG22" i="6"/>
  <c r="BF22" i="6"/>
  <c r="BE22" i="6"/>
  <c r="BD22" i="6"/>
  <c r="BC22" i="6"/>
  <c r="BB22" i="6"/>
  <c r="AX22" i="6"/>
  <c r="AW22" i="6"/>
  <c r="AV22" i="6"/>
  <c r="AS22" i="6"/>
  <c r="AR22" i="6"/>
  <c r="AQ22" i="6"/>
  <c r="AP22" i="6"/>
  <c r="AO22" i="6"/>
  <c r="AN22" i="6"/>
  <c r="AM22" i="6"/>
  <c r="AL22" i="6"/>
  <c r="AH22" i="6"/>
  <c r="AG22" i="6"/>
  <c r="AF22" i="6"/>
  <c r="AE22" i="6"/>
  <c r="AD22" i="6"/>
  <c r="AC22" i="6"/>
  <c r="AA22" i="6"/>
  <c r="Z22" i="6"/>
  <c r="Y22" i="6"/>
  <c r="X22" i="6"/>
  <c r="W22" i="6"/>
  <c r="T22" i="6"/>
  <c r="S22" i="6"/>
  <c r="R22" i="6"/>
  <c r="Q22" i="6"/>
  <c r="P22" i="6"/>
  <c r="O22" i="6"/>
  <c r="K22" i="6"/>
  <c r="J22" i="6"/>
  <c r="I22" i="6"/>
  <c r="H22" i="6"/>
  <c r="G22" i="6"/>
  <c r="F22" i="6"/>
  <c r="E22" i="6"/>
  <c r="BU21" i="6"/>
  <c r="BT21" i="6"/>
  <c r="BS21" i="6"/>
  <c r="BR21" i="6"/>
  <c r="BQ21" i="6"/>
  <c r="BP21" i="6"/>
  <c r="BO21" i="6"/>
  <c r="BJ21" i="6"/>
  <c r="BI21" i="6"/>
  <c r="BH21" i="6"/>
  <c r="BG21" i="6"/>
  <c r="BF21" i="6"/>
  <c r="BE21" i="6"/>
  <c r="BD21" i="6"/>
  <c r="BC21" i="6"/>
  <c r="BB21" i="6"/>
  <c r="AX21" i="6"/>
  <c r="AW21" i="6"/>
  <c r="AV21" i="6"/>
  <c r="AS21" i="6"/>
  <c r="AR21" i="6"/>
  <c r="AQ21" i="6"/>
  <c r="AP21" i="6"/>
  <c r="AO21" i="6"/>
  <c r="AN21" i="6"/>
  <c r="AM21" i="6"/>
  <c r="AL21" i="6"/>
  <c r="AH21" i="6"/>
  <c r="AG21" i="6"/>
  <c r="AF21" i="6"/>
  <c r="AE21" i="6"/>
  <c r="AD21" i="6"/>
  <c r="AC21" i="6"/>
  <c r="AA21" i="6"/>
  <c r="Z21" i="6"/>
  <c r="Y21" i="6"/>
  <c r="X21" i="6"/>
  <c r="W21" i="6"/>
  <c r="T21" i="6"/>
  <c r="S21" i="6"/>
  <c r="R21" i="6"/>
  <c r="Q21" i="6"/>
  <c r="P21" i="6"/>
  <c r="O21" i="6"/>
  <c r="K21" i="6"/>
  <c r="J21" i="6"/>
  <c r="I21" i="6"/>
  <c r="H21" i="6"/>
  <c r="G21" i="6"/>
  <c r="F21" i="6"/>
  <c r="E21" i="6"/>
  <c r="BU20" i="6"/>
  <c r="BT20" i="6"/>
  <c r="BS20" i="6"/>
  <c r="BR20" i="6"/>
  <c r="BQ20" i="6"/>
  <c r="BP20" i="6"/>
  <c r="BO20" i="6"/>
  <c r="BJ20" i="6"/>
  <c r="BI20" i="6"/>
  <c r="BH20" i="6"/>
  <c r="BG20" i="6"/>
  <c r="BF20" i="6"/>
  <c r="BE20" i="6"/>
  <c r="BD20" i="6"/>
  <c r="BC20" i="6"/>
  <c r="BB20" i="6"/>
  <c r="AX20" i="6"/>
  <c r="AW20" i="6"/>
  <c r="AV20" i="6"/>
  <c r="AS20" i="6"/>
  <c r="AR20" i="6"/>
  <c r="AQ20" i="6"/>
  <c r="AP20" i="6"/>
  <c r="AO20" i="6"/>
  <c r="AN20" i="6"/>
  <c r="AM20" i="6"/>
  <c r="AL20" i="6"/>
  <c r="AH20" i="6"/>
  <c r="AG20" i="6"/>
  <c r="AF20" i="6"/>
  <c r="AE20" i="6"/>
  <c r="AD20" i="6"/>
  <c r="AC20" i="6"/>
  <c r="AA20" i="6"/>
  <c r="Z20" i="6"/>
  <c r="Y20" i="6"/>
  <c r="X20" i="6"/>
  <c r="W20" i="6"/>
  <c r="T20" i="6"/>
  <c r="S20" i="6"/>
  <c r="R20" i="6"/>
  <c r="Q20" i="6"/>
  <c r="P20" i="6"/>
  <c r="O20" i="6"/>
  <c r="K20" i="6"/>
  <c r="J20" i="6"/>
  <c r="I20" i="6"/>
  <c r="H20" i="6"/>
  <c r="G20" i="6"/>
  <c r="F20" i="6"/>
  <c r="E20" i="6"/>
  <c r="BU19" i="6"/>
  <c r="BT19" i="6"/>
  <c r="BS19" i="6"/>
  <c r="BR19" i="6"/>
  <c r="BQ19" i="6"/>
  <c r="BP19" i="6"/>
  <c r="BO19" i="6"/>
  <c r="BJ19" i="6"/>
  <c r="BI19" i="6"/>
  <c r="BH19" i="6"/>
  <c r="BG19" i="6"/>
  <c r="BF19" i="6"/>
  <c r="BE19" i="6"/>
  <c r="BD19" i="6"/>
  <c r="BC19" i="6"/>
  <c r="BB19" i="6"/>
  <c r="AX19" i="6"/>
  <c r="AW19" i="6"/>
  <c r="AV19" i="6"/>
  <c r="AS19" i="6"/>
  <c r="AR19" i="6"/>
  <c r="AQ19" i="6"/>
  <c r="AP19" i="6"/>
  <c r="AO19" i="6"/>
  <c r="AN19" i="6"/>
  <c r="AM19" i="6"/>
  <c r="AL19" i="6"/>
  <c r="AH19" i="6"/>
  <c r="AG19" i="6"/>
  <c r="AF19" i="6"/>
  <c r="AE19" i="6"/>
  <c r="AD19" i="6"/>
  <c r="AC19" i="6"/>
  <c r="AA19" i="6"/>
  <c r="Z19" i="6"/>
  <c r="Y19" i="6"/>
  <c r="X19" i="6"/>
  <c r="W19" i="6"/>
  <c r="T19" i="6"/>
  <c r="S19" i="6"/>
  <c r="R19" i="6"/>
  <c r="Q19" i="6"/>
  <c r="P19" i="6"/>
  <c r="O19" i="6"/>
  <c r="K19" i="6"/>
  <c r="J19" i="6"/>
  <c r="I19" i="6"/>
  <c r="H19" i="6"/>
  <c r="G19" i="6"/>
  <c r="F19" i="6"/>
  <c r="E19" i="6"/>
  <c r="BU18" i="6"/>
  <c r="BT18" i="6"/>
  <c r="BS18" i="6"/>
  <c r="BR18" i="6"/>
  <c r="BQ18" i="6"/>
  <c r="BP18" i="6"/>
  <c r="BO18" i="6"/>
  <c r="BJ18" i="6"/>
  <c r="BI18" i="6"/>
  <c r="BH18" i="6"/>
  <c r="BG18" i="6"/>
  <c r="BF18" i="6"/>
  <c r="BE18" i="6"/>
  <c r="BD18" i="6"/>
  <c r="BC18" i="6"/>
  <c r="BB18" i="6"/>
  <c r="AX18" i="6"/>
  <c r="AW18" i="6"/>
  <c r="AV18" i="6"/>
  <c r="AS18" i="6"/>
  <c r="AR18" i="6"/>
  <c r="AQ18" i="6"/>
  <c r="AP18" i="6"/>
  <c r="AO18" i="6"/>
  <c r="AN18" i="6"/>
  <c r="AM18" i="6"/>
  <c r="AL18" i="6"/>
  <c r="AH18" i="6"/>
  <c r="AG18" i="6"/>
  <c r="AF18" i="6"/>
  <c r="AE18" i="6"/>
  <c r="AD18" i="6"/>
  <c r="AC18" i="6"/>
  <c r="AA18" i="6"/>
  <c r="Z18" i="6"/>
  <c r="Y18" i="6"/>
  <c r="X18" i="6"/>
  <c r="W18" i="6"/>
  <c r="T18" i="6"/>
  <c r="S18" i="6"/>
  <c r="R18" i="6"/>
  <c r="Q18" i="6"/>
  <c r="P18" i="6"/>
  <c r="O18" i="6"/>
  <c r="K18" i="6"/>
  <c r="J18" i="6"/>
  <c r="I18" i="6"/>
  <c r="H18" i="6"/>
  <c r="G18" i="6"/>
  <c r="F18" i="6"/>
  <c r="E18" i="6"/>
  <c r="BU17" i="6"/>
  <c r="BT17" i="6"/>
  <c r="BS17" i="6"/>
  <c r="BR17" i="6"/>
  <c r="BQ17" i="6"/>
  <c r="BP17" i="6"/>
  <c r="BO17" i="6"/>
  <c r="BJ17" i="6"/>
  <c r="BI17" i="6"/>
  <c r="BH17" i="6"/>
  <c r="BG17" i="6"/>
  <c r="BF17" i="6"/>
  <c r="BE17" i="6"/>
  <c r="BD17" i="6"/>
  <c r="BC17" i="6"/>
  <c r="BB17" i="6"/>
  <c r="AX17" i="6"/>
  <c r="AW17" i="6"/>
  <c r="AV17" i="6"/>
  <c r="AS17" i="6"/>
  <c r="AR17" i="6"/>
  <c r="AQ17" i="6"/>
  <c r="AP17" i="6"/>
  <c r="AO17" i="6"/>
  <c r="AN17" i="6"/>
  <c r="AM17" i="6"/>
  <c r="AL17" i="6"/>
  <c r="AH17" i="6"/>
  <c r="AG17" i="6"/>
  <c r="AF17" i="6"/>
  <c r="AE17" i="6"/>
  <c r="AD17" i="6"/>
  <c r="AC17" i="6"/>
  <c r="AA17" i="6"/>
  <c r="Z17" i="6"/>
  <c r="Y17" i="6"/>
  <c r="X17" i="6"/>
  <c r="W17" i="6"/>
  <c r="T17" i="6"/>
  <c r="S17" i="6"/>
  <c r="R17" i="6"/>
  <c r="Q17" i="6"/>
  <c r="P17" i="6"/>
  <c r="O17" i="6"/>
  <c r="K17" i="6"/>
  <c r="J17" i="6"/>
  <c r="I17" i="6"/>
  <c r="H17" i="6"/>
  <c r="G17" i="6"/>
  <c r="F17" i="6"/>
  <c r="E17" i="6"/>
  <c r="BU16" i="6"/>
  <c r="BT16" i="6"/>
  <c r="BS16" i="6"/>
  <c r="BR16" i="6"/>
  <c r="BQ16" i="6"/>
  <c r="BP16" i="6"/>
  <c r="BO16" i="6"/>
  <c r="BJ16" i="6"/>
  <c r="BI16" i="6"/>
  <c r="BH16" i="6"/>
  <c r="BG16" i="6"/>
  <c r="BF16" i="6"/>
  <c r="BE16" i="6"/>
  <c r="BD16" i="6"/>
  <c r="BC16" i="6"/>
  <c r="BB16" i="6"/>
  <c r="AX16" i="6"/>
  <c r="AW16" i="6"/>
  <c r="AV16" i="6"/>
  <c r="AS16" i="6"/>
  <c r="AR16" i="6"/>
  <c r="AQ16" i="6"/>
  <c r="AP16" i="6"/>
  <c r="AO16" i="6"/>
  <c r="AN16" i="6"/>
  <c r="AM16" i="6"/>
  <c r="AL16" i="6"/>
  <c r="AH16" i="6"/>
  <c r="AG16" i="6"/>
  <c r="AF16" i="6"/>
  <c r="AE16" i="6"/>
  <c r="AD16" i="6"/>
  <c r="AC16" i="6"/>
  <c r="AA16" i="6"/>
  <c r="Z16" i="6"/>
  <c r="Y16" i="6"/>
  <c r="X16" i="6"/>
  <c r="W16" i="6"/>
  <c r="T16" i="6"/>
  <c r="S16" i="6"/>
  <c r="R16" i="6"/>
  <c r="Q16" i="6"/>
  <c r="P16" i="6"/>
  <c r="O16" i="6"/>
  <c r="K16" i="6"/>
  <c r="J16" i="6"/>
  <c r="I16" i="6"/>
  <c r="H16" i="6"/>
  <c r="G16" i="6"/>
  <c r="F16" i="6"/>
  <c r="E16" i="6"/>
  <c r="BU15" i="6"/>
  <c r="BT15" i="6"/>
  <c r="BS15" i="6"/>
  <c r="BR15" i="6"/>
  <c r="BQ15" i="6"/>
  <c r="BP15" i="6"/>
  <c r="BO15" i="6"/>
  <c r="BJ15" i="6"/>
  <c r="BI15" i="6"/>
  <c r="BH15" i="6"/>
  <c r="BG15" i="6"/>
  <c r="BF15" i="6"/>
  <c r="BE15" i="6"/>
  <c r="BD15" i="6"/>
  <c r="BC15" i="6"/>
  <c r="BB15" i="6"/>
  <c r="AX15" i="6"/>
  <c r="AW15" i="6"/>
  <c r="AV15" i="6"/>
  <c r="AS15" i="6"/>
  <c r="AR15" i="6"/>
  <c r="AQ15" i="6"/>
  <c r="AP15" i="6"/>
  <c r="AO15" i="6"/>
  <c r="AN15" i="6"/>
  <c r="AM15" i="6"/>
  <c r="AL15" i="6"/>
  <c r="AH15" i="6"/>
  <c r="AG15" i="6"/>
  <c r="AF15" i="6"/>
  <c r="AE15" i="6"/>
  <c r="AD15" i="6"/>
  <c r="AC15" i="6"/>
  <c r="AA15" i="6"/>
  <c r="Z15" i="6"/>
  <c r="Y15" i="6"/>
  <c r="X15" i="6"/>
  <c r="W15" i="6"/>
  <c r="T15" i="6"/>
  <c r="S15" i="6"/>
  <c r="R15" i="6"/>
  <c r="Q15" i="6"/>
  <c r="P15" i="6"/>
  <c r="O15" i="6"/>
  <c r="K15" i="6"/>
  <c r="J15" i="6"/>
  <c r="I15" i="6"/>
  <c r="H15" i="6"/>
  <c r="G15" i="6"/>
  <c r="F15" i="6"/>
  <c r="E15" i="6"/>
  <c r="BU14" i="6"/>
  <c r="BT14" i="6"/>
  <c r="BS14" i="6"/>
  <c r="BR14" i="6"/>
  <c r="BQ14" i="6"/>
  <c r="BP14" i="6"/>
  <c r="BO14" i="6"/>
  <c r="BJ14" i="6"/>
  <c r="BI14" i="6"/>
  <c r="BH14" i="6"/>
  <c r="BG14" i="6"/>
  <c r="BF14" i="6"/>
  <c r="BE14" i="6"/>
  <c r="BD14" i="6"/>
  <c r="BC14" i="6"/>
  <c r="BB14" i="6"/>
  <c r="AX14" i="6"/>
  <c r="AW14" i="6"/>
  <c r="AV14" i="6"/>
  <c r="AS14" i="6"/>
  <c r="AR14" i="6"/>
  <c r="AQ14" i="6"/>
  <c r="AP14" i="6"/>
  <c r="AO14" i="6"/>
  <c r="AN14" i="6"/>
  <c r="AM14" i="6"/>
  <c r="AL14" i="6"/>
  <c r="AH14" i="6"/>
  <c r="AG14" i="6"/>
  <c r="AF14" i="6"/>
  <c r="AE14" i="6"/>
  <c r="AD14" i="6"/>
  <c r="AC14" i="6"/>
  <c r="AA14" i="6"/>
  <c r="Z14" i="6"/>
  <c r="Y14" i="6"/>
  <c r="X14" i="6"/>
  <c r="W14" i="6"/>
  <c r="T14" i="6"/>
  <c r="S14" i="6"/>
  <c r="R14" i="6"/>
  <c r="Q14" i="6"/>
  <c r="P14" i="6"/>
  <c r="O14" i="6"/>
  <c r="K14" i="6"/>
  <c r="J14" i="6"/>
  <c r="I14" i="6"/>
  <c r="H14" i="6"/>
  <c r="G14" i="6"/>
  <c r="F14" i="6"/>
  <c r="E14" i="6"/>
  <c r="BU13" i="6"/>
  <c r="BT13" i="6"/>
  <c r="BS13" i="6"/>
  <c r="BR13" i="6"/>
  <c r="BQ13" i="6"/>
  <c r="BP13" i="6"/>
  <c r="BO13" i="6"/>
  <c r="BJ13" i="6"/>
  <c r="BI13" i="6"/>
  <c r="BH13" i="6"/>
  <c r="BG13" i="6"/>
  <c r="BF13" i="6"/>
  <c r="BE13" i="6"/>
  <c r="BD13" i="6"/>
  <c r="BC13" i="6"/>
  <c r="BB13" i="6"/>
  <c r="AX13" i="6"/>
  <c r="AW13" i="6"/>
  <c r="AV13" i="6"/>
  <c r="AS13" i="6"/>
  <c r="AR13" i="6"/>
  <c r="AQ13" i="6"/>
  <c r="AP13" i="6"/>
  <c r="AO13" i="6"/>
  <c r="AN13" i="6"/>
  <c r="AM13" i="6"/>
  <c r="AL13" i="6"/>
  <c r="AH13" i="6"/>
  <c r="AG13" i="6"/>
  <c r="AF13" i="6"/>
  <c r="AE13" i="6"/>
  <c r="AD13" i="6"/>
  <c r="AC13" i="6"/>
  <c r="AA13" i="6"/>
  <c r="Z13" i="6"/>
  <c r="Y13" i="6"/>
  <c r="X13" i="6"/>
  <c r="W13" i="6"/>
  <c r="T13" i="6"/>
  <c r="S13" i="6"/>
  <c r="R13" i="6"/>
  <c r="Q13" i="6"/>
  <c r="P13" i="6"/>
  <c r="O13" i="6"/>
  <c r="K13" i="6"/>
  <c r="J13" i="6"/>
  <c r="I13" i="6"/>
  <c r="H13" i="6"/>
  <c r="G13" i="6"/>
  <c r="F13" i="6"/>
  <c r="E13" i="6"/>
  <c r="BU12" i="6"/>
  <c r="BT12" i="6"/>
  <c r="BS12" i="6"/>
  <c r="BR12" i="6"/>
  <c r="BQ12" i="6"/>
  <c r="BP12" i="6"/>
  <c r="BO12" i="6"/>
  <c r="BJ12" i="6"/>
  <c r="BI12" i="6"/>
  <c r="BH12" i="6"/>
  <c r="BG12" i="6"/>
  <c r="BF12" i="6"/>
  <c r="BE12" i="6"/>
  <c r="BD12" i="6"/>
  <c r="BC12" i="6"/>
  <c r="BB12" i="6"/>
  <c r="AX12" i="6"/>
  <c r="AW12" i="6"/>
  <c r="AV12" i="6"/>
  <c r="AS12" i="6"/>
  <c r="AR12" i="6"/>
  <c r="AQ12" i="6"/>
  <c r="AP12" i="6"/>
  <c r="AO12" i="6"/>
  <c r="AN12" i="6"/>
  <c r="AM12" i="6"/>
  <c r="AL12" i="6"/>
  <c r="AH12" i="6"/>
  <c r="AG12" i="6"/>
  <c r="AF12" i="6"/>
  <c r="AE12" i="6"/>
  <c r="AD12" i="6"/>
  <c r="AC12" i="6"/>
  <c r="AA12" i="6"/>
  <c r="Z12" i="6"/>
  <c r="Y12" i="6"/>
  <c r="X12" i="6"/>
  <c r="W12" i="6"/>
  <c r="T12" i="6"/>
  <c r="S12" i="6"/>
  <c r="R12" i="6"/>
  <c r="Q12" i="6"/>
  <c r="P12" i="6"/>
  <c r="O12" i="6"/>
  <c r="K12" i="6"/>
  <c r="J12" i="6"/>
  <c r="I12" i="6"/>
  <c r="H12" i="6"/>
  <c r="G12" i="6"/>
  <c r="F12" i="6"/>
  <c r="E12" i="6"/>
  <c r="BU11" i="6"/>
  <c r="BT11" i="6"/>
  <c r="BS11" i="6"/>
  <c r="BR11" i="6"/>
  <c r="BQ11" i="6"/>
  <c r="BP11" i="6"/>
  <c r="BO11" i="6"/>
  <c r="BJ11" i="6"/>
  <c r="BI11" i="6"/>
  <c r="BH11" i="6"/>
  <c r="BG11" i="6"/>
  <c r="BF11" i="6"/>
  <c r="BE11" i="6"/>
  <c r="BD11" i="6"/>
  <c r="BC11" i="6"/>
  <c r="BB11" i="6"/>
  <c r="AX11" i="6"/>
  <c r="AW11" i="6"/>
  <c r="AV11" i="6"/>
  <c r="AS11" i="6"/>
  <c r="AR11" i="6"/>
  <c r="AQ11" i="6"/>
  <c r="AP11" i="6"/>
  <c r="AO11" i="6"/>
  <c r="AN11" i="6"/>
  <c r="AM11" i="6"/>
  <c r="AL11" i="6"/>
  <c r="AH11" i="6"/>
  <c r="AG11" i="6"/>
  <c r="AF11" i="6"/>
  <c r="AE11" i="6"/>
  <c r="AD11" i="6"/>
  <c r="AC11" i="6"/>
  <c r="AA11" i="6"/>
  <c r="Z11" i="6"/>
  <c r="Y11" i="6"/>
  <c r="X11" i="6"/>
  <c r="W11" i="6"/>
  <c r="T11" i="6"/>
  <c r="S11" i="6"/>
  <c r="R11" i="6"/>
  <c r="Q11" i="6"/>
  <c r="P11" i="6"/>
  <c r="O11" i="6"/>
  <c r="K11" i="6"/>
  <c r="J11" i="6"/>
  <c r="I11" i="6"/>
  <c r="H11" i="6"/>
  <c r="G11" i="6"/>
  <c r="F11" i="6"/>
  <c r="E11" i="6"/>
  <c r="BU10" i="6"/>
  <c r="BT10" i="6"/>
  <c r="BS10" i="6"/>
  <c r="BR10" i="6"/>
  <c r="BQ10" i="6"/>
  <c r="BP10" i="6"/>
  <c r="BO10" i="6"/>
  <c r="BJ10" i="6"/>
  <c r="BI10" i="6"/>
  <c r="BH10" i="6"/>
  <c r="BG10" i="6"/>
  <c r="BF10" i="6"/>
  <c r="BE10" i="6"/>
  <c r="BD10" i="6"/>
  <c r="BC10" i="6"/>
  <c r="BB10" i="6"/>
  <c r="AX10" i="6"/>
  <c r="AW10" i="6"/>
  <c r="AV10" i="6"/>
  <c r="AS10" i="6"/>
  <c r="AR10" i="6"/>
  <c r="AQ10" i="6"/>
  <c r="AP10" i="6"/>
  <c r="AO10" i="6"/>
  <c r="AN10" i="6"/>
  <c r="AM10" i="6"/>
  <c r="AL10" i="6"/>
  <c r="AH10" i="6"/>
  <c r="AG10" i="6"/>
  <c r="AF10" i="6"/>
  <c r="AE10" i="6"/>
  <c r="AD10" i="6"/>
  <c r="AC10" i="6"/>
  <c r="AA10" i="6"/>
  <c r="Z10" i="6"/>
  <c r="Y10" i="6"/>
  <c r="X10" i="6"/>
  <c r="W10" i="6"/>
  <c r="T10" i="6"/>
  <c r="S10" i="6"/>
  <c r="R10" i="6"/>
  <c r="Q10" i="6"/>
  <c r="P10" i="6"/>
  <c r="O10" i="6"/>
  <c r="K10" i="6"/>
  <c r="J10" i="6"/>
  <c r="I10" i="6"/>
  <c r="H10" i="6"/>
  <c r="G10" i="6"/>
  <c r="F10" i="6"/>
  <c r="E10" i="6"/>
  <c r="BU9" i="6"/>
  <c r="BT9" i="6"/>
  <c r="BS9" i="6"/>
  <c r="BR9" i="6"/>
  <c r="BQ9" i="6"/>
  <c r="BP9" i="6"/>
  <c r="BO9" i="6"/>
  <c r="BJ9" i="6"/>
  <c r="BI9" i="6"/>
  <c r="BH9" i="6"/>
  <c r="BG9" i="6"/>
  <c r="BF9" i="6"/>
  <c r="BE9" i="6"/>
  <c r="BD9" i="6"/>
  <c r="BC9" i="6"/>
  <c r="BB9" i="6"/>
  <c r="AX9" i="6"/>
  <c r="AW9" i="6"/>
  <c r="AV9" i="6"/>
  <c r="AS9" i="6"/>
  <c r="AR9" i="6"/>
  <c r="AQ9" i="6"/>
  <c r="AP9" i="6"/>
  <c r="AO9" i="6"/>
  <c r="AN9" i="6"/>
  <c r="AM9" i="6"/>
  <c r="AL9" i="6"/>
  <c r="AH9" i="6"/>
  <c r="AG9" i="6"/>
  <c r="AF9" i="6"/>
  <c r="AE9" i="6"/>
  <c r="AD9" i="6"/>
  <c r="AC9" i="6"/>
  <c r="AA9" i="6"/>
  <c r="Z9" i="6"/>
  <c r="Y9" i="6"/>
  <c r="X9" i="6"/>
  <c r="W9" i="6"/>
  <c r="T9" i="6"/>
  <c r="S9" i="6"/>
  <c r="R9" i="6"/>
  <c r="Q9" i="6"/>
  <c r="P9" i="6"/>
  <c r="O9" i="6"/>
  <c r="K9" i="6"/>
  <c r="J9" i="6"/>
  <c r="I9" i="6"/>
  <c r="H9" i="6"/>
  <c r="G9" i="6"/>
  <c r="F9" i="6"/>
  <c r="E9" i="6"/>
  <c r="BU8" i="6"/>
  <c r="BT8" i="6"/>
  <c r="BS8" i="6"/>
  <c r="BR8" i="6"/>
  <c r="BQ8" i="6"/>
  <c r="BP8" i="6"/>
  <c r="BO8" i="6"/>
  <c r="BJ8" i="6"/>
  <c r="BI8" i="6"/>
  <c r="BH8" i="6"/>
  <c r="BG8" i="6"/>
  <c r="BF8" i="6"/>
  <c r="BE8" i="6"/>
  <c r="BD8" i="6"/>
  <c r="BC8" i="6"/>
  <c r="BB8" i="6"/>
  <c r="AX8" i="6"/>
  <c r="AW8" i="6"/>
  <c r="AV8" i="6"/>
  <c r="AS8" i="6"/>
  <c r="AR8" i="6"/>
  <c r="AQ8" i="6"/>
  <c r="AP8" i="6"/>
  <c r="AO8" i="6"/>
  <c r="AN8" i="6"/>
  <c r="AM8" i="6"/>
  <c r="AL8" i="6"/>
  <c r="AH8" i="6"/>
  <c r="AG8" i="6"/>
  <c r="AF8" i="6"/>
  <c r="AE8" i="6"/>
  <c r="AD8" i="6"/>
  <c r="AC8" i="6"/>
  <c r="AA8" i="6"/>
  <c r="Z8" i="6"/>
  <c r="Y8" i="6"/>
  <c r="X8" i="6"/>
  <c r="W8" i="6"/>
  <c r="T8" i="6"/>
  <c r="S8" i="6"/>
  <c r="R8" i="6"/>
  <c r="Q8" i="6"/>
  <c r="P8" i="6"/>
  <c r="O8" i="6"/>
  <c r="K8" i="6"/>
  <c r="J8" i="6"/>
  <c r="I8" i="6"/>
  <c r="H8" i="6"/>
  <c r="G8" i="6"/>
  <c r="F8" i="6"/>
  <c r="E8" i="6"/>
  <c r="BU7" i="6"/>
  <c r="BT7" i="6"/>
  <c r="BS7" i="6"/>
  <c r="BR7" i="6"/>
  <c r="BQ7" i="6"/>
  <c r="BP7" i="6"/>
  <c r="BO7" i="6"/>
  <c r="BJ7" i="6"/>
  <c r="BI7" i="6"/>
  <c r="BH7" i="6"/>
  <c r="BG7" i="6"/>
  <c r="BF7" i="6"/>
  <c r="BE7" i="6"/>
  <c r="BD7" i="6"/>
  <c r="BC7" i="6"/>
  <c r="BB7" i="6"/>
  <c r="AX7" i="6"/>
  <c r="AW7" i="6"/>
  <c r="AV7" i="6"/>
  <c r="AS7" i="6"/>
  <c r="AR7" i="6"/>
  <c r="AQ7" i="6"/>
  <c r="AP7" i="6"/>
  <c r="AO7" i="6"/>
  <c r="AN7" i="6"/>
  <c r="AM7" i="6"/>
  <c r="AL7" i="6"/>
  <c r="AH7" i="6"/>
  <c r="AG7" i="6"/>
  <c r="AF7" i="6"/>
  <c r="AE7" i="6"/>
  <c r="AD7" i="6"/>
  <c r="AC7" i="6"/>
  <c r="AA7" i="6"/>
  <c r="Z7" i="6"/>
  <c r="Y7" i="6"/>
  <c r="X7" i="6"/>
  <c r="W7" i="6"/>
  <c r="T7" i="6"/>
  <c r="S7" i="6"/>
  <c r="R7" i="6"/>
  <c r="Q7" i="6"/>
  <c r="P7" i="6"/>
  <c r="O7" i="6"/>
  <c r="K7" i="6"/>
  <c r="J7" i="6"/>
  <c r="I7" i="6"/>
  <c r="H7" i="6"/>
  <c r="G7" i="6"/>
  <c r="F7" i="6"/>
  <c r="E7" i="6"/>
  <c r="BU6" i="6"/>
  <c r="BT6" i="6"/>
  <c r="BS6" i="6"/>
  <c r="BR6" i="6"/>
  <c r="BQ6" i="6"/>
  <c r="BP6" i="6"/>
  <c r="BO6" i="6"/>
  <c r="BJ6" i="6"/>
  <c r="BI6" i="6"/>
  <c r="BH6" i="6"/>
  <c r="BG6" i="6"/>
  <c r="BF6" i="6"/>
  <c r="BE6" i="6"/>
  <c r="BD6" i="6"/>
  <c r="BC6" i="6"/>
  <c r="BB6" i="6"/>
  <c r="AX6" i="6"/>
  <c r="AW6" i="6"/>
  <c r="AV6" i="6"/>
  <c r="AS6" i="6"/>
  <c r="AR6" i="6"/>
  <c r="AQ6" i="6"/>
  <c r="AP6" i="6"/>
  <c r="AO6" i="6"/>
  <c r="AN6" i="6"/>
  <c r="AM6" i="6"/>
  <c r="AL6" i="6"/>
  <c r="AH6" i="6"/>
  <c r="AG6" i="6"/>
  <c r="AF6" i="6"/>
  <c r="AE6" i="6"/>
  <c r="AD6" i="6"/>
  <c r="AC6" i="6"/>
  <c r="AA6" i="6"/>
  <c r="Z6" i="6"/>
  <c r="Y6" i="6"/>
  <c r="X6" i="6"/>
  <c r="W6" i="6"/>
  <c r="T6" i="6"/>
  <c r="S6" i="6"/>
  <c r="R6" i="6"/>
  <c r="Q6" i="6"/>
  <c r="P6" i="6"/>
  <c r="O6" i="6"/>
  <c r="K6" i="6"/>
  <c r="J6" i="6"/>
  <c r="I6" i="6"/>
  <c r="H6" i="6"/>
  <c r="G6" i="6"/>
  <c r="F6" i="6"/>
  <c r="E6" i="6"/>
  <c r="BU5" i="6"/>
  <c r="BT5" i="6"/>
  <c r="BS5" i="6"/>
  <c r="BR5" i="6"/>
  <c r="BQ5" i="6"/>
  <c r="BP5" i="6"/>
  <c r="BO5" i="6"/>
  <c r="BJ5" i="6"/>
  <c r="BI5" i="6"/>
  <c r="BH5" i="6"/>
  <c r="BG5" i="6"/>
  <c r="BF5" i="6"/>
  <c r="BE5" i="6"/>
  <c r="BD5" i="6"/>
  <c r="BC5" i="6"/>
  <c r="BB5" i="6"/>
  <c r="AX5" i="6"/>
  <c r="AW5" i="6"/>
  <c r="AV5" i="6"/>
  <c r="AS5" i="6"/>
  <c r="AR5" i="6"/>
  <c r="AQ5" i="6"/>
  <c r="AP5" i="6"/>
  <c r="AO5" i="6"/>
  <c r="AN5" i="6"/>
  <c r="AM5" i="6"/>
  <c r="AL5" i="6"/>
  <c r="AH5" i="6"/>
  <c r="AG5" i="6"/>
  <c r="AF5" i="6"/>
  <c r="AE5" i="6"/>
  <c r="AD5" i="6"/>
  <c r="AC5" i="6"/>
  <c r="AA5" i="6"/>
  <c r="Z5" i="6"/>
  <c r="Y5" i="6"/>
  <c r="X5" i="6"/>
  <c r="W5" i="6"/>
  <c r="T5" i="6"/>
  <c r="S5" i="6"/>
  <c r="R5" i="6"/>
  <c r="Q5" i="6"/>
  <c r="P5" i="6"/>
  <c r="O5" i="6"/>
  <c r="K5" i="6"/>
  <c r="J5" i="6"/>
  <c r="I5" i="6"/>
  <c r="H5" i="6"/>
  <c r="G5" i="6"/>
  <c r="F5" i="6"/>
  <c r="E5" i="6"/>
  <c r="BU4" i="6"/>
  <c r="BT4" i="6"/>
  <c r="BS4" i="6"/>
  <c r="BR4" i="6"/>
  <c r="BQ4" i="6"/>
  <c r="BP4" i="6"/>
  <c r="BO4" i="6"/>
  <c r="BJ4" i="6"/>
  <c r="BI4" i="6"/>
  <c r="BH4" i="6"/>
  <c r="BG4" i="6"/>
  <c r="BF4" i="6"/>
  <c r="BE4" i="6"/>
  <c r="BD4" i="6"/>
  <c r="BC4" i="6"/>
  <c r="BB4" i="6"/>
  <c r="AX4" i="6"/>
  <c r="AW4" i="6"/>
  <c r="AV4" i="6"/>
  <c r="AS4" i="6"/>
  <c r="AR4" i="6"/>
  <c r="AQ4" i="6"/>
  <c r="AP4" i="6"/>
  <c r="AO4" i="6"/>
  <c r="AN4" i="6"/>
  <c r="AM4" i="6"/>
  <c r="AL4" i="6"/>
  <c r="AH4" i="6"/>
  <c r="AG4" i="6"/>
  <c r="AF4" i="6"/>
  <c r="AE4" i="6"/>
  <c r="AD4" i="6"/>
  <c r="AC4" i="6"/>
  <c r="AA4" i="6"/>
  <c r="Z4" i="6"/>
  <c r="Y4" i="6"/>
  <c r="X4" i="6"/>
  <c r="W4" i="6"/>
  <c r="T4" i="6"/>
  <c r="S4" i="6"/>
  <c r="R4" i="6"/>
  <c r="Q4" i="6"/>
  <c r="P4" i="6"/>
  <c r="O4" i="6"/>
  <c r="K4" i="6"/>
  <c r="J4" i="6"/>
  <c r="I4" i="6"/>
  <c r="H4" i="6"/>
  <c r="G4" i="6"/>
  <c r="F4" i="6"/>
  <c r="E4" i="6"/>
  <c r="BU3" i="6"/>
  <c r="BT3" i="6"/>
  <c r="BS3" i="6"/>
  <c r="BR3" i="6"/>
  <c r="BQ3" i="6"/>
  <c r="BP3" i="6"/>
  <c r="BO3" i="6"/>
  <c r="BJ3" i="6"/>
  <c r="BI3" i="6"/>
  <c r="BH3" i="6"/>
  <c r="BG3" i="6"/>
  <c r="BF3" i="6"/>
  <c r="BE3" i="6"/>
  <c r="BD3" i="6"/>
  <c r="BC3" i="6"/>
  <c r="BB3" i="6"/>
  <c r="AX3" i="6"/>
  <c r="AW3" i="6"/>
  <c r="AV3" i="6"/>
  <c r="AS3" i="6"/>
  <c r="AR3" i="6"/>
  <c r="AQ3" i="6"/>
  <c r="AP3" i="6"/>
  <c r="AO3" i="6"/>
  <c r="AN3" i="6"/>
  <c r="AM3" i="6"/>
  <c r="AL3" i="6"/>
  <c r="AH3" i="6"/>
  <c r="AG3" i="6"/>
  <c r="AF3" i="6"/>
  <c r="AE3" i="6"/>
  <c r="AD3" i="6"/>
  <c r="AC3" i="6"/>
  <c r="AA3" i="6"/>
  <c r="Z3" i="6"/>
  <c r="Y3" i="6"/>
  <c r="X3" i="6"/>
  <c r="W3" i="6"/>
  <c r="T3" i="6"/>
  <c r="S3" i="6"/>
  <c r="R3" i="6"/>
  <c r="Q3" i="6"/>
  <c r="P3" i="6"/>
  <c r="O3" i="6"/>
  <c r="K3" i="6"/>
  <c r="J3" i="6"/>
  <c r="I3" i="6"/>
  <c r="H3" i="6"/>
  <c r="G3" i="6"/>
  <c r="F3" i="6"/>
  <c r="E3" i="6"/>
  <c r="BU13" i="5"/>
  <c r="BT13" i="5"/>
  <c r="BS13" i="5"/>
  <c r="BR13" i="5"/>
  <c r="BQ13" i="5"/>
  <c r="BP13" i="5"/>
  <c r="BO13" i="5"/>
  <c r="BJ13" i="5"/>
  <c r="BI13" i="5"/>
  <c r="BH13" i="5"/>
  <c r="BG13" i="5"/>
  <c r="BF13" i="5"/>
  <c r="BE13" i="5"/>
  <c r="BD13" i="5"/>
  <c r="BC13" i="5"/>
  <c r="BB13" i="5"/>
  <c r="AX13" i="5"/>
  <c r="AW13" i="5"/>
  <c r="AV13" i="5"/>
  <c r="AS13" i="5"/>
  <c r="AR13" i="5"/>
  <c r="AQ13" i="5"/>
  <c r="AP13" i="5"/>
  <c r="AO13" i="5"/>
  <c r="AN13" i="5"/>
  <c r="AM13" i="5"/>
  <c r="AL13" i="5"/>
  <c r="AH13" i="5"/>
  <c r="AG13" i="5"/>
  <c r="AF13" i="5"/>
  <c r="AE13" i="5"/>
  <c r="AD13" i="5"/>
  <c r="AC13" i="5"/>
  <c r="AA13" i="5"/>
  <c r="Z13" i="5"/>
  <c r="Y13" i="5"/>
  <c r="X13" i="5"/>
  <c r="W13" i="5"/>
  <c r="T13" i="5"/>
  <c r="S13" i="5"/>
  <c r="R13" i="5"/>
  <c r="Q13" i="5"/>
  <c r="P13" i="5"/>
  <c r="O13" i="5"/>
  <c r="K13" i="5"/>
  <c r="J13" i="5"/>
  <c r="I13" i="5"/>
  <c r="H13" i="5"/>
  <c r="G13" i="5"/>
  <c r="F13" i="5"/>
  <c r="E13" i="5"/>
  <c r="BU12" i="5"/>
  <c r="BT12" i="5"/>
  <c r="BS12" i="5"/>
  <c r="BR12" i="5"/>
  <c r="BQ12" i="5"/>
  <c r="BP12" i="5"/>
  <c r="BO12" i="5"/>
  <c r="BJ12" i="5"/>
  <c r="BI12" i="5"/>
  <c r="BH12" i="5"/>
  <c r="BG12" i="5"/>
  <c r="BF12" i="5"/>
  <c r="BE12" i="5"/>
  <c r="BD12" i="5"/>
  <c r="BC12" i="5"/>
  <c r="BB12" i="5"/>
  <c r="AX12" i="5"/>
  <c r="AW12" i="5"/>
  <c r="AV12" i="5"/>
  <c r="AS12" i="5"/>
  <c r="AR12" i="5"/>
  <c r="AQ12" i="5"/>
  <c r="AP12" i="5"/>
  <c r="AO12" i="5"/>
  <c r="AN12" i="5"/>
  <c r="AM12" i="5"/>
  <c r="AL12" i="5"/>
  <c r="AH12" i="5"/>
  <c r="AG12" i="5"/>
  <c r="AF12" i="5"/>
  <c r="AE12" i="5"/>
  <c r="AD12" i="5"/>
  <c r="AC12" i="5"/>
  <c r="AA12" i="5"/>
  <c r="Z12" i="5"/>
  <c r="Y12" i="5"/>
  <c r="X12" i="5"/>
  <c r="W12" i="5"/>
  <c r="T12" i="5"/>
  <c r="S12" i="5"/>
  <c r="R12" i="5"/>
  <c r="Q12" i="5"/>
  <c r="P12" i="5"/>
  <c r="O12" i="5"/>
  <c r="K12" i="5"/>
  <c r="J12" i="5"/>
  <c r="I12" i="5"/>
  <c r="H12" i="5"/>
  <c r="G12" i="5"/>
  <c r="F12" i="5"/>
  <c r="E12" i="5"/>
  <c r="BU11" i="5"/>
  <c r="BT11" i="5"/>
  <c r="BS11" i="5"/>
  <c r="BR11" i="5"/>
  <c r="BQ11" i="5"/>
  <c r="BP11" i="5"/>
  <c r="BO11" i="5"/>
  <c r="BJ11" i="5"/>
  <c r="BI11" i="5"/>
  <c r="BH11" i="5"/>
  <c r="BG11" i="5"/>
  <c r="BF11" i="5"/>
  <c r="BE11" i="5"/>
  <c r="BD11" i="5"/>
  <c r="BC11" i="5"/>
  <c r="BB11" i="5"/>
  <c r="AX11" i="5"/>
  <c r="AW11" i="5"/>
  <c r="AV11" i="5"/>
  <c r="AS11" i="5"/>
  <c r="AR11" i="5"/>
  <c r="AQ11" i="5"/>
  <c r="AP11" i="5"/>
  <c r="AO11" i="5"/>
  <c r="AN11" i="5"/>
  <c r="AM11" i="5"/>
  <c r="AL11" i="5"/>
  <c r="AH11" i="5"/>
  <c r="AG11" i="5"/>
  <c r="AF11" i="5"/>
  <c r="AE11" i="5"/>
  <c r="AD11" i="5"/>
  <c r="AC11" i="5"/>
  <c r="AA11" i="5"/>
  <c r="Z11" i="5"/>
  <c r="Y11" i="5"/>
  <c r="X11" i="5"/>
  <c r="W11" i="5"/>
  <c r="T11" i="5"/>
  <c r="S11" i="5"/>
  <c r="R11" i="5"/>
  <c r="Q11" i="5"/>
  <c r="P11" i="5"/>
  <c r="O11" i="5"/>
  <c r="K11" i="5"/>
  <c r="J11" i="5"/>
  <c r="I11" i="5"/>
  <c r="H11" i="5"/>
  <c r="G11" i="5"/>
  <c r="F11" i="5"/>
  <c r="E11" i="5"/>
  <c r="BU10" i="5"/>
  <c r="BT10" i="5"/>
  <c r="BS10" i="5"/>
  <c r="BR10" i="5"/>
  <c r="BQ10" i="5"/>
  <c r="BP10" i="5"/>
  <c r="BO10" i="5"/>
  <c r="BJ10" i="5"/>
  <c r="BI10" i="5"/>
  <c r="BH10" i="5"/>
  <c r="BG10" i="5"/>
  <c r="BF10" i="5"/>
  <c r="BE10" i="5"/>
  <c r="BD10" i="5"/>
  <c r="BC10" i="5"/>
  <c r="BB10" i="5"/>
  <c r="AX10" i="5"/>
  <c r="AW10" i="5"/>
  <c r="AV10" i="5"/>
  <c r="AS10" i="5"/>
  <c r="AR10" i="5"/>
  <c r="AQ10" i="5"/>
  <c r="AP10" i="5"/>
  <c r="AO10" i="5"/>
  <c r="AN10" i="5"/>
  <c r="AM10" i="5"/>
  <c r="AL10" i="5"/>
  <c r="AH10" i="5"/>
  <c r="AG10" i="5"/>
  <c r="AF10" i="5"/>
  <c r="AE10" i="5"/>
  <c r="AD10" i="5"/>
  <c r="AC10" i="5"/>
  <c r="AA10" i="5"/>
  <c r="Z10" i="5"/>
  <c r="Y10" i="5"/>
  <c r="X10" i="5"/>
  <c r="W10" i="5"/>
  <c r="T10" i="5"/>
  <c r="S10" i="5"/>
  <c r="R10" i="5"/>
  <c r="Q10" i="5"/>
  <c r="P10" i="5"/>
  <c r="O10" i="5"/>
  <c r="K10" i="5"/>
  <c r="J10" i="5"/>
  <c r="I10" i="5"/>
  <c r="H10" i="5"/>
  <c r="G10" i="5"/>
  <c r="F10" i="5"/>
  <c r="E10" i="5"/>
  <c r="BU9" i="5"/>
  <c r="BT9" i="5"/>
  <c r="BS9" i="5"/>
  <c r="BR9" i="5"/>
  <c r="BQ9" i="5"/>
  <c r="BP9" i="5"/>
  <c r="BO9" i="5"/>
  <c r="BJ9" i="5"/>
  <c r="BI9" i="5"/>
  <c r="BH9" i="5"/>
  <c r="BG9" i="5"/>
  <c r="BF9" i="5"/>
  <c r="BE9" i="5"/>
  <c r="BD9" i="5"/>
  <c r="BC9" i="5"/>
  <c r="BB9" i="5"/>
  <c r="AX9" i="5"/>
  <c r="AW9" i="5"/>
  <c r="AV9" i="5"/>
  <c r="AS9" i="5"/>
  <c r="AR9" i="5"/>
  <c r="AQ9" i="5"/>
  <c r="AP9" i="5"/>
  <c r="AO9" i="5"/>
  <c r="AN9" i="5"/>
  <c r="AM9" i="5"/>
  <c r="AL9" i="5"/>
  <c r="AH9" i="5"/>
  <c r="AG9" i="5"/>
  <c r="AF9" i="5"/>
  <c r="AE9" i="5"/>
  <c r="AD9" i="5"/>
  <c r="AC9" i="5"/>
  <c r="AA9" i="5"/>
  <c r="Z9" i="5"/>
  <c r="Y9" i="5"/>
  <c r="X9" i="5"/>
  <c r="W9" i="5"/>
  <c r="T9" i="5"/>
  <c r="S9" i="5"/>
  <c r="R9" i="5"/>
  <c r="Q9" i="5"/>
  <c r="P9" i="5"/>
  <c r="O9" i="5"/>
  <c r="K9" i="5"/>
  <c r="J9" i="5"/>
  <c r="I9" i="5"/>
  <c r="H9" i="5"/>
  <c r="G9" i="5"/>
  <c r="F9" i="5"/>
  <c r="E9" i="5"/>
  <c r="BU8" i="5"/>
  <c r="BT8" i="5"/>
  <c r="BS8" i="5"/>
  <c r="BR8" i="5"/>
  <c r="BQ8" i="5"/>
  <c r="BP8" i="5"/>
  <c r="BO8" i="5"/>
  <c r="BJ8" i="5"/>
  <c r="BI8" i="5"/>
  <c r="BH8" i="5"/>
  <c r="BG8" i="5"/>
  <c r="BF8" i="5"/>
  <c r="BE8" i="5"/>
  <c r="BD8" i="5"/>
  <c r="BC8" i="5"/>
  <c r="BB8" i="5"/>
  <c r="AX8" i="5"/>
  <c r="AW8" i="5"/>
  <c r="AV8" i="5"/>
  <c r="AS8" i="5"/>
  <c r="AR8" i="5"/>
  <c r="AQ8" i="5"/>
  <c r="AP8" i="5"/>
  <c r="AO8" i="5"/>
  <c r="AN8" i="5"/>
  <c r="AM8" i="5"/>
  <c r="AL8" i="5"/>
  <c r="AH8" i="5"/>
  <c r="AG8" i="5"/>
  <c r="AF8" i="5"/>
  <c r="AE8" i="5"/>
  <c r="AD8" i="5"/>
  <c r="AC8" i="5"/>
  <c r="AA8" i="5"/>
  <c r="Z8" i="5"/>
  <c r="Y8" i="5"/>
  <c r="X8" i="5"/>
  <c r="W8" i="5"/>
  <c r="T8" i="5"/>
  <c r="S8" i="5"/>
  <c r="R8" i="5"/>
  <c r="Q8" i="5"/>
  <c r="P8" i="5"/>
  <c r="O8" i="5"/>
  <c r="K8" i="5"/>
  <c r="J8" i="5"/>
  <c r="I8" i="5"/>
  <c r="H8" i="5"/>
  <c r="G8" i="5"/>
  <c r="F8" i="5"/>
  <c r="E8" i="5"/>
  <c r="BU7" i="5"/>
  <c r="BT7" i="5"/>
  <c r="BS7" i="5"/>
  <c r="BR7" i="5"/>
  <c r="BQ7" i="5"/>
  <c r="BP7" i="5"/>
  <c r="BO7" i="5"/>
  <c r="BJ7" i="5"/>
  <c r="BI7" i="5"/>
  <c r="BH7" i="5"/>
  <c r="BG7" i="5"/>
  <c r="BF7" i="5"/>
  <c r="BE7" i="5"/>
  <c r="BD7" i="5"/>
  <c r="BC7" i="5"/>
  <c r="BB7" i="5"/>
  <c r="AX7" i="5"/>
  <c r="AW7" i="5"/>
  <c r="AV7" i="5"/>
  <c r="AS7" i="5"/>
  <c r="AR7" i="5"/>
  <c r="AQ7" i="5"/>
  <c r="AP7" i="5"/>
  <c r="AO7" i="5"/>
  <c r="AN7" i="5"/>
  <c r="AM7" i="5"/>
  <c r="AL7" i="5"/>
  <c r="AH7" i="5"/>
  <c r="AG7" i="5"/>
  <c r="AF7" i="5"/>
  <c r="AE7" i="5"/>
  <c r="AD7" i="5"/>
  <c r="AC7" i="5"/>
  <c r="AA7" i="5"/>
  <c r="Z7" i="5"/>
  <c r="Y7" i="5"/>
  <c r="X7" i="5"/>
  <c r="W7" i="5"/>
  <c r="T7" i="5"/>
  <c r="S7" i="5"/>
  <c r="R7" i="5"/>
  <c r="Q7" i="5"/>
  <c r="P7" i="5"/>
  <c r="O7" i="5"/>
  <c r="K7" i="5"/>
  <c r="J7" i="5"/>
  <c r="I7" i="5"/>
  <c r="H7" i="5"/>
  <c r="G7" i="5"/>
  <c r="F7" i="5"/>
  <c r="E7" i="5"/>
  <c r="BU6" i="5"/>
  <c r="BT6" i="5"/>
  <c r="BS6" i="5"/>
  <c r="BR6" i="5"/>
  <c r="BQ6" i="5"/>
  <c r="BP6" i="5"/>
  <c r="BO6" i="5"/>
  <c r="BJ6" i="5"/>
  <c r="BI6" i="5"/>
  <c r="BH6" i="5"/>
  <c r="BG6" i="5"/>
  <c r="BF6" i="5"/>
  <c r="BE6" i="5"/>
  <c r="BD6" i="5"/>
  <c r="BC6" i="5"/>
  <c r="BB6" i="5"/>
  <c r="AX6" i="5"/>
  <c r="AW6" i="5"/>
  <c r="AV6" i="5"/>
  <c r="AS6" i="5"/>
  <c r="AR6" i="5"/>
  <c r="AQ6" i="5"/>
  <c r="AP6" i="5"/>
  <c r="AO6" i="5"/>
  <c r="AN6" i="5"/>
  <c r="AM6" i="5"/>
  <c r="AL6" i="5"/>
  <c r="AH6" i="5"/>
  <c r="AG6" i="5"/>
  <c r="AF6" i="5"/>
  <c r="AE6" i="5"/>
  <c r="AD6" i="5"/>
  <c r="AC6" i="5"/>
  <c r="AA6" i="5"/>
  <c r="Z6" i="5"/>
  <c r="Y6" i="5"/>
  <c r="X6" i="5"/>
  <c r="W6" i="5"/>
  <c r="T6" i="5"/>
  <c r="S6" i="5"/>
  <c r="R6" i="5"/>
  <c r="Q6" i="5"/>
  <c r="P6" i="5"/>
  <c r="O6" i="5"/>
  <c r="K6" i="5"/>
  <c r="J6" i="5"/>
  <c r="I6" i="5"/>
  <c r="H6" i="5"/>
  <c r="G6" i="5"/>
  <c r="F6" i="5"/>
  <c r="E6" i="5"/>
  <c r="BU5" i="5"/>
  <c r="BT5" i="5"/>
  <c r="BS5" i="5"/>
  <c r="BR5" i="5"/>
  <c r="BQ5" i="5"/>
  <c r="BP5" i="5"/>
  <c r="BO5" i="5"/>
  <c r="BJ5" i="5"/>
  <c r="BI5" i="5"/>
  <c r="BH5" i="5"/>
  <c r="BG5" i="5"/>
  <c r="BF5" i="5"/>
  <c r="BE5" i="5"/>
  <c r="BD5" i="5"/>
  <c r="BC5" i="5"/>
  <c r="BB5" i="5"/>
  <c r="AX5" i="5"/>
  <c r="AW5" i="5"/>
  <c r="AV5" i="5"/>
  <c r="AS5" i="5"/>
  <c r="AR5" i="5"/>
  <c r="AQ5" i="5"/>
  <c r="AP5" i="5"/>
  <c r="AO5" i="5"/>
  <c r="AN5" i="5"/>
  <c r="AM5" i="5"/>
  <c r="AL5" i="5"/>
  <c r="AH5" i="5"/>
  <c r="AG5" i="5"/>
  <c r="AF5" i="5"/>
  <c r="AE5" i="5"/>
  <c r="AD5" i="5"/>
  <c r="AC5" i="5"/>
  <c r="AA5" i="5"/>
  <c r="Z5" i="5"/>
  <c r="Y5" i="5"/>
  <c r="X5" i="5"/>
  <c r="W5" i="5"/>
  <c r="T5" i="5"/>
  <c r="S5" i="5"/>
  <c r="R5" i="5"/>
  <c r="Q5" i="5"/>
  <c r="P5" i="5"/>
  <c r="O5" i="5"/>
  <c r="K5" i="5"/>
  <c r="J5" i="5"/>
  <c r="I5" i="5"/>
  <c r="H5" i="5"/>
  <c r="G5" i="5"/>
  <c r="F5" i="5"/>
  <c r="E5" i="5"/>
  <c r="BU4" i="5"/>
  <c r="BT4" i="5"/>
  <c r="BS4" i="5"/>
  <c r="BR4" i="5"/>
  <c r="BQ4" i="5"/>
  <c r="BP4" i="5"/>
  <c r="BO4" i="5"/>
  <c r="BJ4" i="5"/>
  <c r="BI4" i="5"/>
  <c r="BH4" i="5"/>
  <c r="BG4" i="5"/>
  <c r="BF4" i="5"/>
  <c r="BE4" i="5"/>
  <c r="BD4" i="5"/>
  <c r="BC4" i="5"/>
  <c r="BB4" i="5"/>
  <c r="AX4" i="5"/>
  <c r="AW4" i="5"/>
  <c r="AV4" i="5"/>
  <c r="AS4" i="5"/>
  <c r="AR4" i="5"/>
  <c r="AQ4" i="5"/>
  <c r="AP4" i="5"/>
  <c r="AO4" i="5"/>
  <c r="AN4" i="5"/>
  <c r="AM4" i="5"/>
  <c r="AL4" i="5"/>
  <c r="AH4" i="5"/>
  <c r="AG4" i="5"/>
  <c r="AF4" i="5"/>
  <c r="AE4" i="5"/>
  <c r="AD4" i="5"/>
  <c r="AC4" i="5"/>
  <c r="AA4" i="5"/>
  <c r="Z4" i="5"/>
  <c r="Y4" i="5"/>
  <c r="X4" i="5"/>
  <c r="W4" i="5"/>
  <c r="T4" i="5"/>
  <c r="S4" i="5"/>
  <c r="R4" i="5"/>
  <c r="Q4" i="5"/>
  <c r="P4" i="5"/>
  <c r="O4" i="5"/>
  <c r="K4" i="5"/>
  <c r="J4" i="5"/>
  <c r="I4" i="5"/>
  <c r="H4" i="5"/>
  <c r="G4" i="5"/>
  <c r="F4" i="5"/>
  <c r="E4" i="5"/>
  <c r="BU3" i="5"/>
  <c r="BT3" i="5"/>
  <c r="BS3" i="5"/>
  <c r="BR3" i="5"/>
  <c r="BQ3" i="5"/>
  <c r="BP3" i="5"/>
  <c r="BO3" i="5"/>
  <c r="BJ3" i="5"/>
  <c r="BI3" i="5"/>
  <c r="BH3" i="5"/>
  <c r="BG3" i="5"/>
  <c r="BF3" i="5"/>
  <c r="BE3" i="5"/>
  <c r="BD3" i="5"/>
  <c r="BC3" i="5"/>
  <c r="BB3" i="5"/>
  <c r="AX3" i="5"/>
  <c r="AW3" i="5"/>
  <c r="AV3" i="5"/>
  <c r="AS3" i="5"/>
  <c r="AR3" i="5"/>
  <c r="AQ3" i="5"/>
  <c r="AP3" i="5"/>
  <c r="AO3" i="5"/>
  <c r="AN3" i="5"/>
  <c r="AM3" i="5"/>
  <c r="AL3" i="5"/>
  <c r="AH3" i="5"/>
  <c r="AG3" i="5"/>
  <c r="AF3" i="5"/>
  <c r="AE3" i="5"/>
  <c r="AD3" i="5"/>
  <c r="AC3" i="5"/>
  <c r="AA3" i="5"/>
  <c r="Z3" i="5"/>
  <c r="Y3" i="5"/>
  <c r="X3" i="5"/>
  <c r="W3" i="5"/>
  <c r="T3" i="5"/>
  <c r="S3" i="5"/>
  <c r="R3" i="5"/>
  <c r="Q3" i="5"/>
  <c r="P3" i="5"/>
  <c r="O3" i="5"/>
  <c r="K3" i="5"/>
  <c r="J3" i="5"/>
  <c r="I3" i="5"/>
  <c r="H3" i="5"/>
  <c r="G3" i="5"/>
  <c r="F3" i="5"/>
  <c r="E3" i="5"/>
  <c r="BU18" i="4"/>
  <c r="BT18" i="4"/>
  <c r="BS18" i="4"/>
  <c r="BR18" i="4"/>
  <c r="BQ18" i="4"/>
  <c r="BP18" i="4"/>
  <c r="BO18" i="4"/>
  <c r="BJ18" i="4"/>
  <c r="BI18" i="4"/>
  <c r="BH18" i="4"/>
  <c r="BG18" i="4"/>
  <c r="BF18" i="4"/>
  <c r="BE18" i="4"/>
  <c r="BD18" i="4"/>
  <c r="BC18" i="4"/>
  <c r="BB18" i="4"/>
  <c r="AX18" i="4"/>
  <c r="AW18" i="4"/>
  <c r="AV18" i="4"/>
  <c r="AS18" i="4"/>
  <c r="AR18" i="4"/>
  <c r="AQ18" i="4"/>
  <c r="AP18" i="4"/>
  <c r="AO18" i="4"/>
  <c r="AN18" i="4"/>
  <c r="AM18" i="4"/>
  <c r="AL18" i="4"/>
  <c r="AH18" i="4"/>
  <c r="AG18" i="4"/>
  <c r="AF18" i="4"/>
  <c r="AE18" i="4"/>
  <c r="AD18" i="4"/>
  <c r="AC18" i="4"/>
  <c r="AA18" i="4"/>
  <c r="Z18" i="4"/>
  <c r="Y18" i="4"/>
  <c r="X18" i="4"/>
  <c r="W18" i="4"/>
  <c r="T18" i="4"/>
  <c r="S18" i="4"/>
  <c r="R18" i="4"/>
  <c r="Q18" i="4"/>
  <c r="P18" i="4"/>
  <c r="O18" i="4"/>
  <c r="K18" i="4"/>
  <c r="J18" i="4"/>
  <c r="I18" i="4"/>
  <c r="H18" i="4"/>
  <c r="G18" i="4"/>
  <c r="F18" i="4"/>
  <c r="E18" i="4"/>
  <c r="BU17" i="4"/>
  <c r="BT17" i="4"/>
  <c r="BS17" i="4"/>
  <c r="BR17" i="4"/>
  <c r="BQ17" i="4"/>
  <c r="BP17" i="4"/>
  <c r="BO17" i="4"/>
  <c r="BJ17" i="4"/>
  <c r="BI17" i="4"/>
  <c r="BH17" i="4"/>
  <c r="BG17" i="4"/>
  <c r="BF17" i="4"/>
  <c r="BE17" i="4"/>
  <c r="BD17" i="4"/>
  <c r="BC17" i="4"/>
  <c r="BB17" i="4"/>
  <c r="AX17" i="4"/>
  <c r="AW17" i="4"/>
  <c r="AV17" i="4"/>
  <c r="AS17" i="4"/>
  <c r="AR17" i="4"/>
  <c r="AQ17" i="4"/>
  <c r="AP17" i="4"/>
  <c r="AO17" i="4"/>
  <c r="AN17" i="4"/>
  <c r="AM17" i="4"/>
  <c r="AL17" i="4"/>
  <c r="AH17" i="4"/>
  <c r="AG17" i="4"/>
  <c r="AF17" i="4"/>
  <c r="AE17" i="4"/>
  <c r="AD17" i="4"/>
  <c r="AC17" i="4"/>
  <c r="AA17" i="4"/>
  <c r="Z17" i="4"/>
  <c r="Y17" i="4"/>
  <c r="X17" i="4"/>
  <c r="W17" i="4"/>
  <c r="T17" i="4"/>
  <c r="S17" i="4"/>
  <c r="R17" i="4"/>
  <c r="Q17" i="4"/>
  <c r="P17" i="4"/>
  <c r="O17" i="4"/>
  <c r="K17" i="4"/>
  <c r="J17" i="4"/>
  <c r="I17" i="4"/>
  <c r="H17" i="4"/>
  <c r="G17" i="4"/>
  <c r="F17" i="4"/>
  <c r="E17" i="4"/>
  <c r="BU16" i="4"/>
  <c r="BT16" i="4"/>
  <c r="BS16" i="4"/>
  <c r="BR16" i="4"/>
  <c r="BQ16" i="4"/>
  <c r="BP16" i="4"/>
  <c r="BO16" i="4"/>
  <c r="BJ16" i="4"/>
  <c r="BI16" i="4"/>
  <c r="BH16" i="4"/>
  <c r="BG16" i="4"/>
  <c r="BF16" i="4"/>
  <c r="BE16" i="4"/>
  <c r="BD16" i="4"/>
  <c r="BC16" i="4"/>
  <c r="BB16" i="4"/>
  <c r="AX16" i="4"/>
  <c r="AW16" i="4"/>
  <c r="AV16" i="4"/>
  <c r="AS16" i="4"/>
  <c r="AR16" i="4"/>
  <c r="AQ16" i="4"/>
  <c r="AP16" i="4"/>
  <c r="AO16" i="4"/>
  <c r="AN16" i="4"/>
  <c r="AM16" i="4"/>
  <c r="AL16" i="4"/>
  <c r="AH16" i="4"/>
  <c r="AG16" i="4"/>
  <c r="AF16" i="4"/>
  <c r="AE16" i="4"/>
  <c r="AD16" i="4"/>
  <c r="AC16" i="4"/>
  <c r="AA16" i="4"/>
  <c r="Z16" i="4"/>
  <c r="Y16" i="4"/>
  <c r="X16" i="4"/>
  <c r="W16" i="4"/>
  <c r="T16" i="4"/>
  <c r="S16" i="4"/>
  <c r="R16" i="4"/>
  <c r="Q16" i="4"/>
  <c r="P16" i="4"/>
  <c r="O16" i="4"/>
  <c r="K16" i="4"/>
  <c r="J16" i="4"/>
  <c r="I16" i="4"/>
  <c r="H16" i="4"/>
  <c r="G16" i="4"/>
  <c r="F16" i="4"/>
  <c r="E16" i="4"/>
  <c r="BU15" i="4"/>
  <c r="BT15" i="4"/>
  <c r="BS15" i="4"/>
  <c r="BR15" i="4"/>
  <c r="BQ15" i="4"/>
  <c r="BP15" i="4"/>
  <c r="BO15" i="4"/>
  <c r="BJ15" i="4"/>
  <c r="BI15" i="4"/>
  <c r="BH15" i="4"/>
  <c r="BG15" i="4"/>
  <c r="BF15" i="4"/>
  <c r="BE15" i="4"/>
  <c r="BD15" i="4"/>
  <c r="BC15" i="4"/>
  <c r="BB15" i="4"/>
  <c r="AX15" i="4"/>
  <c r="AW15" i="4"/>
  <c r="AV15" i="4"/>
  <c r="AS15" i="4"/>
  <c r="AR15" i="4"/>
  <c r="AQ15" i="4"/>
  <c r="AP15" i="4"/>
  <c r="AO15" i="4"/>
  <c r="AN15" i="4"/>
  <c r="AM15" i="4"/>
  <c r="AL15" i="4"/>
  <c r="AH15" i="4"/>
  <c r="AG15" i="4"/>
  <c r="AF15" i="4"/>
  <c r="AE15" i="4"/>
  <c r="AD15" i="4"/>
  <c r="AC15" i="4"/>
  <c r="AA15" i="4"/>
  <c r="Z15" i="4"/>
  <c r="Y15" i="4"/>
  <c r="X15" i="4"/>
  <c r="W15" i="4"/>
  <c r="T15" i="4"/>
  <c r="S15" i="4"/>
  <c r="R15" i="4"/>
  <c r="Q15" i="4"/>
  <c r="P15" i="4"/>
  <c r="O15" i="4"/>
  <c r="K15" i="4"/>
  <c r="J15" i="4"/>
  <c r="I15" i="4"/>
  <c r="H15" i="4"/>
  <c r="G15" i="4"/>
  <c r="F15" i="4"/>
  <c r="E15" i="4"/>
  <c r="BU14" i="4"/>
  <c r="BT14" i="4"/>
  <c r="BS14" i="4"/>
  <c r="BR14" i="4"/>
  <c r="BQ14" i="4"/>
  <c r="BP14" i="4"/>
  <c r="BO14" i="4"/>
  <c r="BJ14" i="4"/>
  <c r="BI14" i="4"/>
  <c r="BH14" i="4"/>
  <c r="BG14" i="4"/>
  <c r="BF14" i="4"/>
  <c r="BE14" i="4"/>
  <c r="BD14" i="4"/>
  <c r="BC14" i="4"/>
  <c r="BB14" i="4"/>
  <c r="AX14" i="4"/>
  <c r="AW14" i="4"/>
  <c r="AV14" i="4"/>
  <c r="AS14" i="4"/>
  <c r="AR14" i="4"/>
  <c r="AQ14" i="4"/>
  <c r="AP14" i="4"/>
  <c r="AO14" i="4"/>
  <c r="AN14" i="4"/>
  <c r="AM14" i="4"/>
  <c r="AL14" i="4"/>
  <c r="AH14" i="4"/>
  <c r="AG14" i="4"/>
  <c r="AF14" i="4"/>
  <c r="AE14" i="4"/>
  <c r="AD14" i="4"/>
  <c r="AC14" i="4"/>
  <c r="AA14" i="4"/>
  <c r="Z14" i="4"/>
  <c r="Y14" i="4"/>
  <c r="X14" i="4"/>
  <c r="W14" i="4"/>
  <c r="T14" i="4"/>
  <c r="S14" i="4"/>
  <c r="R14" i="4"/>
  <c r="Q14" i="4"/>
  <c r="P14" i="4"/>
  <c r="O14" i="4"/>
  <c r="K14" i="4"/>
  <c r="J14" i="4"/>
  <c r="I14" i="4"/>
  <c r="H14" i="4"/>
  <c r="G14" i="4"/>
  <c r="F14" i="4"/>
  <c r="E14" i="4"/>
  <c r="BU13" i="4"/>
  <c r="BT13" i="4"/>
  <c r="BS13" i="4"/>
  <c r="BR13" i="4"/>
  <c r="BQ13" i="4"/>
  <c r="BP13" i="4"/>
  <c r="BO13" i="4"/>
  <c r="BJ13" i="4"/>
  <c r="BI13" i="4"/>
  <c r="BH13" i="4"/>
  <c r="BG13" i="4"/>
  <c r="BF13" i="4"/>
  <c r="BE13" i="4"/>
  <c r="BD13" i="4"/>
  <c r="BC13" i="4"/>
  <c r="BB13" i="4"/>
  <c r="AX13" i="4"/>
  <c r="AW13" i="4"/>
  <c r="AV13" i="4"/>
  <c r="AS13" i="4"/>
  <c r="AR13" i="4"/>
  <c r="AQ13" i="4"/>
  <c r="AP13" i="4"/>
  <c r="AO13" i="4"/>
  <c r="AN13" i="4"/>
  <c r="AM13" i="4"/>
  <c r="AL13" i="4"/>
  <c r="AH13" i="4"/>
  <c r="AG13" i="4"/>
  <c r="AF13" i="4"/>
  <c r="AE13" i="4"/>
  <c r="AD13" i="4"/>
  <c r="AC13" i="4"/>
  <c r="AA13" i="4"/>
  <c r="Z13" i="4"/>
  <c r="Y13" i="4"/>
  <c r="X13" i="4"/>
  <c r="W13" i="4"/>
  <c r="T13" i="4"/>
  <c r="S13" i="4"/>
  <c r="R13" i="4"/>
  <c r="Q13" i="4"/>
  <c r="P13" i="4"/>
  <c r="O13" i="4"/>
  <c r="K13" i="4"/>
  <c r="J13" i="4"/>
  <c r="I13" i="4"/>
  <c r="H13" i="4"/>
  <c r="G13" i="4"/>
  <c r="F13" i="4"/>
  <c r="E13" i="4"/>
  <c r="BU12" i="4"/>
  <c r="BT12" i="4"/>
  <c r="BS12" i="4"/>
  <c r="BR12" i="4"/>
  <c r="BQ12" i="4"/>
  <c r="BP12" i="4"/>
  <c r="BO12" i="4"/>
  <c r="BJ12" i="4"/>
  <c r="BI12" i="4"/>
  <c r="BH12" i="4"/>
  <c r="BG12" i="4"/>
  <c r="BF12" i="4"/>
  <c r="BE12" i="4"/>
  <c r="BD12" i="4"/>
  <c r="BC12" i="4"/>
  <c r="BB12" i="4"/>
  <c r="AX12" i="4"/>
  <c r="AW12" i="4"/>
  <c r="AV12" i="4"/>
  <c r="AS12" i="4"/>
  <c r="AR12" i="4"/>
  <c r="AQ12" i="4"/>
  <c r="AP12" i="4"/>
  <c r="AO12" i="4"/>
  <c r="AN12" i="4"/>
  <c r="AM12" i="4"/>
  <c r="AL12" i="4"/>
  <c r="AH12" i="4"/>
  <c r="AG12" i="4"/>
  <c r="AF12" i="4"/>
  <c r="AE12" i="4"/>
  <c r="AD12" i="4"/>
  <c r="AC12" i="4"/>
  <c r="AA12" i="4"/>
  <c r="Z12" i="4"/>
  <c r="Y12" i="4"/>
  <c r="X12" i="4"/>
  <c r="W12" i="4"/>
  <c r="T12" i="4"/>
  <c r="S12" i="4"/>
  <c r="R12" i="4"/>
  <c r="Q12" i="4"/>
  <c r="P12" i="4"/>
  <c r="O12" i="4"/>
  <c r="K12" i="4"/>
  <c r="J12" i="4"/>
  <c r="I12" i="4"/>
  <c r="H12" i="4"/>
  <c r="G12" i="4"/>
  <c r="F12" i="4"/>
  <c r="E12" i="4"/>
  <c r="BU11" i="4"/>
  <c r="BT11" i="4"/>
  <c r="BS11" i="4"/>
  <c r="BR11" i="4"/>
  <c r="BQ11" i="4"/>
  <c r="BP11" i="4"/>
  <c r="BO11" i="4"/>
  <c r="BJ11" i="4"/>
  <c r="BI11" i="4"/>
  <c r="BH11" i="4"/>
  <c r="BG11" i="4"/>
  <c r="BF11" i="4"/>
  <c r="BE11" i="4"/>
  <c r="BD11" i="4"/>
  <c r="BC11" i="4"/>
  <c r="BB11" i="4"/>
  <c r="AX11" i="4"/>
  <c r="AW11" i="4"/>
  <c r="AV11" i="4"/>
  <c r="AS11" i="4"/>
  <c r="AR11" i="4"/>
  <c r="AQ11" i="4"/>
  <c r="AP11" i="4"/>
  <c r="AO11" i="4"/>
  <c r="AN11" i="4"/>
  <c r="AM11" i="4"/>
  <c r="AL11" i="4"/>
  <c r="AH11" i="4"/>
  <c r="AG11" i="4"/>
  <c r="AF11" i="4"/>
  <c r="AE11" i="4"/>
  <c r="AD11" i="4"/>
  <c r="AC11" i="4"/>
  <c r="AA11" i="4"/>
  <c r="Z11" i="4"/>
  <c r="Y11" i="4"/>
  <c r="X11" i="4"/>
  <c r="W11" i="4"/>
  <c r="T11" i="4"/>
  <c r="S11" i="4"/>
  <c r="R11" i="4"/>
  <c r="Q11" i="4"/>
  <c r="P11" i="4"/>
  <c r="O11" i="4"/>
  <c r="K11" i="4"/>
  <c r="J11" i="4"/>
  <c r="I11" i="4"/>
  <c r="H11" i="4"/>
  <c r="G11" i="4"/>
  <c r="F11" i="4"/>
  <c r="E11" i="4"/>
  <c r="BU10" i="4"/>
  <c r="BT10" i="4"/>
  <c r="BS10" i="4"/>
  <c r="BR10" i="4"/>
  <c r="BQ10" i="4"/>
  <c r="BP10" i="4"/>
  <c r="BO10" i="4"/>
  <c r="BJ10" i="4"/>
  <c r="BI10" i="4"/>
  <c r="BH10" i="4"/>
  <c r="BG10" i="4"/>
  <c r="BF10" i="4"/>
  <c r="BE10" i="4"/>
  <c r="BD10" i="4"/>
  <c r="BC10" i="4"/>
  <c r="BB10" i="4"/>
  <c r="AX10" i="4"/>
  <c r="AW10" i="4"/>
  <c r="AV10" i="4"/>
  <c r="AS10" i="4"/>
  <c r="AR10" i="4"/>
  <c r="AQ10" i="4"/>
  <c r="AP10" i="4"/>
  <c r="AO10" i="4"/>
  <c r="AN10" i="4"/>
  <c r="AM10" i="4"/>
  <c r="AL10" i="4"/>
  <c r="AH10" i="4"/>
  <c r="AG10" i="4"/>
  <c r="AF10" i="4"/>
  <c r="AE10" i="4"/>
  <c r="AD10" i="4"/>
  <c r="AC10" i="4"/>
  <c r="AA10" i="4"/>
  <c r="Z10" i="4"/>
  <c r="Y10" i="4"/>
  <c r="X10" i="4"/>
  <c r="W10" i="4"/>
  <c r="T10" i="4"/>
  <c r="S10" i="4"/>
  <c r="R10" i="4"/>
  <c r="Q10" i="4"/>
  <c r="P10" i="4"/>
  <c r="O10" i="4"/>
  <c r="K10" i="4"/>
  <c r="J10" i="4"/>
  <c r="I10" i="4"/>
  <c r="H10" i="4"/>
  <c r="G10" i="4"/>
  <c r="F10" i="4"/>
  <c r="E10" i="4"/>
  <c r="BU9" i="4"/>
  <c r="BT9" i="4"/>
  <c r="BS9" i="4"/>
  <c r="BR9" i="4"/>
  <c r="BQ9" i="4"/>
  <c r="BP9" i="4"/>
  <c r="BO9" i="4"/>
  <c r="BJ9" i="4"/>
  <c r="BI9" i="4"/>
  <c r="BH9" i="4"/>
  <c r="BG9" i="4"/>
  <c r="BF9" i="4"/>
  <c r="BE9" i="4"/>
  <c r="BD9" i="4"/>
  <c r="BC9" i="4"/>
  <c r="BB9" i="4"/>
  <c r="AX9" i="4"/>
  <c r="AW9" i="4"/>
  <c r="AV9" i="4"/>
  <c r="AS9" i="4"/>
  <c r="AR9" i="4"/>
  <c r="AQ9" i="4"/>
  <c r="AP9" i="4"/>
  <c r="AO9" i="4"/>
  <c r="AN9" i="4"/>
  <c r="AM9" i="4"/>
  <c r="AL9" i="4"/>
  <c r="AH9" i="4"/>
  <c r="AG9" i="4"/>
  <c r="AF9" i="4"/>
  <c r="AE9" i="4"/>
  <c r="AD9" i="4"/>
  <c r="AC9" i="4"/>
  <c r="AA9" i="4"/>
  <c r="Z9" i="4"/>
  <c r="Y9" i="4"/>
  <c r="X9" i="4"/>
  <c r="W9" i="4"/>
  <c r="T9" i="4"/>
  <c r="S9" i="4"/>
  <c r="R9" i="4"/>
  <c r="Q9" i="4"/>
  <c r="P9" i="4"/>
  <c r="O9" i="4"/>
  <c r="K9" i="4"/>
  <c r="J9" i="4"/>
  <c r="I9" i="4"/>
  <c r="H9" i="4"/>
  <c r="G9" i="4"/>
  <c r="F9" i="4"/>
  <c r="E9" i="4"/>
  <c r="BU8" i="4"/>
  <c r="BT8" i="4"/>
  <c r="BS8" i="4"/>
  <c r="BR8" i="4"/>
  <c r="BQ8" i="4"/>
  <c r="BP8" i="4"/>
  <c r="BO8" i="4"/>
  <c r="BJ8" i="4"/>
  <c r="BI8" i="4"/>
  <c r="BH8" i="4"/>
  <c r="BG8" i="4"/>
  <c r="BF8" i="4"/>
  <c r="BE8" i="4"/>
  <c r="BD8" i="4"/>
  <c r="BC8" i="4"/>
  <c r="BB8" i="4"/>
  <c r="AX8" i="4"/>
  <c r="AW8" i="4"/>
  <c r="AV8" i="4"/>
  <c r="AS8" i="4"/>
  <c r="AR8" i="4"/>
  <c r="AQ8" i="4"/>
  <c r="AP8" i="4"/>
  <c r="AO8" i="4"/>
  <c r="AN8" i="4"/>
  <c r="AM8" i="4"/>
  <c r="AL8" i="4"/>
  <c r="AH8" i="4"/>
  <c r="AG8" i="4"/>
  <c r="AF8" i="4"/>
  <c r="AE8" i="4"/>
  <c r="AD8" i="4"/>
  <c r="AC8" i="4"/>
  <c r="AA8" i="4"/>
  <c r="Z8" i="4"/>
  <c r="Y8" i="4"/>
  <c r="X8" i="4"/>
  <c r="W8" i="4"/>
  <c r="T8" i="4"/>
  <c r="S8" i="4"/>
  <c r="R8" i="4"/>
  <c r="Q8" i="4"/>
  <c r="P8" i="4"/>
  <c r="O8" i="4"/>
  <c r="K8" i="4"/>
  <c r="J8" i="4"/>
  <c r="I8" i="4"/>
  <c r="H8" i="4"/>
  <c r="G8" i="4"/>
  <c r="F8" i="4"/>
  <c r="E8" i="4"/>
  <c r="BU7" i="4"/>
  <c r="BT7" i="4"/>
  <c r="BS7" i="4"/>
  <c r="BR7" i="4"/>
  <c r="BQ7" i="4"/>
  <c r="BP7" i="4"/>
  <c r="BO7" i="4"/>
  <c r="BJ7" i="4"/>
  <c r="BI7" i="4"/>
  <c r="BH7" i="4"/>
  <c r="BG7" i="4"/>
  <c r="BF7" i="4"/>
  <c r="BE7" i="4"/>
  <c r="BD7" i="4"/>
  <c r="BC7" i="4"/>
  <c r="BB7" i="4"/>
  <c r="AX7" i="4"/>
  <c r="AW7" i="4"/>
  <c r="AV7" i="4"/>
  <c r="AS7" i="4"/>
  <c r="AR7" i="4"/>
  <c r="AQ7" i="4"/>
  <c r="AP7" i="4"/>
  <c r="AO7" i="4"/>
  <c r="AN7" i="4"/>
  <c r="AM7" i="4"/>
  <c r="AL7" i="4"/>
  <c r="AH7" i="4"/>
  <c r="AG7" i="4"/>
  <c r="AF7" i="4"/>
  <c r="AE7" i="4"/>
  <c r="AD7" i="4"/>
  <c r="AC7" i="4"/>
  <c r="AA7" i="4"/>
  <c r="Z7" i="4"/>
  <c r="Y7" i="4"/>
  <c r="X7" i="4"/>
  <c r="W7" i="4"/>
  <c r="T7" i="4"/>
  <c r="S7" i="4"/>
  <c r="R7" i="4"/>
  <c r="Q7" i="4"/>
  <c r="P7" i="4"/>
  <c r="O7" i="4"/>
  <c r="K7" i="4"/>
  <c r="J7" i="4"/>
  <c r="I7" i="4"/>
  <c r="H7" i="4"/>
  <c r="G7" i="4"/>
  <c r="F7" i="4"/>
  <c r="E7" i="4"/>
  <c r="BU6" i="4"/>
  <c r="BT6" i="4"/>
  <c r="BS6" i="4"/>
  <c r="BR6" i="4"/>
  <c r="BQ6" i="4"/>
  <c r="BP6" i="4"/>
  <c r="BO6" i="4"/>
  <c r="BJ6" i="4"/>
  <c r="BI6" i="4"/>
  <c r="BH6" i="4"/>
  <c r="BG6" i="4"/>
  <c r="BF6" i="4"/>
  <c r="BE6" i="4"/>
  <c r="BD6" i="4"/>
  <c r="BC6" i="4"/>
  <c r="BB6" i="4"/>
  <c r="AX6" i="4"/>
  <c r="AW6" i="4"/>
  <c r="AV6" i="4"/>
  <c r="AS6" i="4"/>
  <c r="AR6" i="4"/>
  <c r="AQ6" i="4"/>
  <c r="AP6" i="4"/>
  <c r="AO6" i="4"/>
  <c r="AN6" i="4"/>
  <c r="AM6" i="4"/>
  <c r="AL6" i="4"/>
  <c r="AH6" i="4"/>
  <c r="AG6" i="4"/>
  <c r="AF6" i="4"/>
  <c r="AE6" i="4"/>
  <c r="AD6" i="4"/>
  <c r="AC6" i="4"/>
  <c r="AA6" i="4"/>
  <c r="Z6" i="4"/>
  <c r="Y6" i="4"/>
  <c r="X6" i="4"/>
  <c r="W6" i="4"/>
  <c r="T6" i="4"/>
  <c r="S6" i="4"/>
  <c r="R6" i="4"/>
  <c r="Q6" i="4"/>
  <c r="P6" i="4"/>
  <c r="O6" i="4"/>
  <c r="K6" i="4"/>
  <c r="J6" i="4"/>
  <c r="I6" i="4"/>
  <c r="H6" i="4"/>
  <c r="G6" i="4"/>
  <c r="F6" i="4"/>
  <c r="E6" i="4"/>
  <c r="BU5" i="4"/>
  <c r="BT5" i="4"/>
  <c r="BS5" i="4"/>
  <c r="BR5" i="4"/>
  <c r="BQ5" i="4"/>
  <c r="BP5" i="4"/>
  <c r="BO5" i="4"/>
  <c r="BJ5" i="4"/>
  <c r="BI5" i="4"/>
  <c r="BH5" i="4"/>
  <c r="BG5" i="4"/>
  <c r="BF5" i="4"/>
  <c r="BE5" i="4"/>
  <c r="BD5" i="4"/>
  <c r="BC5" i="4"/>
  <c r="BB5" i="4"/>
  <c r="AX5" i="4"/>
  <c r="AW5" i="4"/>
  <c r="AV5" i="4"/>
  <c r="AS5" i="4"/>
  <c r="AR5" i="4"/>
  <c r="AQ5" i="4"/>
  <c r="AP5" i="4"/>
  <c r="AO5" i="4"/>
  <c r="AN5" i="4"/>
  <c r="AM5" i="4"/>
  <c r="AL5" i="4"/>
  <c r="AH5" i="4"/>
  <c r="AG5" i="4"/>
  <c r="AF5" i="4"/>
  <c r="AE5" i="4"/>
  <c r="AD5" i="4"/>
  <c r="AC5" i="4"/>
  <c r="AA5" i="4"/>
  <c r="Z5" i="4"/>
  <c r="Y5" i="4"/>
  <c r="X5" i="4"/>
  <c r="W5" i="4"/>
  <c r="T5" i="4"/>
  <c r="S5" i="4"/>
  <c r="R5" i="4"/>
  <c r="Q5" i="4"/>
  <c r="P5" i="4"/>
  <c r="O5" i="4"/>
  <c r="K5" i="4"/>
  <c r="J5" i="4"/>
  <c r="I5" i="4"/>
  <c r="H5" i="4"/>
  <c r="G5" i="4"/>
  <c r="F5" i="4"/>
  <c r="E5" i="4"/>
  <c r="BU4" i="4"/>
  <c r="BT4" i="4"/>
  <c r="BS4" i="4"/>
  <c r="BR4" i="4"/>
  <c r="BQ4" i="4"/>
  <c r="BP4" i="4"/>
  <c r="BO4" i="4"/>
  <c r="BJ4" i="4"/>
  <c r="BI4" i="4"/>
  <c r="BH4" i="4"/>
  <c r="BG4" i="4"/>
  <c r="BF4" i="4"/>
  <c r="BE4" i="4"/>
  <c r="BD4" i="4"/>
  <c r="BC4" i="4"/>
  <c r="BB4" i="4"/>
  <c r="AX4" i="4"/>
  <c r="AW4" i="4"/>
  <c r="AV4" i="4"/>
  <c r="AS4" i="4"/>
  <c r="AR4" i="4"/>
  <c r="AQ4" i="4"/>
  <c r="AP4" i="4"/>
  <c r="AO4" i="4"/>
  <c r="AN4" i="4"/>
  <c r="AM4" i="4"/>
  <c r="AL4" i="4"/>
  <c r="AH4" i="4"/>
  <c r="AG4" i="4"/>
  <c r="AF4" i="4"/>
  <c r="AE4" i="4"/>
  <c r="AD4" i="4"/>
  <c r="AC4" i="4"/>
  <c r="AA4" i="4"/>
  <c r="Z4" i="4"/>
  <c r="Y4" i="4"/>
  <c r="X4" i="4"/>
  <c r="W4" i="4"/>
  <c r="T4" i="4"/>
  <c r="S4" i="4"/>
  <c r="R4" i="4"/>
  <c r="Q4" i="4"/>
  <c r="P4" i="4"/>
  <c r="O4" i="4"/>
  <c r="K4" i="4"/>
  <c r="J4" i="4"/>
  <c r="I4" i="4"/>
  <c r="H4" i="4"/>
  <c r="G4" i="4"/>
  <c r="F4" i="4"/>
  <c r="E4" i="4"/>
  <c r="BU3" i="4"/>
  <c r="BT3" i="4"/>
  <c r="BS3" i="4"/>
  <c r="BR3" i="4"/>
  <c r="BQ3" i="4"/>
  <c r="BP3" i="4"/>
  <c r="BO3" i="4"/>
  <c r="BJ3" i="4"/>
  <c r="BI3" i="4"/>
  <c r="BH3" i="4"/>
  <c r="BG3" i="4"/>
  <c r="BF3" i="4"/>
  <c r="BE3" i="4"/>
  <c r="BD3" i="4"/>
  <c r="BC3" i="4"/>
  <c r="BB3" i="4"/>
  <c r="AX3" i="4"/>
  <c r="AW3" i="4"/>
  <c r="AV3" i="4"/>
  <c r="AS3" i="4"/>
  <c r="AR3" i="4"/>
  <c r="AQ3" i="4"/>
  <c r="AP3" i="4"/>
  <c r="AO3" i="4"/>
  <c r="AN3" i="4"/>
  <c r="AM3" i="4"/>
  <c r="AL3" i="4"/>
  <c r="AH3" i="4"/>
  <c r="AG3" i="4"/>
  <c r="AF3" i="4"/>
  <c r="AE3" i="4"/>
  <c r="AD3" i="4"/>
  <c r="AC3" i="4"/>
  <c r="AA3" i="4"/>
  <c r="Z3" i="4"/>
  <c r="Y3" i="4"/>
  <c r="X3" i="4"/>
  <c r="W3" i="4"/>
  <c r="T3" i="4"/>
  <c r="S3" i="4"/>
  <c r="R3" i="4"/>
  <c r="Q3" i="4"/>
  <c r="P3" i="4"/>
  <c r="O3" i="4"/>
  <c r="K3" i="4"/>
  <c r="J3" i="4"/>
  <c r="I3" i="4"/>
  <c r="H3" i="4"/>
  <c r="G3" i="4"/>
  <c r="F3" i="4"/>
  <c r="E3" i="4"/>
  <c r="BU61" i="3"/>
  <c r="BT61" i="3"/>
  <c r="BS61" i="3"/>
  <c r="BR61" i="3"/>
  <c r="BQ61" i="3"/>
  <c r="BP61" i="3"/>
  <c r="BO61" i="3"/>
  <c r="BJ61" i="3"/>
  <c r="BI61" i="3"/>
  <c r="BH61" i="3"/>
  <c r="BG61" i="3"/>
  <c r="BF61" i="3"/>
  <c r="BE61" i="3"/>
  <c r="BD61" i="3"/>
  <c r="BC61" i="3"/>
  <c r="BB61" i="3"/>
  <c r="AX61" i="3"/>
  <c r="AW61" i="3"/>
  <c r="AV61" i="3"/>
  <c r="AS61" i="3"/>
  <c r="AR61" i="3"/>
  <c r="AQ61" i="3"/>
  <c r="AP61" i="3"/>
  <c r="AO61" i="3"/>
  <c r="AN61" i="3"/>
  <c r="AM61" i="3"/>
  <c r="AL61" i="3"/>
  <c r="AH61" i="3"/>
  <c r="AG61" i="3"/>
  <c r="AF61" i="3"/>
  <c r="AE61" i="3"/>
  <c r="AD61" i="3"/>
  <c r="AC61" i="3"/>
  <c r="AA61" i="3"/>
  <c r="Z61" i="3"/>
  <c r="Y61" i="3"/>
  <c r="X61" i="3"/>
  <c r="W61" i="3"/>
  <c r="T61" i="3"/>
  <c r="S61" i="3"/>
  <c r="R61" i="3"/>
  <c r="Q61" i="3"/>
  <c r="P61" i="3"/>
  <c r="O61" i="3"/>
  <c r="K61" i="3"/>
  <c r="J61" i="3"/>
  <c r="I61" i="3"/>
  <c r="H61" i="3"/>
  <c r="G61" i="3"/>
  <c r="F61" i="3"/>
  <c r="E61" i="3"/>
  <c r="BU60" i="3"/>
  <c r="BT60" i="3"/>
  <c r="BS60" i="3"/>
  <c r="BR60" i="3"/>
  <c r="BQ60" i="3"/>
  <c r="BP60" i="3"/>
  <c r="BO60" i="3"/>
  <c r="BJ60" i="3"/>
  <c r="BI60" i="3"/>
  <c r="BH60" i="3"/>
  <c r="BG60" i="3"/>
  <c r="BF60" i="3"/>
  <c r="BE60" i="3"/>
  <c r="BD60" i="3"/>
  <c r="BC60" i="3"/>
  <c r="BB60" i="3"/>
  <c r="AX60" i="3"/>
  <c r="AW60" i="3"/>
  <c r="AV60" i="3"/>
  <c r="AS60" i="3"/>
  <c r="AR60" i="3"/>
  <c r="AQ60" i="3"/>
  <c r="AP60" i="3"/>
  <c r="AO60" i="3"/>
  <c r="AN60" i="3"/>
  <c r="AM60" i="3"/>
  <c r="AL60" i="3"/>
  <c r="AH60" i="3"/>
  <c r="AG60" i="3"/>
  <c r="AF60" i="3"/>
  <c r="AE60" i="3"/>
  <c r="AD60" i="3"/>
  <c r="AC60" i="3"/>
  <c r="AA60" i="3"/>
  <c r="Z60" i="3"/>
  <c r="Y60" i="3"/>
  <c r="X60" i="3"/>
  <c r="W60" i="3"/>
  <c r="T60" i="3"/>
  <c r="S60" i="3"/>
  <c r="R60" i="3"/>
  <c r="Q60" i="3"/>
  <c r="P60" i="3"/>
  <c r="O60" i="3"/>
  <c r="K60" i="3"/>
  <c r="J60" i="3"/>
  <c r="I60" i="3"/>
  <c r="H60" i="3"/>
  <c r="G60" i="3"/>
  <c r="F60" i="3"/>
  <c r="E60" i="3"/>
  <c r="BU59" i="3"/>
  <c r="BT59" i="3"/>
  <c r="BS59" i="3"/>
  <c r="BR59" i="3"/>
  <c r="BQ59" i="3"/>
  <c r="BP59" i="3"/>
  <c r="BO59" i="3"/>
  <c r="BJ59" i="3"/>
  <c r="BI59" i="3"/>
  <c r="BH59" i="3"/>
  <c r="BG59" i="3"/>
  <c r="BF59" i="3"/>
  <c r="BE59" i="3"/>
  <c r="BD59" i="3"/>
  <c r="BC59" i="3"/>
  <c r="BB59" i="3"/>
  <c r="AX59" i="3"/>
  <c r="AW59" i="3"/>
  <c r="AV59" i="3"/>
  <c r="AS59" i="3"/>
  <c r="AR59" i="3"/>
  <c r="AQ59" i="3"/>
  <c r="AP59" i="3"/>
  <c r="AO59" i="3"/>
  <c r="AN59" i="3"/>
  <c r="AM59" i="3"/>
  <c r="AL59" i="3"/>
  <c r="AH59" i="3"/>
  <c r="AG59" i="3"/>
  <c r="AF59" i="3"/>
  <c r="AE59" i="3"/>
  <c r="AD59" i="3"/>
  <c r="AC59" i="3"/>
  <c r="AA59" i="3"/>
  <c r="Z59" i="3"/>
  <c r="Y59" i="3"/>
  <c r="X59" i="3"/>
  <c r="W59" i="3"/>
  <c r="T59" i="3"/>
  <c r="S59" i="3"/>
  <c r="R59" i="3"/>
  <c r="Q59" i="3"/>
  <c r="P59" i="3"/>
  <c r="O59" i="3"/>
  <c r="K59" i="3"/>
  <c r="J59" i="3"/>
  <c r="I59" i="3"/>
  <c r="H59" i="3"/>
  <c r="G59" i="3"/>
  <c r="F59" i="3"/>
  <c r="E59" i="3"/>
  <c r="BU58" i="3"/>
  <c r="BT58" i="3"/>
  <c r="BS58" i="3"/>
  <c r="BR58" i="3"/>
  <c r="BQ58" i="3"/>
  <c r="BP58" i="3"/>
  <c r="BO58" i="3"/>
  <c r="BJ58" i="3"/>
  <c r="BI58" i="3"/>
  <c r="BH58" i="3"/>
  <c r="BG58" i="3"/>
  <c r="BF58" i="3"/>
  <c r="BE58" i="3"/>
  <c r="BD58" i="3"/>
  <c r="BC58" i="3"/>
  <c r="BB58" i="3"/>
  <c r="AX58" i="3"/>
  <c r="AW58" i="3"/>
  <c r="AV58" i="3"/>
  <c r="AS58" i="3"/>
  <c r="AR58" i="3"/>
  <c r="AQ58" i="3"/>
  <c r="AP58" i="3"/>
  <c r="AO58" i="3"/>
  <c r="AN58" i="3"/>
  <c r="AM58" i="3"/>
  <c r="AL58" i="3"/>
  <c r="AH58" i="3"/>
  <c r="AG58" i="3"/>
  <c r="AF58" i="3"/>
  <c r="AE58" i="3"/>
  <c r="AD58" i="3"/>
  <c r="AC58" i="3"/>
  <c r="AA58" i="3"/>
  <c r="Z58" i="3"/>
  <c r="Y58" i="3"/>
  <c r="X58" i="3"/>
  <c r="W58" i="3"/>
  <c r="T58" i="3"/>
  <c r="S58" i="3"/>
  <c r="R58" i="3"/>
  <c r="Q58" i="3"/>
  <c r="P58" i="3"/>
  <c r="O58" i="3"/>
  <c r="K58" i="3"/>
  <c r="J58" i="3"/>
  <c r="I58" i="3"/>
  <c r="H58" i="3"/>
  <c r="G58" i="3"/>
  <c r="F58" i="3"/>
  <c r="E58" i="3"/>
  <c r="BU57" i="3"/>
  <c r="BT57" i="3"/>
  <c r="BS57" i="3"/>
  <c r="BR57" i="3"/>
  <c r="BQ57" i="3"/>
  <c r="BP57" i="3"/>
  <c r="BO57" i="3"/>
  <c r="BJ57" i="3"/>
  <c r="BI57" i="3"/>
  <c r="BH57" i="3"/>
  <c r="BG57" i="3"/>
  <c r="BF57" i="3"/>
  <c r="BE57" i="3"/>
  <c r="BD57" i="3"/>
  <c r="BC57" i="3"/>
  <c r="BB57" i="3"/>
  <c r="AX57" i="3"/>
  <c r="AW57" i="3"/>
  <c r="AV57" i="3"/>
  <c r="AS57" i="3"/>
  <c r="AR57" i="3"/>
  <c r="AQ57" i="3"/>
  <c r="AP57" i="3"/>
  <c r="AO57" i="3"/>
  <c r="AN57" i="3"/>
  <c r="AM57" i="3"/>
  <c r="AL57" i="3"/>
  <c r="AH57" i="3"/>
  <c r="AG57" i="3"/>
  <c r="AF57" i="3"/>
  <c r="AE57" i="3"/>
  <c r="AD57" i="3"/>
  <c r="AC57" i="3"/>
  <c r="AA57" i="3"/>
  <c r="Z57" i="3"/>
  <c r="Y57" i="3"/>
  <c r="X57" i="3"/>
  <c r="W57" i="3"/>
  <c r="T57" i="3"/>
  <c r="S57" i="3"/>
  <c r="R57" i="3"/>
  <c r="Q57" i="3"/>
  <c r="P57" i="3"/>
  <c r="O57" i="3"/>
  <c r="K57" i="3"/>
  <c r="J57" i="3"/>
  <c r="I57" i="3"/>
  <c r="H57" i="3"/>
  <c r="G57" i="3"/>
  <c r="F57" i="3"/>
  <c r="E57" i="3"/>
  <c r="BU56" i="3"/>
  <c r="BT56" i="3"/>
  <c r="BS56" i="3"/>
  <c r="BR56" i="3"/>
  <c r="BQ56" i="3"/>
  <c r="BP56" i="3"/>
  <c r="BO56" i="3"/>
  <c r="BJ56" i="3"/>
  <c r="BI56" i="3"/>
  <c r="BH56" i="3"/>
  <c r="BG56" i="3"/>
  <c r="BF56" i="3"/>
  <c r="BE56" i="3"/>
  <c r="BD56" i="3"/>
  <c r="BC56" i="3"/>
  <c r="BB56" i="3"/>
  <c r="AX56" i="3"/>
  <c r="AW56" i="3"/>
  <c r="AV56" i="3"/>
  <c r="AS56" i="3"/>
  <c r="AR56" i="3"/>
  <c r="AQ56" i="3"/>
  <c r="AP56" i="3"/>
  <c r="AO56" i="3"/>
  <c r="AN56" i="3"/>
  <c r="AM56" i="3"/>
  <c r="AL56" i="3"/>
  <c r="AH56" i="3"/>
  <c r="AG56" i="3"/>
  <c r="AF56" i="3"/>
  <c r="AE56" i="3"/>
  <c r="AD56" i="3"/>
  <c r="AC56" i="3"/>
  <c r="AA56" i="3"/>
  <c r="Z56" i="3"/>
  <c r="Y56" i="3"/>
  <c r="X56" i="3"/>
  <c r="W56" i="3"/>
  <c r="T56" i="3"/>
  <c r="S56" i="3"/>
  <c r="R56" i="3"/>
  <c r="Q56" i="3"/>
  <c r="P56" i="3"/>
  <c r="O56" i="3"/>
  <c r="K56" i="3"/>
  <c r="J56" i="3"/>
  <c r="I56" i="3"/>
  <c r="H56" i="3"/>
  <c r="G56" i="3"/>
  <c r="F56" i="3"/>
  <c r="E56" i="3"/>
  <c r="BU55" i="3"/>
  <c r="BT55" i="3"/>
  <c r="BS55" i="3"/>
  <c r="BR55" i="3"/>
  <c r="BQ55" i="3"/>
  <c r="BP55" i="3"/>
  <c r="BO55" i="3"/>
  <c r="BJ55" i="3"/>
  <c r="BI55" i="3"/>
  <c r="BH55" i="3"/>
  <c r="BG55" i="3"/>
  <c r="BF55" i="3"/>
  <c r="BE55" i="3"/>
  <c r="BD55" i="3"/>
  <c r="BC55" i="3"/>
  <c r="BB55" i="3"/>
  <c r="AX55" i="3"/>
  <c r="AW55" i="3"/>
  <c r="AV55" i="3"/>
  <c r="AS55" i="3"/>
  <c r="AR55" i="3"/>
  <c r="AQ55" i="3"/>
  <c r="AP55" i="3"/>
  <c r="AO55" i="3"/>
  <c r="AN55" i="3"/>
  <c r="AM55" i="3"/>
  <c r="AL55" i="3"/>
  <c r="AH55" i="3"/>
  <c r="AG55" i="3"/>
  <c r="AF55" i="3"/>
  <c r="AE55" i="3"/>
  <c r="AD55" i="3"/>
  <c r="AC55" i="3"/>
  <c r="AA55" i="3"/>
  <c r="Z55" i="3"/>
  <c r="Y55" i="3"/>
  <c r="X55" i="3"/>
  <c r="W55" i="3"/>
  <c r="T55" i="3"/>
  <c r="S55" i="3"/>
  <c r="R55" i="3"/>
  <c r="Q55" i="3"/>
  <c r="P55" i="3"/>
  <c r="O55" i="3"/>
  <c r="K55" i="3"/>
  <c r="J55" i="3"/>
  <c r="I55" i="3"/>
  <c r="H55" i="3"/>
  <c r="G55" i="3"/>
  <c r="F55" i="3"/>
  <c r="E55" i="3"/>
  <c r="BU54" i="3"/>
  <c r="BT54" i="3"/>
  <c r="BS54" i="3"/>
  <c r="BR54" i="3"/>
  <c r="BQ54" i="3"/>
  <c r="BP54" i="3"/>
  <c r="BO54" i="3"/>
  <c r="BJ54" i="3"/>
  <c r="BI54" i="3"/>
  <c r="BH54" i="3"/>
  <c r="BG54" i="3"/>
  <c r="BF54" i="3"/>
  <c r="BE54" i="3"/>
  <c r="BD54" i="3"/>
  <c r="BC54" i="3"/>
  <c r="BB54" i="3"/>
  <c r="AX54" i="3"/>
  <c r="AW54" i="3"/>
  <c r="AV54" i="3"/>
  <c r="AS54" i="3"/>
  <c r="AR54" i="3"/>
  <c r="AQ54" i="3"/>
  <c r="AP54" i="3"/>
  <c r="AO54" i="3"/>
  <c r="AN54" i="3"/>
  <c r="AM54" i="3"/>
  <c r="AL54" i="3"/>
  <c r="AH54" i="3"/>
  <c r="AG54" i="3"/>
  <c r="AF54" i="3"/>
  <c r="AE54" i="3"/>
  <c r="AD54" i="3"/>
  <c r="AC54" i="3"/>
  <c r="AA54" i="3"/>
  <c r="Z54" i="3"/>
  <c r="Y54" i="3"/>
  <c r="X54" i="3"/>
  <c r="W54" i="3"/>
  <c r="T54" i="3"/>
  <c r="S54" i="3"/>
  <c r="R54" i="3"/>
  <c r="Q54" i="3"/>
  <c r="P54" i="3"/>
  <c r="O54" i="3"/>
  <c r="K54" i="3"/>
  <c r="J54" i="3"/>
  <c r="I54" i="3"/>
  <c r="H54" i="3"/>
  <c r="G54" i="3"/>
  <c r="F54" i="3"/>
  <c r="E54" i="3"/>
  <c r="BU53" i="3"/>
  <c r="BT53" i="3"/>
  <c r="BS53" i="3"/>
  <c r="BR53" i="3"/>
  <c r="BQ53" i="3"/>
  <c r="BP53" i="3"/>
  <c r="BO53" i="3"/>
  <c r="BJ53" i="3"/>
  <c r="BI53" i="3"/>
  <c r="BH53" i="3"/>
  <c r="BG53" i="3"/>
  <c r="BF53" i="3"/>
  <c r="BE53" i="3"/>
  <c r="BD53" i="3"/>
  <c r="BC53" i="3"/>
  <c r="BB53" i="3"/>
  <c r="AX53" i="3"/>
  <c r="AW53" i="3"/>
  <c r="AV53" i="3"/>
  <c r="AS53" i="3"/>
  <c r="AR53" i="3"/>
  <c r="AQ53" i="3"/>
  <c r="AP53" i="3"/>
  <c r="AO53" i="3"/>
  <c r="AN53" i="3"/>
  <c r="AM53" i="3"/>
  <c r="AL53" i="3"/>
  <c r="AH53" i="3"/>
  <c r="AG53" i="3"/>
  <c r="AF53" i="3"/>
  <c r="AE53" i="3"/>
  <c r="AD53" i="3"/>
  <c r="AC53" i="3"/>
  <c r="AA53" i="3"/>
  <c r="Z53" i="3"/>
  <c r="Y53" i="3"/>
  <c r="X53" i="3"/>
  <c r="W53" i="3"/>
  <c r="T53" i="3"/>
  <c r="S53" i="3"/>
  <c r="R53" i="3"/>
  <c r="Q53" i="3"/>
  <c r="P53" i="3"/>
  <c r="O53" i="3"/>
  <c r="K53" i="3"/>
  <c r="J53" i="3"/>
  <c r="I53" i="3"/>
  <c r="H53" i="3"/>
  <c r="G53" i="3"/>
  <c r="F53" i="3"/>
  <c r="E53" i="3"/>
  <c r="BU52" i="3"/>
  <c r="BT52" i="3"/>
  <c r="BS52" i="3"/>
  <c r="BR52" i="3"/>
  <c r="BQ52" i="3"/>
  <c r="BP52" i="3"/>
  <c r="BO52" i="3"/>
  <c r="BJ52" i="3"/>
  <c r="BI52" i="3"/>
  <c r="BH52" i="3"/>
  <c r="BG52" i="3"/>
  <c r="BF52" i="3"/>
  <c r="BE52" i="3"/>
  <c r="BD52" i="3"/>
  <c r="BC52" i="3"/>
  <c r="BB52" i="3"/>
  <c r="AX52" i="3"/>
  <c r="AW52" i="3"/>
  <c r="AV52" i="3"/>
  <c r="AS52" i="3"/>
  <c r="AR52" i="3"/>
  <c r="AQ52" i="3"/>
  <c r="AP52" i="3"/>
  <c r="AO52" i="3"/>
  <c r="AN52" i="3"/>
  <c r="AM52" i="3"/>
  <c r="AL52" i="3"/>
  <c r="AH52" i="3"/>
  <c r="AG52" i="3"/>
  <c r="AF52" i="3"/>
  <c r="AE52" i="3"/>
  <c r="AD52" i="3"/>
  <c r="AC52" i="3"/>
  <c r="AA52" i="3"/>
  <c r="Z52" i="3"/>
  <c r="Y52" i="3"/>
  <c r="X52" i="3"/>
  <c r="W52" i="3"/>
  <c r="T52" i="3"/>
  <c r="S52" i="3"/>
  <c r="R52" i="3"/>
  <c r="Q52" i="3"/>
  <c r="P52" i="3"/>
  <c r="O52" i="3"/>
  <c r="K52" i="3"/>
  <c r="J52" i="3"/>
  <c r="I52" i="3"/>
  <c r="H52" i="3"/>
  <c r="G52" i="3"/>
  <c r="F52" i="3"/>
  <c r="E52" i="3"/>
  <c r="BU51" i="3"/>
  <c r="BT51" i="3"/>
  <c r="BS51" i="3"/>
  <c r="BR51" i="3"/>
  <c r="BQ51" i="3"/>
  <c r="BP51" i="3"/>
  <c r="BO51" i="3"/>
  <c r="BJ51" i="3"/>
  <c r="BI51" i="3"/>
  <c r="BH51" i="3"/>
  <c r="BG51" i="3"/>
  <c r="BF51" i="3"/>
  <c r="BE51" i="3"/>
  <c r="BD51" i="3"/>
  <c r="BC51" i="3"/>
  <c r="BB51" i="3"/>
  <c r="AX51" i="3"/>
  <c r="AW51" i="3"/>
  <c r="AV51" i="3"/>
  <c r="AS51" i="3"/>
  <c r="AR51" i="3"/>
  <c r="AQ51" i="3"/>
  <c r="AP51" i="3"/>
  <c r="AO51" i="3"/>
  <c r="AN51" i="3"/>
  <c r="AM51" i="3"/>
  <c r="AL51" i="3"/>
  <c r="AH51" i="3"/>
  <c r="AG51" i="3"/>
  <c r="AF51" i="3"/>
  <c r="AE51" i="3"/>
  <c r="AD51" i="3"/>
  <c r="AC51" i="3"/>
  <c r="AA51" i="3"/>
  <c r="Z51" i="3"/>
  <c r="Y51" i="3"/>
  <c r="X51" i="3"/>
  <c r="W51" i="3"/>
  <c r="T51" i="3"/>
  <c r="S51" i="3"/>
  <c r="R51" i="3"/>
  <c r="Q51" i="3"/>
  <c r="P51" i="3"/>
  <c r="O51" i="3"/>
  <c r="K51" i="3"/>
  <c r="J51" i="3"/>
  <c r="I51" i="3"/>
  <c r="H51" i="3"/>
  <c r="G51" i="3"/>
  <c r="F51" i="3"/>
  <c r="E51" i="3"/>
  <c r="BU50" i="3"/>
  <c r="BT50" i="3"/>
  <c r="BS50" i="3"/>
  <c r="BR50" i="3"/>
  <c r="BQ50" i="3"/>
  <c r="BP50" i="3"/>
  <c r="BO50" i="3"/>
  <c r="BJ50" i="3"/>
  <c r="BI50" i="3"/>
  <c r="BH50" i="3"/>
  <c r="BG50" i="3"/>
  <c r="BF50" i="3"/>
  <c r="BE50" i="3"/>
  <c r="BD50" i="3"/>
  <c r="BC50" i="3"/>
  <c r="BB50" i="3"/>
  <c r="AX50" i="3"/>
  <c r="AW50" i="3"/>
  <c r="AV50" i="3"/>
  <c r="AS50" i="3"/>
  <c r="AR50" i="3"/>
  <c r="AQ50" i="3"/>
  <c r="AP50" i="3"/>
  <c r="AO50" i="3"/>
  <c r="AN50" i="3"/>
  <c r="AM50" i="3"/>
  <c r="AL50" i="3"/>
  <c r="AH50" i="3"/>
  <c r="AG50" i="3"/>
  <c r="AF50" i="3"/>
  <c r="AE50" i="3"/>
  <c r="AD50" i="3"/>
  <c r="AC50" i="3"/>
  <c r="AA50" i="3"/>
  <c r="Z50" i="3"/>
  <c r="Y50" i="3"/>
  <c r="X50" i="3"/>
  <c r="W50" i="3"/>
  <c r="T50" i="3"/>
  <c r="S50" i="3"/>
  <c r="R50" i="3"/>
  <c r="Q50" i="3"/>
  <c r="P50" i="3"/>
  <c r="O50" i="3"/>
  <c r="K50" i="3"/>
  <c r="J50" i="3"/>
  <c r="I50" i="3"/>
  <c r="H50" i="3"/>
  <c r="G50" i="3"/>
  <c r="F50" i="3"/>
  <c r="E50" i="3"/>
  <c r="BU49" i="3"/>
  <c r="BT49" i="3"/>
  <c r="BS49" i="3"/>
  <c r="BR49" i="3"/>
  <c r="BQ49" i="3"/>
  <c r="BP49" i="3"/>
  <c r="BO49" i="3"/>
  <c r="BJ49" i="3"/>
  <c r="BI49" i="3"/>
  <c r="BH49" i="3"/>
  <c r="BG49" i="3"/>
  <c r="BF49" i="3"/>
  <c r="BE49" i="3"/>
  <c r="BD49" i="3"/>
  <c r="BC49" i="3"/>
  <c r="BB49" i="3"/>
  <c r="AX49" i="3"/>
  <c r="AW49" i="3"/>
  <c r="AV49" i="3"/>
  <c r="AS49" i="3"/>
  <c r="AR49" i="3"/>
  <c r="AQ49" i="3"/>
  <c r="AP49" i="3"/>
  <c r="AO49" i="3"/>
  <c r="AN49" i="3"/>
  <c r="AM49" i="3"/>
  <c r="AL49" i="3"/>
  <c r="AH49" i="3"/>
  <c r="AG49" i="3"/>
  <c r="AF49" i="3"/>
  <c r="AE49" i="3"/>
  <c r="AD49" i="3"/>
  <c r="AC49" i="3"/>
  <c r="AA49" i="3"/>
  <c r="Z49" i="3"/>
  <c r="Y49" i="3"/>
  <c r="X49" i="3"/>
  <c r="W49" i="3"/>
  <c r="T49" i="3"/>
  <c r="S49" i="3"/>
  <c r="R49" i="3"/>
  <c r="Q49" i="3"/>
  <c r="P49" i="3"/>
  <c r="O49" i="3"/>
  <c r="K49" i="3"/>
  <c r="J49" i="3"/>
  <c r="I49" i="3"/>
  <c r="H49" i="3"/>
  <c r="G49" i="3"/>
  <c r="F49" i="3"/>
  <c r="E49" i="3"/>
  <c r="BU48" i="3"/>
  <c r="BT48" i="3"/>
  <c r="BS48" i="3"/>
  <c r="BR48" i="3"/>
  <c r="BQ48" i="3"/>
  <c r="BP48" i="3"/>
  <c r="BO48" i="3"/>
  <c r="BJ48" i="3"/>
  <c r="BI48" i="3"/>
  <c r="BH48" i="3"/>
  <c r="BG48" i="3"/>
  <c r="BF48" i="3"/>
  <c r="BE48" i="3"/>
  <c r="BD48" i="3"/>
  <c r="BC48" i="3"/>
  <c r="BB48" i="3"/>
  <c r="AX48" i="3"/>
  <c r="AW48" i="3"/>
  <c r="AV48" i="3"/>
  <c r="AS48" i="3"/>
  <c r="AR48" i="3"/>
  <c r="AQ48" i="3"/>
  <c r="AP48" i="3"/>
  <c r="AO48" i="3"/>
  <c r="AN48" i="3"/>
  <c r="AM48" i="3"/>
  <c r="AL48" i="3"/>
  <c r="AH48" i="3"/>
  <c r="AG48" i="3"/>
  <c r="AF48" i="3"/>
  <c r="AE48" i="3"/>
  <c r="AD48" i="3"/>
  <c r="AC48" i="3"/>
  <c r="AA48" i="3"/>
  <c r="Z48" i="3"/>
  <c r="Y48" i="3"/>
  <c r="X48" i="3"/>
  <c r="W48" i="3"/>
  <c r="T48" i="3"/>
  <c r="S48" i="3"/>
  <c r="R48" i="3"/>
  <c r="Q48" i="3"/>
  <c r="P48" i="3"/>
  <c r="O48" i="3"/>
  <c r="K48" i="3"/>
  <c r="J48" i="3"/>
  <c r="I48" i="3"/>
  <c r="H48" i="3"/>
  <c r="G48" i="3"/>
  <c r="F48" i="3"/>
  <c r="E48" i="3"/>
  <c r="BU47" i="3"/>
  <c r="BT47" i="3"/>
  <c r="BS47" i="3"/>
  <c r="BR47" i="3"/>
  <c r="BQ47" i="3"/>
  <c r="BP47" i="3"/>
  <c r="BO47" i="3"/>
  <c r="BJ47" i="3"/>
  <c r="BI47" i="3"/>
  <c r="BH47" i="3"/>
  <c r="BG47" i="3"/>
  <c r="BF47" i="3"/>
  <c r="BE47" i="3"/>
  <c r="BD47" i="3"/>
  <c r="BC47" i="3"/>
  <c r="BB47" i="3"/>
  <c r="AX47" i="3"/>
  <c r="AW47" i="3"/>
  <c r="AV47" i="3"/>
  <c r="AS47" i="3"/>
  <c r="AR47" i="3"/>
  <c r="AQ47" i="3"/>
  <c r="AP47" i="3"/>
  <c r="AO47" i="3"/>
  <c r="AN47" i="3"/>
  <c r="AM47" i="3"/>
  <c r="AL47" i="3"/>
  <c r="AH47" i="3"/>
  <c r="AG47" i="3"/>
  <c r="AF47" i="3"/>
  <c r="AE47" i="3"/>
  <c r="AD47" i="3"/>
  <c r="AC47" i="3"/>
  <c r="AA47" i="3"/>
  <c r="Z47" i="3"/>
  <c r="Y47" i="3"/>
  <c r="X47" i="3"/>
  <c r="W47" i="3"/>
  <c r="T47" i="3"/>
  <c r="S47" i="3"/>
  <c r="R47" i="3"/>
  <c r="Q47" i="3"/>
  <c r="P47" i="3"/>
  <c r="O47" i="3"/>
  <c r="K47" i="3"/>
  <c r="J47" i="3"/>
  <c r="I47" i="3"/>
  <c r="H47" i="3"/>
  <c r="G47" i="3"/>
  <c r="F47" i="3"/>
  <c r="E47" i="3"/>
  <c r="BU46" i="3"/>
  <c r="BT46" i="3"/>
  <c r="BS46" i="3"/>
  <c r="BR46" i="3"/>
  <c r="BQ46" i="3"/>
  <c r="BP46" i="3"/>
  <c r="BO46" i="3"/>
  <c r="BJ46" i="3"/>
  <c r="BI46" i="3"/>
  <c r="BH46" i="3"/>
  <c r="BG46" i="3"/>
  <c r="BF46" i="3"/>
  <c r="BE46" i="3"/>
  <c r="BD46" i="3"/>
  <c r="BC46" i="3"/>
  <c r="BB46" i="3"/>
  <c r="AX46" i="3"/>
  <c r="AW46" i="3"/>
  <c r="AV46" i="3"/>
  <c r="AS46" i="3"/>
  <c r="AR46" i="3"/>
  <c r="AQ46" i="3"/>
  <c r="AP46" i="3"/>
  <c r="AO46" i="3"/>
  <c r="AN46" i="3"/>
  <c r="AM46" i="3"/>
  <c r="AL46" i="3"/>
  <c r="AH46" i="3"/>
  <c r="AG46" i="3"/>
  <c r="AF46" i="3"/>
  <c r="AE46" i="3"/>
  <c r="AD46" i="3"/>
  <c r="AC46" i="3"/>
  <c r="AA46" i="3"/>
  <c r="Z46" i="3"/>
  <c r="Y46" i="3"/>
  <c r="X46" i="3"/>
  <c r="W46" i="3"/>
  <c r="T46" i="3"/>
  <c r="S46" i="3"/>
  <c r="R46" i="3"/>
  <c r="Q46" i="3"/>
  <c r="P46" i="3"/>
  <c r="O46" i="3"/>
  <c r="K46" i="3"/>
  <c r="J46" i="3"/>
  <c r="I46" i="3"/>
  <c r="H46" i="3"/>
  <c r="G46" i="3"/>
  <c r="F46" i="3"/>
  <c r="E46" i="3"/>
  <c r="BU45" i="3"/>
  <c r="BT45" i="3"/>
  <c r="BS45" i="3"/>
  <c r="BR45" i="3"/>
  <c r="BQ45" i="3"/>
  <c r="BP45" i="3"/>
  <c r="BO45" i="3"/>
  <c r="BJ45" i="3"/>
  <c r="BI45" i="3"/>
  <c r="BH45" i="3"/>
  <c r="BG45" i="3"/>
  <c r="BF45" i="3"/>
  <c r="BE45" i="3"/>
  <c r="BD45" i="3"/>
  <c r="BC45" i="3"/>
  <c r="BB45" i="3"/>
  <c r="AX45" i="3"/>
  <c r="AW45" i="3"/>
  <c r="AV45" i="3"/>
  <c r="AS45" i="3"/>
  <c r="AR45" i="3"/>
  <c r="AQ45" i="3"/>
  <c r="AP45" i="3"/>
  <c r="AO45" i="3"/>
  <c r="AN45" i="3"/>
  <c r="AM45" i="3"/>
  <c r="AL45" i="3"/>
  <c r="AH45" i="3"/>
  <c r="AG45" i="3"/>
  <c r="AF45" i="3"/>
  <c r="AE45" i="3"/>
  <c r="AD45" i="3"/>
  <c r="AC45" i="3"/>
  <c r="AA45" i="3"/>
  <c r="Z45" i="3"/>
  <c r="Y45" i="3"/>
  <c r="X45" i="3"/>
  <c r="W45" i="3"/>
  <c r="T45" i="3"/>
  <c r="S45" i="3"/>
  <c r="R45" i="3"/>
  <c r="Q45" i="3"/>
  <c r="P45" i="3"/>
  <c r="O45" i="3"/>
  <c r="K45" i="3"/>
  <c r="J45" i="3"/>
  <c r="I45" i="3"/>
  <c r="H45" i="3"/>
  <c r="G45" i="3"/>
  <c r="F45" i="3"/>
  <c r="E45" i="3"/>
  <c r="BU44" i="3"/>
  <c r="BT44" i="3"/>
  <c r="BS44" i="3"/>
  <c r="BR44" i="3"/>
  <c r="BQ44" i="3"/>
  <c r="BP44" i="3"/>
  <c r="BO44" i="3"/>
  <c r="BJ44" i="3"/>
  <c r="BI44" i="3"/>
  <c r="BH44" i="3"/>
  <c r="BG44" i="3"/>
  <c r="BF44" i="3"/>
  <c r="BE44" i="3"/>
  <c r="BD44" i="3"/>
  <c r="BC44" i="3"/>
  <c r="BB44" i="3"/>
  <c r="AX44" i="3"/>
  <c r="AW44" i="3"/>
  <c r="AV44" i="3"/>
  <c r="AS44" i="3"/>
  <c r="AR44" i="3"/>
  <c r="AQ44" i="3"/>
  <c r="AP44" i="3"/>
  <c r="AO44" i="3"/>
  <c r="AN44" i="3"/>
  <c r="AM44" i="3"/>
  <c r="AL44" i="3"/>
  <c r="AH44" i="3"/>
  <c r="AG44" i="3"/>
  <c r="AF44" i="3"/>
  <c r="AE44" i="3"/>
  <c r="AD44" i="3"/>
  <c r="AC44" i="3"/>
  <c r="AA44" i="3"/>
  <c r="Z44" i="3"/>
  <c r="Y44" i="3"/>
  <c r="X44" i="3"/>
  <c r="W44" i="3"/>
  <c r="T44" i="3"/>
  <c r="S44" i="3"/>
  <c r="R44" i="3"/>
  <c r="Q44" i="3"/>
  <c r="P44" i="3"/>
  <c r="O44" i="3"/>
  <c r="K44" i="3"/>
  <c r="J44" i="3"/>
  <c r="I44" i="3"/>
  <c r="H44" i="3"/>
  <c r="G44" i="3"/>
  <c r="F44" i="3"/>
  <c r="E44" i="3"/>
  <c r="BU43" i="3"/>
  <c r="BT43" i="3"/>
  <c r="BS43" i="3"/>
  <c r="BR43" i="3"/>
  <c r="BQ43" i="3"/>
  <c r="BP43" i="3"/>
  <c r="BO43" i="3"/>
  <c r="BJ43" i="3"/>
  <c r="BI43" i="3"/>
  <c r="BH43" i="3"/>
  <c r="BG43" i="3"/>
  <c r="BF43" i="3"/>
  <c r="BE43" i="3"/>
  <c r="BD43" i="3"/>
  <c r="BC43" i="3"/>
  <c r="BB43" i="3"/>
  <c r="AX43" i="3"/>
  <c r="AW43" i="3"/>
  <c r="AV43" i="3"/>
  <c r="AS43" i="3"/>
  <c r="AR43" i="3"/>
  <c r="AQ43" i="3"/>
  <c r="AP43" i="3"/>
  <c r="AO43" i="3"/>
  <c r="AN43" i="3"/>
  <c r="AM43" i="3"/>
  <c r="AL43" i="3"/>
  <c r="AH43" i="3"/>
  <c r="AG43" i="3"/>
  <c r="AF43" i="3"/>
  <c r="AE43" i="3"/>
  <c r="AD43" i="3"/>
  <c r="AC43" i="3"/>
  <c r="AA43" i="3"/>
  <c r="Z43" i="3"/>
  <c r="Y43" i="3"/>
  <c r="X43" i="3"/>
  <c r="W43" i="3"/>
  <c r="T43" i="3"/>
  <c r="S43" i="3"/>
  <c r="R43" i="3"/>
  <c r="Q43" i="3"/>
  <c r="P43" i="3"/>
  <c r="O43" i="3"/>
  <c r="K43" i="3"/>
  <c r="J43" i="3"/>
  <c r="I43" i="3"/>
  <c r="H43" i="3"/>
  <c r="G43" i="3"/>
  <c r="F43" i="3"/>
  <c r="E43" i="3"/>
  <c r="BU42" i="3"/>
  <c r="BT42" i="3"/>
  <c r="BS42" i="3"/>
  <c r="BR42" i="3"/>
  <c r="BQ42" i="3"/>
  <c r="BP42" i="3"/>
  <c r="BO42" i="3"/>
  <c r="BJ42" i="3"/>
  <c r="BI42" i="3"/>
  <c r="BH42" i="3"/>
  <c r="BG42" i="3"/>
  <c r="BF42" i="3"/>
  <c r="BE42" i="3"/>
  <c r="BD42" i="3"/>
  <c r="BC42" i="3"/>
  <c r="BB42" i="3"/>
  <c r="AX42" i="3"/>
  <c r="AW42" i="3"/>
  <c r="AV42" i="3"/>
  <c r="AS42" i="3"/>
  <c r="AR42" i="3"/>
  <c r="AQ42" i="3"/>
  <c r="AP42" i="3"/>
  <c r="AO42" i="3"/>
  <c r="AN42" i="3"/>
  <c r="AM42" i="3"/>
  <c r="AL42" i="3"/>
  <c r="AH42" i="3"/>
  <c r="AG42" i="3"/>
  <c r="AF42" i="3"/>
  <c r="AE42" i="3"/>
  <c r="AD42" i="3"/>
  <c r="AC42" i="3"/>
  <c r="AA42" i="3"/>
  <c r="Z42" i="3"/>
  <c r="Y42" i="3"/>
  <c r="X42" i="3"/>
  <c r="W42" i="3"/>
  <c r="T42" i="3"/>
  <c r="S42" i="3"/>
  <c r="R42" i="3"/>
  <c r="Q42" i="3"/>
  <c r="P42" i="3"/>
  <c r="O42" i="3"/>
  <c r="K42" i="3"/>
  <c r="J42" i="3"/>
  <c r="I42" i="3"/>
  <c r="H42" i="3"/>
  <c r="G42" i="3"/>
  <c r="F42" i="3"/>
  <c r="E42" i="3"/>
  <c r="BU41" i="3"/>
  <c r="BT41" i="3"/>
  <c r="BS41" i="3"/>
  <c r="BR41" i="3"/>
  <c r="BQ41" i="3"/>
  <c r="BP41" i="3"/>
  <c r="BO41" i="3"/>
  <c r="BJ41" i="3"/>
  <c r="BI41" i="3"/>
  <c r="BH41" i="3"/>
  <c r="BG41" i="3"/>
  <c r="BF41" i="3"/>
  <c r="BE41" i="3"/>
  <c r="BD41" i="3"/>
  <c r="BC41" i="3"/>
  <c r="BB41" i="3"/>
  <c r="AX41" i="3"/>
  <c r="AW41" i="3"/>
  <c r="AV41" i="3"/>
  <c r="AS41" i="3"/>
  <c r="AR41" i="3"/>
  <c r="AQ41" i="3"/>
  <c r="AP41" i="3"/>
  <c r="AO41" i="3"/>
  <c r="AN41" i="3"/>
  <c r="AM41" i="3"/>
  <c r="AL41" i="3"/>
  <c r="AH41" i="3"/>
  <c r="AG41" i="3"/>
  <c r="AF41" i="3"/>
  <c r="AE41" i="3"/>
  <c r="AD41" i="3"/>
  <c r="AC41" i="3"/>
  <c r="AA41" i="3"/>
  <c r="Z41" i="3"/>
  <c r="Y41" i="3"/>
  <c r="X41" i="3"/>
  <c r="W41" i="3"/>
  <c r="T41" i="3"/>
  <c r="S41" i="3"/>
  <c r="R41" i="3"/>
  <c r="Q41" i="3"/>
  <c r="P41" i="3"/>
  <c r="O41" i="3"/>
  <c r="K41" i="3"/>
  <c r="J41" i="3"/>
  <c r="I41" i="3"/>
  <c r="H41" i="3"/>
  <c r="G41" i="3"/>
  <c r="F41" i="3"/>
  <c r="E41" i="3"/>
  <c r="BU40" i="3"/>
  <c r="BT40" i="3"/>
  <c r="BS40" i="3"/>
  <c r="BR40" i="3"/>
  <c r="BQ40" i="3"/>
  <c r="BP40" i="3"/>
  <c r="BO40" i="3"/>
  <c r="BJ40" i="3"/>
  <c r="BI40" i="3"/>
  <c r="BH40" i="3"/>
  <c r="BG40" i="3"/>
  <c r="BF40" i="3"/>
  <c r="BE40" i="3"/>
  <c r="BD40" i="3"/>
  <c r="BC40" i="3"/>
  <c r="BB40" i="3"/>
  <c r="AX40" i="3"/>
  <c r="AW40" i="3"/>
  <c r="AV40" i="3"/>
  <c r="AS40" i="3"/>
  <c r="AR40" i="3"/>
  <c r="AQ40" i="3"/>
  <c r="AP40" i="3"/>
  <c r="AO40" i="3"/>
  <c r="AN40" i="3"/>
  <c r="AM40" i="3"/>
  <c r="AL40" i="3"/>
  <c r="AH40" i="3"/>
  <c r="AG40" i="3"/>
  <c r="AF40" i="3"/>
  <c r="AE40" i="3"/>
  <c r="AD40" i="3"/>
  <c r="AC40" i="3"/>
  <c r="AA40" i="3"/>
  <c r="Z40" i="3"/>
  <c r="Y40" i="3"/>
  <c r="X40" i="3"/>
  <c r="W40" i="3"/>
  <c r="T40" i="3"/>
  <c r="S40" i="3"/>
  <c r="R40" i="3"/>
  <c r="Q40" i="3"/>
  <c r="P40" i="3"/>
  <c r="O40" i="3"/>
  <c r="K40" i="3"/>
  <c r="J40" i="3"/>
  <c r="I40" i="3"/>
  <c r="H40" i="3"/>
  <c r="G40" i="3"/>
  <c r="F40" i="3"/>
  <c r="E40" i="3"/>
  <c r="BU39" i="3"/>
  <c r="BT39" i="3"/>
  <c r="BS39" i="3"/>
  <c r="BR39" i="3"/>
  <c r="BQ39" i="3"/>
  <c r="BP39" i="3"/>
  <c r="BO39" i="3"/>
  <c r="BJ39" i="3"/>
  <c r="BI39" i="3"/>
  <c r="BH39" i="3"/>
  <c r="BG39" i="3"/>
  <c r="BF39" i="3"/>
  <c r="BE39" i="3"/>
  <c r="BD39" i="3"/>
  <c r="BC39" i="3"/>
  <c r="BB39" i="3"/>
  <c r="AX39" i="3"/>
  <c r="AW39" i="3"/>
  <c r="AV39" i="3"/>
  <c r="AS39" i="3"/>
  <c r="AR39" i="3"/>
  <c r="AQ39" i="3"/>
  <c r="AP39" i="3"/>
  <c r="AO39" i="3"/>
  <c r="AN39" i="3"/>
  <c r="AM39" i="3"/>
  <c r="AL39" i="3"/>
  <c r="AH39" i="3"/>
  <c r="AG39" i="3"/>
  <c r="AF39" i="3"/>
  <c r="AE39" i="3"/>
  <c r="AD39" i="3"/>
  <c r="AC39" i="3"/>
  <c r="AA39" i="3"/>
  <c r="Z39" i="3"/>
  <c r="Y39" i="3"/>
  <c r="X39" i="3"/>
  <c r="W39" i="3"/>
  <c r="T39" i="3"/>
  <c r="S39" i="3"/>
  <c r="R39" i="3"/>
  <c r="Q39" i="3"/>
  <c r="P39" i="3"/>
  <c r="O39" i="3"/>
  <c r="K39" i="3"/>
  <c r="J39" i="3"/>
  <c r="I39" i="3"/>
  <c r="H39" i="3"/>
  <c r="G39" i="3"/>
  <c r="F39" i="3"/>
  <c r="E39" i="3"/>
  <c r="BU38" i="3"/>
  <c r="BT38" i="3"/>
  <c r="BS38" i="3"/>
  <c r="BR38" i="3"/>
  <c r="BQ38" i="3"/>
  <c r="BP38" i="3"/>
  <c r="BO38" i="3"/>
  <c r="BJ38" i="3"/>
  <c r="BI38" i="3"/>
  <c r="BH38" i="3"/>
  <c r="BG38" i="3"/>
  <c r="BF38" i="3"/>
  <c r="BE38" i="3"/>
  <c r="BD38" i="3"/>
  <c r="BC38" i="3"/>
  <c r="BB38" i="3"/>
  <c r="AX38" i="3"/>
  <c r="AW38" i="3"/>
  <c r="AV38" i="3"/>
  <c r="AS38" i="3"/>
  <c r="AR38" i="3"/>
  <c r="AQ38" i="3"/>
  <c r="AP38" i="3"/>
  <c r="AO38" i="3"/>
  <c r="AN38" i="3"/>
  <c r="AM38" i="3"/>
  <c r="AL38" i="3"/>
  <c r="AH38" i="3"/>
  <c r="AG38" i="3"/>
  <c r="AF38" i="3"/>
  <c r="AE38" i="3"/>
  <c r="AD38" i="3"/>
  <c r="AC38" i="3"/>
  <c r="AA38" i="3"/>
  <c r="Z38" i="3"/>
  <c r="Y38" i="3"/>
  <c r="X38" i="3"/>
  <c r="W38" i="3"/>
  <c r="T38" i="3"/>
  <c r="S38" i="3"/>
  <c r="R38" i="3"/>
  <c r="Q38" i="3"/>
  <c r="P38" i="3"/>
  <c r="O38" i="3"/>
  <c r="K38" i="3"/>
  <c r="J38" i="3"/>
  <c r="I38" i="3"/>
  <c r="H38" i="3"/>
  <c r="G38" i="3"/>
  <c r="F38" i="3"/>
  <c r="E38" i="3"/>
  <c r="BU37" i="3"/>
  <c r="BT37" i="3"/>
  <c r="BS37" i="3"/>
  <c r="BR37" i="3"/>
  <c r="BQ37" i="3"/>
  <c r="BP37" i="3"/>
  <c r="BO37" i="3"/>
  <c r="BJ37" i="3"/>
  <c r="BI37" i="3"/>
  <c r="BH37" i="3"/>
  <c r="BG37" i="3"/>
  <c r="BF37" i="3"/>
  <c r="BE37" i="3"/>
  <c r="BD37" i="3"/>
  <c r="BC37" i="3"/>
  <c r="BB37" i="3"/>
  <c r="AX37" i="3"/>
  <c r="AW37" i="3"/>
  <c r="AV37" i="3"/>
  <c r="AS37" i="3"/>
  <c r="AR37" i="3"/>
  <c r="AQ37" i="3"/>
  <c r="AP37" i="3"/>
  <c r="AO37" i="3"/>
  <c r="AN37" i="3"/>
  <c r="AM37" i="3"/>
  <c r="AL37" i="3"/>
  <c r="AH37" i="3"/>
  <c r="AG37" i="3"/>
  <c r="AF37" i="3"/>
  <c r="AE37" i="3"/>
  <c r="AD37" i="3"/>
  <c r="AC37" i="3"/>
  <c r="AA37" i="3"/>
  <c r="Z37" i="3"/>
  <c r="Y37" i="3"/>
  <c r="X37" i="3"/>
  <c r="W37" i="3"/>
  <c r="T37" i="3"/>
  <c r="S37" i="3"/>
  <c r="R37" i="3"/>
  <c r="Q37" i="3"/>
  <c r="P37" i="3"/>
  <c r="O37" i="3"/>
  <c r="K37" i="3"/>
  <c r="J37" i="3"/>
  <c r="I37" i="3"/>
  <c r="H37" i="3"/>
  <c r="G37" i="3"/>
  <c r="F37" i="3"/>
  <c r="E37" i="3"/>
  <c r="BU36" i="3"/>
  <c r="BT36" i="3"/>
  <c r="BS36" i="3"/>
  <c r="BR36" i="3"/>
  <c r="BQ36" i="3"/>
  <c r="BP36" i="3"/>
  <c r="BO36" i="3"/>
  <c r="BJ36" i="3"/>
  <c r="BI36" i="3"/>
  <c r="BH36" i="3"/>
  <c r="BG36" i="3"/>
  <c r="BF36" i="3"/>
  <c r="BE36" i="3"/>
  <c r="BD36" i="3"/>
  <c r="BC36" i="3"/>
  <c r="BB36" i="3"/>
  <c r="AX36" i="3"/>
  <c r="AW36" i="3"/>
  <c r="AV36" i="3"/>
  <c r="AS36" i="3"/>
  <c r="AR36" i="3"/>
  <c r="AQ36" i="3"/>
  <c r="AP36" i="3"/>
  <c r="AO36" i="3"/>
  <c r="AN36" i="3"/>
  <c r="AM36" i="3"/>
  <c r="AL36" i="3"/>
  <c r="AH36" i="3"/>
  <c r="AG36" i="3"/>
  <c r="AF36" i="3"/>
  <c r="AE36" i="3"/>
  <c r="AD36" i="3"/>
  <c r="AC36" i="3"/>
  <c r="AA36" i="3"/>
  <c r="Z36" i="3"/>
  <c r="Y36" i="3"/>
  <c r="X36" i="3"/>
  <c r="W36" i="3"/>
  <c r="T36" i="3"/>
  <c r="S36" i="3"/>
  <c r="R36" i="3"/>
  <c r="Q36" i="3"/>
  <c r="P36" i="3"/>
  <c r="O36" i="3"/>
  <c r="K36" i="3"/>
  <c r="J36" i="3"/>
  <c r="I36" i="3"/>
  <c r="H36" i="3"/>
  <c r="G36" i="3"/>
  <c r="F36" i="3"/>
  <c r="E36" i="3"/>
  <c r="BU35" i="3"/>
  <c r="BT35" i="3"/>
  <c r="BS35" i="3"/>
  <c r="BR35" i="3"/>
  <c r="BQ35" i="3"/>
  <c r="BP35" i="3"/>
  <c r="BO35" i="3"/>
  <c r="BJ35" i="3"/>
  <c r="BI35" i="3"/>
  <c r="BH35" i="3"/>
  <c r="BG35" i="3"/>
  <c r="BF35" i="3"/>
  <c r="BE35" i="3"/>
  <c r="BD35" i="3"/>
  <c r="BC35" i="3"/>
  <c r="BB35" i="3"/>
  <c r="AX35" i="3"/>
  <c r="AW35" i="3"/>
  <c r="AV35" i="3"/>
  <c r="AS35" i="3"/>
  <c r="AR35" i="3"/>
  <c r="AQ35" i="3"/>
  <c r="AP35" i="3"/>
  <c r="AO35" i="3"/>
  <c r="AN35" i="3"/>
  <c r="AM35" i="3"/>
  <c r="AL35" i="3"/>
  <c r="AH35" i="3"/>
  <c r="AG35" i="3"/>
  <c r="AF35" i="3"/>
  <c r="AE35" i="3"/>
  <c r="AD35" i="3"/>
  <c r="AC35" i="3"/>
  <c r="AA35" i="3"/>
  <c r="Z35" i="3"/>
  <c r="Y35" i="3"/>
  <c r="X35" i="3"/>
  <c r="W35" i="3"/>
  <c r="T35" i="3"/>
  <c r="S35" i="3"/>
  <c r="R35" i="3"/>
  <c r="Q35" i="3"/>
  <c r="P35" i="3"/>
  <c r="O35" i="3"/>
  <c r="K35" i="3"/>
  <c r="J35" i="3"/>
  <c r="I35" i="3"/>
  <c r="H35" i="3"/>
  <c r="G35" i="3"/>
  <c r="F35" i="3"/>
  <c r="E35" i="3"/>
  <c r="BU34" i="3"/>
  <c r="BT34" i="3"/>
  <c r="BS34" i="3"/>
  <c r="BR34" i="3"/>
  <c r="BQ34" i="3"/>
  <c r="BP34" i="3"/>
  <c r="BO34" i="3"/>
  <c r="BJ34" i="3"/>
  <c r="BI34" i="3"/>
  <c r="BH34" i="3"/>
  <c r="BG34" i="3"/>
  <c r="BF34" i="3"/>
  <c r="BE34" i="3"/>
  <c r="BD34" i="3"/>
  <c r="BC34" i="3"/>
  <c r="BB34" i="3"/>
  <c r="AX34" i="3"/>
  <c r="AW34" i="3"/>
  <c r="AV34" i="3"/>
  <c r="AS34" i="3"/>
  <c r="AR34" i="3"/>
  <c r="AQ34" i="3"/>
  <c r="AP34" i="3"/>
  <c r="AO34" i="3"/>
  <c r="AN34" i="3"/>
  <c r="AM34" i="3"/>
  <c r="AL34" i="3"/>
  <c r="AH34" i="3"/>
  <c r="AG34" i="3"/>
  <c r="AF34" i="3"/>
  <c r="AE34" i="3"/>
  <c r="AD34" i="3"/>
  <c r="AC34" i="3"/>
  <c r="AA34" i="3"/>
  <c r="Z34" i="3"/>
  <c r="Y34" i="3"/>
  <c r="X34" i="3"/>
  <c r="W34" i="3"/>
  <c r="T34" i="3"/>
  <c r="S34" i="3"/>
  <c r="R34" i="3"/>
  <c r="Q34" i="3"/>
  <c r="P34" i="3"/>
  <c r="O34" i="3"/>
  <c r="K34" i="3"/>
  <c r="J34" i="3"/>
  <c r="I34" i="3"/>
  <c r="H34" i="3"/>
  <c r="G34" i="3"/>
  <c r="F34" i="3"/>
  <c r="E34" i="3"/>
  <c r="BU33" i="3"/>
  <c r="BT33" i="3"/>
  <c r="BS33" i="3"/>
  <c r="BR33" i="3"/>
  <c r="BQ33" i="3"/>
  <c r="BP33" i="3"/>
  <c r="BO33" i="3"/>
  <c r="BJ33" i="3"/>
  <c r="BI33" i="3"/>
  <c r="BH33" i="3"/>
  <c r="BG33" i="3"/>
  <c r="BF33" i="3"/>
  <c r="BE33" i="3"/>
  <c r="BD33" i="3"/>
  <c r="BC33" i="3"/>
  <c r="BB33" i="3"/>
  <c r="AX33" i="3"/>
  <c r="AW33" i="3"/>
  <c r="AV33" i="3"/>
  <c r="AS33" i="3"/>
  <c r="AR33" i="3"/>
  <c r="AQ33" i="3"/>
  <c r="AP33" i="3"/>
  <c r="AO33" i="3"/>
  <c r="AN33" i="3"/>
  <c r="AM33" i="3"/>
  <c r="AL33" i="3"/>
  <c r="AH33" i="3"/>
  <c r="AG33" i="3"/>
  <c r="AF33" i="3"/>
  <c r="AE33" i="3"/>
  <c r="AD33" i="3"/>
  <c r="AC33" i="3"/>
  <c r="AA33" i="3"/>
  <c r="Z33" i="3"/>
  <c r="Y33" i="3"/>
  <c r="X33" i="3"/>
  <c r="W33" i="3"/>
  <c r="T33" i="3"/>
  <c r="S33" i="3"/>
  <c r="R33" i="3"/>
  <c r="Q33" i="3"/>
  <c r="P33" i="3"/>
  <c r="O33" i="3"/>
  <c r="K33" i="3"/>
  <c r="J33" i="3"/>
  <c r="I33" i="3"/>
  <c r="H33" i="3"/>
  <c r="G33" i="3"/>
  <c r="F33" i="3"/>
  <c r="E33" i="3"/>
  <c r="BU32" i="3"/>
  <c r="BT32" i="3"/>
  <c r="BS32" i="3"/>
  <c r="BR32" i="3"/>
  <c r="BQ32" i="3"/>
  <c r="BP32" i="3"/>
  <c r="BO32" i="3"/>
  <c r="BJ32" i="3"/>
  <c r="BI32" i="3"/>
  <c r="BH32" i="3"/>
  <c r="BG32" i="3"/>
  <c r="BF32" i="3"/>
  <c r="BE32" i="3"/>
  <c r="BD32" i="3"/>
  <c r="BC32" i="3"/>
  <c r="BB32" i="3"/>
  <c r="AX32" i="3"/>
  <c r="AW32" i="3"/>
  <c r="AV32" i="3"/>
  <c r="AS32" i="3"/>
  <c r="AR32" i="3"/>
  <c r="AQ32" i="3"/>
  <c r="AP32" i="3"/>
  <c r="AO32" i="3"/>
  <c r="AN32" i="3"/>
  <c r="AM32" i="3"/>
  <c r="AL32" i="3"/>
  <c r="AH32" i="3"/>
  <c r="AG32" i="3"/>
  <c r="AF32" i="3"/>
  <c r="AE32" i="3"/>
  <c r="AD32" i="3"/>
  <c r="AC32" i="3"/>
  <c r="AA32" i="3"/>
  <c r="Z32" i="3"/>
  <c r="Y32" i="3"/>
  <c r="X32" i="3"/>
  <c r="W32" i="3"/>
  <c r="T32" i="3"/>
  <c r="S32" i="3"/>
  <c r="R32" i="3"/>
  <c r="Q32" i="3"/>
  <c r="P32" i="3"/>
  <c r="O32" i="3"/>
  <c r="K32" i="3"/>
  <c r="J32" i="3"/>
  <c r="I32" i="3"/>
  <c r="H32" i="3"/>
  <c r="G32" i="3"/>
  <c r="F32" i="3"/>
  <c r="E32" i="3"/>
  <c r="BU31" i="3"/>
  <c r="BT31" i="3"/>
  <c r="BS31" i="3"/>
  <c r="BR31" i="3"/>
  <c r="BQ31" i="3"/>
  <c r="BP31" i="3"/>
  <c r="BO31" i="3"/>
  <c r="BJ31" i="3"/>
  <c r="BI31" i="3"/>
  <c r="BH31" i="3"/>
  <c r="BG31" i="3"/>
  <c r="BF31" i="3"/>
  <c r="BE31" i="3"/>
  <c r="BD31" i="3"/>
  <c r="BC31" i="3"/>
  <c r="BB31" i="3"/>
  <c r="AX31" i="3"/>
  <c r="AW31" i="3"/>
  <c r="AV31" i="3"/>
  <c r="AS31" i="3"/>
  <c r="AR31" i="3"/>
  <c r="AQ31" i="3"/>
  <c r="AP31" i="3"/>
  <c r="AO31" i="3"/>
  <c r="AN31" i="3"/>
  <c r="AM31" i="3"/>
  <c r="AL31" i="3"/>
  <c r="AH31" i="3"/>
  <c r="AG31" i="3"/>
  <c r="AF31" i="3"/>
  <c r="AE31" i="3"/>
  <c r="AD31" i="3"/>
  <c r="AC31" i="3"/>
  <c r="AA31" i="3"/>
  <c r="Z31" i="3"/>
  <c r="Y31" i="3"/>
  <c r="X31" i="3"/>
  <c r="W31" i="3"/>
  <c r="T31" i="3"/>
  <c r="S31" i="3"/>
  <c r="R31" i="3"/>
  <c r="Q31" i="3"/>
  <c r="P31" i="3"/>
  <c r="O31" i="3"/>
  <c r="K31" i="3"/>
  <c r="J31" i="3"/>
  <c r="I31" i="3"/>
  <c r="H31" i="3"/>
  <c r="G31" i="3"/>
  <c r="F31" i="3"/>
  <c r="E31" i="3"/>
  <c r="BU30" i="3"/>
  <c r="BT30" i="3"/>
  <c r="BS30" i="3"/>
  <c r="BR30" i="3"/>
  <c r="BQ30" i="3"/>
  <c r="BP30" i="3"/>
  <c r="BO30" i="3"/>
  <c r="BJ30" i="3"/>
  <c r="BI30" i="3"/>
  <c r="BH30" i="3"/>
  <c r="BG30" i="3"/>
  <c r="BF30" i="3"/>
  <c r="BE30" i="3"/>
  <c r="BD30" i="3"/>
  <c r="BC30" i="3"/>
  <c r="BB30" i="3"/>
  <c r="AX30" i="3"/>
  <c r="AW30" i="3"/>
  <c r="AV30" i="3"/>
  <c r="AS30" i="3"/>
  <c r="AR30" i="3"/>
  <c r="AQ30" i="3"/>
  <c r="AP30" i="3"/>
  <c r="AO30" i="3"/>
  <c r="AN30" i="3"/>
  <c r="AM30" i="3"/>
  <c r="AL30" i="3"/>
  <c r="AH30" i="3"/>
  <c r="AG30" i="3"/>
  <c r="AF30" i="3"/>
  <c r="AE30" i="3"/>
  <c r="AD30" i="3"/>
  <c r="AC30" i="3"/>
  <c r="AA30" i="3"/>
  <c r="Z30" i="3"/>
  <c r="Y30" i="3"/>
  <c r="X30" i="3"/>
  <c r="W30" i="3"/>
  <c r="T30" i="3"/>
  <c r="S30" i="3"/>
  <c r="R30" i="3"/>
  <c r="Q30" i="3"/>
  <c r="P30" i="3"/>
  <c r="O30" i="3"/>
  <c r="K30" i="3"/>
  <c r="J30" i="3"/>
  <c r="I30" i="3"/>
  <c r="H30" i="3"/>
  <c r="G30" i="3"/>
  <c r="F30" i="3"/>
  <c r="E30" i="3"/>
  <c r="BU29" i="3"/>
  <c r="BT29" i="3"/>
  <c r="BS29" i="3"/>
  <c r="BR29" i="3"/>
  <c r="BQ29" i="3"/>
  <c r="BP29" i="3"/>
  <c r="BO29" i="3"/>
  <c r="BJ29" i="3"/>
  <c r="BI29" i="3"/>
  <c r="BH29" i="3"/>
  <c r="BG29" i="3"/>
  <c r="BF29" i="3"/>
  <c r="BE29" i="3"/>
  <c r="BD29" i="3"/>
  <c r="BC29" i="3"/>
  <c r="BB29" i="3"/>
  <c r="AX29" i="3"/>
  <c r="AW29" i="3"/>
  <c r="AV29" i="3"/>
  <c r="AS29" i="3"/>
  <c r="AR29" i="3"/>
  <c r="AQ29" i="3"/>
  <c r="AP29" i="3"/>
  <c r="AO29" i="3"/>
  <c r="AN29" i="3"/>
  <c r="AM29" i="3"/>
  <c r="AL29" i="3"/>
  <c r="AH29" i="3"/>
  <c r="AG29" i="3"/>
  <c r="AF29" i="3"/>
  <c r="AE29" i="3"/>
  <c r="AD29" i="3"/>
  <c r="AC29" i="3"/>
  <c r="AA29" i="3"/>
  <c r="Z29" i="3"/>
  <c r="Y29" i="3"/>
  <c r="X29" i="3"/>
  <c r="W29" i="3"/>
  <c r="T29" i="3"/>
  <c r="S29" i="3"/>
  <c r="R29" i="3"/>
  <c r="Q29" i="3"/>
  <c r="P29" i="3"/>
  <c r="O29" i="3"/>
  <c r="K29" i="3"/>
  <c r="J29" i="3"/>
  <c r="I29" i="3"/>
  <c r="H29" i="3"/>
  <c r="G29" i="3"/>
  <c r="F29" i="3"/>
  <c r="E29" i="3"/>
  <c r="BU28" i="3"/>
  <c r="BT28" i="3"/>
  <c r="BS28" i="3"/>
  <c r="BR28" i="3"/>
  <c r="BQ28" i="3"/>
  <c r="BP28" i="3"/>
  <c r="BO28" i="3"/>
  <c r="BJ28" i="3"/>
  <c r="BI28" i="3"/>
  <c r="BH28" i="3"/>
  <c r="BG28" i="3"/>
  <c r="BF28" i="3"/>
  <c r="BE28" i="3"/>
  <c r="BD28" i="3"/>
  <c r="BC28" i="3"/>
  <c r="BB28" i="3"/>
  <c r="AX28" i="3"/>
  <c r="AW28" i="3"/>
  <c r="AV28" i="3"/>
  <c r="AS28" i="3"/>
  <c r="AR28" i="3"/>
  <c r="AQ28" i="3"/>
  <c r="AP28" i="3"/>
  <c r="AO28" i="3"/>
  <c r="AN28" i="3"/>
  <c r="AM28" i="3"/>
  <c r="AL28" i="3"/>
  <c r="AH28" i="3"/>
  <c r="AG28" i="3"/>
  <c r="AF28" i="3"/>
  <c r="AE28" i="3"/>
  <c r="AD28" i="3"/>
  <c r="AC28" i="3"/>
  <c r="AA28" i="3"/>
  <c r="Z28" i="3"/>
  <c r="Y28" i="3"/>
  <c r="X28" i="3"/>
  <c r="W28" i="3"/>
  <c r="T28" i="3"/>
  <c r="S28" i="3"/>
  <c r="R28" i="3"/>
  <c r="Q28" i="3"/>
  <c r="P28" i="3"/>
  <c r="O28" i="3"/>
  <c r="K28" i="3"/>
  <c r="J28" i="3"/>
  <c r="I28" i="3"/>
  <c r="H28" i="3"/>
  <c r="G28" i="3"/>
  <c r="F28" i="3"/>
  <c r="E28" i="3"/>
  <c r="BU27" i="3"/>
  <c r="BT27" i="3"/>
  <c r="BS27" i="3"/>
  <c r="BR27" i="3"/>
  <c r="BQ27" i="3"/>
  <c r="BP27" i="3"/>
  <c r="BO27" i="3"/>
  <c r="BJ27" i="3"/>
  <c r="BI27" i="3"/>
  <c r="BH27" i="3"/>
  <c r="BG27" i="3"/>
  <c r="BF27" i="3"/>
  <c r="BE27" i="3"/>
  <c r="BD27" i="3"/>
  <c r="BC27" i="3"/>
  <c r="BB27" i="3"/>
  <c r="AX27" i="3"/>
  <c r="AW27" i="3"/>
  <c r="AV27" i="3"/>
  <c r="AS27" i="3"/>
  <c r="AR27" i="3"/>
  <c r="AQ27" i="3"/>
  <c r="AP27" i="3"/>
  <c r="AO27" i="3"/>
  <c r="AN27" i="3"/>
  <c r="AM27" i="3"/>
  <c r="AL27" i="3"/>
  <c r="AH27" i="3"/>
  <c r="AG27" i="3"/>
  <c r="AF27" i="3"/>
  <c r="AE27" i="3"/>
  <c r="AD27" i="3"/>
  <c r="AC27" i="3"/>
  <c r="AA27" i="3"/>
  <c r="Z27" i="3"/>
  <c r="Y27" i="3"/>
  <c r="X27" i="3"/>
  <c r="W27" i="3"/>
  <c r="T27" i="3"/>
  <c r="S27" i="3"/>
  <c r="R27" i="3"/>
  <c r="Q27" i="3"/>
  <c r="P27" i="3"/>
  <c r="O27" i="3"/>
  <c r="K27" i="3"/>
  <c r="J27" i="3"/>
  <c r="I27" i="3"/>
  <c r="H27" i="3"/>
  <c r="G27" i="3"/>
  <c r="F27" i="3"/>
  <c r="E27" i="3"/>
  <c r="BU26" i="3"/>
  <c r="BT26" i="3"/>
  <c r="BS26" i="3"/>
  <c r="BR26" i="3"/>
  <c r="BQ26" i="3"/>
  <c r="BP26" i="3"/>
  <c r="BO26" i="3"/>
  <c r="BJ26" i="3"/>
  <c r="BI26" i="3"/>
  <c r="BH26" i="3"/>
  <c r="BG26" i="3"/>
  <c r="BF26" i="3"/>
  <c r="BE26" i="3"/>
  <c r="BD26" i="3"/>
  <c r="BC26" i="3"/>
  <c r="BB26" i="3"/>
  <c r="AX26" i="3"/>
  <c r="AW26" i="3"/>
  <c r="AV26" i="3"/>
  <c r="AS26" i="3"/>
  <c r="AR26" i="3"/>
  <c r="AQ26" i="3"/>
  <c r="AP26" i="3"/>
  <c r="AO26" i="3"/>
  <c r="AN26" i="3"/>
  <c r="AM26" i="3"/>
  <c r="AL26" i="3"/>
  <c r="AH26" i="3"/>
  <c r="AG26" i="3"/>
  <c r="AF26" i="3"/>
  <c r="AE26" i="3"/>
  <c r="AD26" i="3"/>
  <c r="AC26" i="3"/>
  <c r="AA26" i="3"/>
  <c r="Z26" i="3"/>
  <c r="Y26" i="3"/>
  <c r="X26" i="3"/>
  <c r="W26" i="3"/>
  <c r="T26" i="3"/>
  <c r="S26" i="3"/>
  <c r="R26" i="3"/>
  <c r="Q26" i="3"/>
  <c r="P26" i="3"/>
  <c r="O26" i="3"/>
  <c r="K26" i="3"/>
  <c r="J26" i="3"/>
  <c r="I26" i="3"/>
  <c r="H26" i="3"/>
  <c r="G26" i="3"/>
  <c r="F26" i="3"/>
  <c r="E26" i="3"/>
  <c r="BU25" i="3"/>
  <c r="BT25" i="3"/>
  <c r="BS25" i="3"/>
  <c r="BR25" i="3"/>
  <c r="BQ25" i="3"/>
  <c r="BP25" i="3"/>
  <c r="BO25" i="3"/>
  <c r="BJ25" i="3"/>
  <c r="BI25" i="3"/>
  <c r="BH25" i="3"/>
  <c r="BG25" i="3"/>
  <c r="BF25" i="3"/>
  <c r="BE25" i="3"/>
  <c r="BD25" i="3"/>
  <c r="BC25" i="3"/>
  <c r="BB25" i="3"/>
  <c r="AX25" i="3"/>
  <c r="AW25" i="3"/>
  <c r="AV25" i="3"/>
  <c r="AS25" i="3"/>
  <c r="AR25" i="3"/>
  <c r="AQ25" i="3"/>
  <c r="AP25" i="3"/>
  <c r="AO25" i="3"/>
  <c r="AN25" i="3"/>
  <c r="AM25" i="3"/>
  <c r="AL25" i="3"/>
  <c r="AH25" i="3"/>
  <c r="AG25" i="3"/>
  <c r="AF25" i="3"/>
  <c r="AE25" i="3"/>
  <c r="AD25" i="3"/>
  <c r="AC25" i="3"/>
  <c r="AA25" i="3"/>
  <c r="Z25" i="3"/>
  <c r="Y25" i="3"/>
  <c r="X25" i="3"/>
  <c r="W25" i="3"/>
  <c r="T25" i="3"/>
  <c r="S25" i="3"/>
  <c r="R25" i="3"/>
  <c r="Q25" i="3"/>
  <c r="P25" i="3"/>
  <c r="O25" i="3"/>
  <c r="K25" i="3"/>
  <c r="J25" i="3"/>
  <c r="I25" i="3"/>
  <c r="H25" i="3"/>
  <c r="G25" i="3"/>
  <c r="F25" i="3"/>
  <c r="E25" i="3"/>
  <c r="BU24" i="3"/>
  <c r="BT24" i="3"/>
  <c r="BS24" i="3"/>
  <c r="BR24" i="3"/>
  <c r="BQ24" i="3"/>
  <c r="BP24" i="3"/>
  <c r="BO24" i="3"/>
  <c r="BJ24" i="3"/>
  <c r="BI24" i="3"/>
  <c r="BH24" i="3"/>
  <c r="BG24" i="3"/>
  <c r="BF24" i="3"/>
  <c r="BE24" i="3"/>
  <c r="BD24" i="3"/>
  <c r="BC24" i="3"/>
  <c r="BB24" i="3"/>
  <c r="AX24" i="3"/>
  <c r="AW24" i="3"/>
  <c r="AV24" i="3"/>
  <c r="AS24" i="3"/>
  <c r="AR24" i="3"/>
  <c r="AQ24" i="3"/>
  <c r="AP24" i="3"/>
  <c r="AO24" i="3"/>
  <c r="AN24" i="3"/>
  <c r="AM24" i="3"/>
  <c r="AL24" i="3"/>
  <c r="AH24" i="3"/>
  <c r="AG24" i="3"/>
  <c r="AF24" i="3"/>
  <c r="AE24" i="3"/>
  <c r="AD24" i="3"/>
  <c r="AC24" i="3"/>
  <c r="AA24" i="3"/>
  <c r="Z24" i="3"/>
  <c r="Y24" i="3"/>
  <c r="X24" i="3"/>
  <c r="W24" i="3"/>
  <c r="T24" i="3"/>
  <c r="S24" i="3"/>
  <c r="R24" i="3"/>
  <c r="Q24" i="3"/>
  <c r="P24" i="3"/>
  <c r="O24" i="3"/>
  <c r="K24" i="3"/>
  <c r="J24" i="3"/>
  <c r="I24" i="3"/>
  <c r="H24" i="3"/>
  <c r="G24" i="3"/>
  <c r="F24" i="3"/>
  <c r="E24" i="3"/>
  <c r="BU23" i="3"/>
  <c r="BT23" i="3"/>
  <c r="BS23" i="3"/>
  <c r="BR23" i="3"/>
  <c r="BQ23" i="3"/>
  <c r="BP23" i="3"/>
  <c r="BO23" i="3"/>
  <c r="BJ23" i="3"/>
  <c r="BI23" i="3"/>
  <c r="BH23" i="3"/>
  <c r="BG23" i="3"/>
  <c r="BF23" i="3"/>
  <c r="BE23" i="3"/>
  <c r="BD23" i="3"/>
  <c r="BC23" i="3"/>
  <c r="BB23" i="3"/>
  <c r="AX23" i="3"/>
  <c r="AW23" i="3"/>
  <c r="AV23" i="3"/>
  <c r="AS23" i="3"/>
  <c r="AR23" i="3"/>
  <c r="AQ23" i="3"/>
  <c r="AP23" i="3"/>
  <c r="AO23" i="3"/>
  <c r="AN23" i="3"/>
  <c r="AM23" i="3"/>
  <c r="AL23" i="3"/>
  <c r="AH23" i="3"/>
  <c r="AG23" i="3"/>
  <c r="AF23" i="3"/>
  <c r="AE23" i="3"/>
  <c r="AD23" i="3"/>
  <c r="AC23" i="3"/>
  <c r="AA23" i="3"/>
  <c r="Z23" i="3"/>
  <c r="Y23" i="3"/>
  <c r="X23" i="3"/>
  <c r="W23" i="3"/>
  <c r="T23" i="3"/>
  <c r="S23" i="3"/>
  <c r="R23" i="3"/>
  <c r="Q23" i="3"/>
  <c r="P23" i="3"/>
  <c r="O23" i="3"/>
  <c r="K23" i="3"/>
  <c r="J23" i="3"/>
  <c r="I23" i="3"/>
  <c r="H23" i="3"/>
  <c r="G23" i="3"/>
  <c r="F23" i="3"/>
  <c r="E23" i="3"/>
  <c r="BU22" i="3"/>
  <c r="BT22" i="3"/>
  <c r="BS22" i="3"/>
  <c r="BR22" i="3"/>
  <c r="BQ22" i="3"/>
  <c r="BP22" i="3"/>
  <c r="BO22" i="3"/>
  <c r="BJ22" i="3"/>
  <c r="BI22" i="3"/>
  <c r="BH22" i="3"/>
  <c r="BG22" i="3"/>
  <c r="BF22" i="3"/>
  <c r="BE22" i="3"/>
  <c r="BD22" i="3"/>
  <c r="BC22" i="3"/>
  <c r="BB22" i="3"/>
  <c r="AX22" i="3"/>
  <c r="AW22" i="3"/>
  <c r="AV22" i="3"/>
  <c r="AS22" i="3"/>
  <c r="AR22" i="3"/>
  <c r="AQ22" i="3"/>
  <c r="AP22" i="3"/>
  <c r="AO22" i="3"/>
  <c r="AN22" i="3"/>
  <c r="AM22" i="3"/>
  <c r="AL22" i="3"/>
  <c r="AH22" i="3"/>
  <c r="AG22" i="3"/>
  <c r="AF22" i="3"/>
  <c r="AE22" i="3"/>
  <c r="AD22" i="3"/>
  <c r="AC22" i="3"/>
  <c r="AA22" i="3"/>
  <c r="Z22" i="3"/>
  <c r="Y22" i="3"/>
  <c r="X22" i="3"/>
  <c r="W22" i="3"/>
  <c r="T22" i="3"/>
  <c r="S22" i="3"/>
  <c r="R22" i="3"/>
  <c r="Q22" i="3"/>
  <c r="P22" i="3"/>
  <c r="O22" i="3"/>
  <c r="K22" i="3"/>
  <c r="J22" i="3"/>
  <c r="I22" i="3"/>
  <c r="H22" i="3"/>
  <c r="G22" i="3"/>
  <c r="F22" i="3"/>
  <c r="E22" i="3"/>
  <c r="BU21" i="3"/>
  <c r="BT21" i="3"/>
  <c r="BS21" i="3"/>
  <c r="BR21" i="3"/>
  <c r="BQ21" i="3"/>
  <c r="BP21" i="3"/>
  <c r="BO21" i="3"/>
  <c r="BJ21" i="3"/>
  <c r="BI21" i="3"/>
  <c r="BH21" i="3"/>
  <c r="BG21" i="3"/>
  <c r="BF21" i="3"/>
  <c r="BE21" i="3"/>
  <c r="BD21" i="3"/>
  <c r="BC21" i="3"/>
  <c r="BB21" i="3"/>
  <c r="AX21" i="3"/>
  <c r="AW21" i="3"/>
  <c r="AV21" i="3"/>
  <c r="AS21" i="3"/>
  <c r="AR21" i="3"/>
  <c r="AQ21" i="3"/>
  <c r="AP21" i="3"/>
  <c r="AO21" i="3"/>
  <c r="AN21" i="3"/>
  <c r="AM21" i="3"/>
  <c r="AL21" i="3"/>
  <c r="AH21" i="3"/>
  <c r="AG21" i="3"/>
  <c r="AF21" i="3"/>
  <c r="AE21" i="3"/>
  <c r="AD21" i="3"/>
  <c r="AC21" i="3"/>
  <c r="AA21" i="3"/>
  <c r="Z21" i="3"/>
  <c r="Y21" i="3"/>
  <c r="X21" i="3"/>
  <c r="W21" i="3"/>
  <c r="T21" i="3"/>
  <c r="S21" i="3"/>
  <c r="R21" i="3"/>
  <c r="Q21" i="3"/>
  <c r="P21" i="3"/>
  <c r="O21" i="3"/>
  <c r="K21" i="3"/>
  <c r="J21" i="3"/>
  <c r="I21" i="3"/>
  <c r="H21" i="3"/>
  <c r="G21" i="3"/>
  <c r="F21" i="3"/>
  <c r="E21" i="3"/>
  <c r="BU20" i="3"/>
  <c r="BT20" i="3"/>
  <c r="BS20" i="3"/>
  <c r="BR20" i="3"/>
  <c r="BQ20" i="3"/>
  <c r="BP20" i="3"/>
  <c r="BO20" i="3"/>
  <c r="BJ20" i="3"/>
  <c r="BI20" i="3"/>
  <c r="BH20" i="3"/>
  <c r="BG20" i="3"/>
  <c r="BF20" i="3"/>
  <c r="BE20" i="3"/>
  <c r="BD20" i="3"/>
  <c r="BC20" i="3"/>
  <c r="BB20" i="3"/>
  <c r="AX20" i="3"/>
  <c r="AW20" i="3"/>
  <c r="AV20" i="3"/>
  <c r="AS20" i="3"/>
  <c r="AR20" i="3"/>
  <c r="AQ20" i="3"/>
  <c r="AP20" i="3"/>
  <c r="AO20" i="3"/>
  <c r="AN20" i="3"/>
  <c r="AM20" i="3"/>
  <c r="AL20" i="3"/>
  <c r="AH20" i="3"/>
  <c r="AG20" i="3"/>
  <c r="AF20" i="3"/>
  <c r="AE20" i="3"/>
  <c r="AD20" i="3"/>
  <c r="AC20" i="3"/>
  <c r="AA20" i="3"/>
  <c r="Z20" i="3"/>
  <c r="Y20" i="3"/>
  <c r="X20" i="3"/>
  <c r="W20" i="3"/>
  <c r="T20" i="3"/>
  <c r="S20" i="3"/>
  <c r="R20" i="3"/>
  <c r="Q20" i="3"/>
  <c r="P20" i="3"/>
  <c r="O20" i="3"/>
  <c r="K20" i="3"/>
  <c r="J20" i="3"/>
  <c r="I20" i="3"/>
  <c r="H20" i="3"/>
  <c r="G20" i="3"/>
  <c r="F20" i="3"/>
  <c r="E20" i="3"/>
  <c r="BU19" i="3"/>
  <c r="BT19" i="3"/>
  <c r="BS19" i="3"/>
  <c r="BR19" i="3"/>
  <c r="BQ19" i="3"/>
  <c r="BP19" i="3"/>
  <c r="BO19" i="3"/>
  <c r="BJ19" i="3"/>
  <c r="BI19" i="3"/>
  <c r="BH19" i="3"/>
  <c r="BG19" i="3"/>
  <c r="BF19" i="3"/>
  <c r="BE19" i="3"/>
  <c r="BD19" i="3"/>
  <c r="BC19" i="3"/>
  <c r="BB19" i="3"/>
  <c r="AX19" i="3"/>
  <c r="AW19" i="3"/>
  <c r="AV19" i="3"/>
  <c r="AS19" i="3"/>
  <c r="AR19" i="3"/>
  <c r="AQ19" i="3"/>
  <c r="AP19" i="3"/>
  <c r="AO19" i="3"/>
  <c r="AN19" i="3"/>
  <c r="AM19" i="3"/>
  <c r="AL19" i="3"/>
  <c r="AH19" i="3"/>
  <c r="AG19" i="3"/>
  <c r="AF19" i="3"/>
  <c r="AE19" i="3"/>
  <c r="AD19" i="3"/>
  <c r="AC19" i="3"/>
  <c r="AA19" i="3"/>
  <c r="Z19" i="3"/>
  <c r="Y19" i="3"/>
  <c r="X19" i="3"/>
  <c r="W19" i="3"/>
  <c r="T19" i="3"/>
  <c r="S19" i="3"/>
  <c r="R19" i="3"/>
  <c r="Q19" i="3"/>
  <c r="P19" i="3"/>
  <c r="O19" i="3"/>
  <c r="K19" i="3"/>
  <c r="J19" i="3"/>
  <c r="I19" i="3"/>
  <c r="H19" i="3"/>
  <c r="G19" i="3"/>
  <c r="F19" i="3"/>
  <c r="E19" i="3"/>
  <c r="BU18" i="3"/>
  <c r="BT18" i="3"/>
  <c r="BS18" i="3"/>
  <c r="BR18" i="3"/>
  <c r="BQ18" i="3"/>
  <c r="BP18" i="3"/>
  <c r="BO18" i="3"/>
  <c r="BJ18" i="3"/>
  <c r="BI18" i="3"/>
  <c r="BH18" i="3"/>
  <c r="BG18" i="3"/>
  <c r="BF18" i="3"/>
  <c r="BE18" i="3"/>
  <c r="BD18" i="3"/>
  <c r="BC18" i="3"/>
  <c r="BB18" i="3"/>
  <c r="AX18" i="3"/>
  <c r="AW18" i="3"/>
  <c r="AV18" i="3"/>
  <c r="AS18" i="3"/>
  <c r="AR18" i="3"/>
  <c r="AQ18" i="3"/>
  <c r="AP18" i="3"/>
  <c r="AO18" i="3"/>
  <c r="AN18" i="3"/>
  <c r="AM18" i="3"/>
  <c r="AL18" i="3"/>
  <c r="AH18" i="3"/>
  <c r="AG18" i="3"/>
  <c r="AF18" i="3"/>
  <c r="AE18" i="3"/>
  <c r="AD18" i="3"/>
  <c r="AC18" i="3"/>
  <c r="AA18" i="3"/>
  <c r="Z18" i="3"/>
  <c r="Y18" i="3"/>
  <c r="X18" i="3"/>
  <c r="W18" i="3"/>
  <c r="T18" i="3"/>
  <c r="S18" i="3"/>
  <c r="R18" i="3"/>
  <c r="Q18" i="3"/>
  <c r="P18" i="3"/>
  <c r="O18" i="3"/>
  <c r="K18" i="3"/>
  <c r="J18" i="3"/>
  <c r="I18" i="3"/>
  <c r="H18" i="3"/>
  <c r="G18" i="3"/>
  <c r="F18" i="3"/>
  <c r="E18" i="3"/>
  <c r="BU17" i="3"/>
  <c r="BT17" i="3"/>
  <c r="BS17" i="3"/>
  <c r="BR17" i="3"/>
  <c r="BQ17" i="3"/>
  <c r="BP17" i="3"/>
  <c r="BO17" i="3"/>
  <c r="BJ17" i="3"/>
  <c r="BI17" i="3"/>
  <c r="BH17" i="3"/>
  <c r="BG17" i="3"/>
  <c r="BF17" i="3"/>
  <c r="BE17" i="3"/>
  <c r="BD17" i="3"/>
  <c r="BC17" i="3"/>
  <c r="BB17" i="3"/>
  <c r="AX17" i="3"/>
  <c r="AW17" i="3"/>
  <c r="AV17" i="3"/>
  <c r="AS17" i="3"/>
  <c r="AR17" i="3"/>
  <c r="AQ17" i="3"/>
  <c r="AP17" i="3"/>
  <c r="AO17" i="3"/>
  <c r="AN17" i="3"/>
  <c r="AM17" i="3"/>
  <c r="AL17" i="3"/>
  <c r="AH17" i="3"/>
  <c r="AG17" i="3"/>
  <c r="AF17" i="3"/>
  <c r="AE17" i="3"/>
  <c r="AD17" i="3"/>
  <c r="AC17" i="3"/>
  <c r="AA17" i="3"/>
  <c r="Z17" i="3"/>
  <c r="Y17" i="3"/>
  <c r="X17" i="3"/>
  <c r="W17" i="3"/>
  <c r="T17" i="3"/>
  <c r="S17" i="3"/>
  <c r="R17" i="3"/>
  <c r="Q17" i="3"/>
  <c r="P17" i="3"/>
  <c r="O17" i="3"/>
  <c r="K17" i="3"/>
  <c r="J17" i="3"/>
  <c r="I17" i="3"/>
  <c r="H17" i="3"/>
  <c r="G17" i="3"/>
  <c r="F17" i="3"/>
  <c r="E17" i="3"/>
  <c r="BU16" i="3"/>
  <c r="BT16" i="3"/>
  <c r="BS16" i="3"/>
  <c r="BR16" i="3"/>
  <c r="BQ16" i="3"/>
  <c r="BP16" i="3"/>
  <c r="BO16" i="3"/>
  <c r="BJ16" i="3"/>
  <c r="BI16" i="3"/>
  <c r="BH16" i="3"/>
  <c r="BG16" i="3"/>
  <c r="BF16" i="3"/>
  <c r="BE16" i="3"/>
  <c r="BD16" i="3"/>
  <c r="BC16" i="3"/>
  <c r="BB16" i="3"/>
  <c r="AX16" i="3"/>
  <c r="AW16" i="3"/>
  <c r="AV16" i="3"/>
  <c r="AS16" i="3"/>
  <c r="AR16" i="3"/>
  <c r="AQ16" i="3"/>
  <c r="AP16" i="3"/>
  <c r="AO16" i="3"/>
  <c r="AN16" i="3"/>
  <c r="AM16" i="3"/>
  <c r="AL16" i="3"/>
  <c r="AH16" i="3"/>
  <c r="AG16" i="3"/>
  <c r="AF16" i="3"/>
  <c r="AE16" i="3"/>
  <c r="AD16" i="3"/>
  <c r="AC16" i="3"/>
  <c r="AA16" i="3"/>
  <c r="Z16" i="3"/>
  <c r="Y16" i="3"/>
  <c r="X16" i="3"/>
  <c r="W16" i="3"/>
  <c r="T16" i="3"/>
  <c r="S16" i="3"/>
  <c r="R16" i="3"/>
  <c r="Q16" i="3"/>
  <c r="P16" i="3"/>
  <c r="O16" i="3"/>
  <c r="K16" i="3"/>
  <c r="J16" i="3"/>
  <c r="I16" i="3"/>
  <c r="H16" i="3"/>
  <c r="G16" i="3"/>
  <c r="F16" i="3"/>
  <c r="E16" i="3"/>
  <c r="BU15" i="3"/>
  <c r="BT15" i="3"/>
  <c r="BS15" i="3"/>
  <c r="BR15" i="3"/>
  <c r="BQ15" i="3"/>
  <c r="BP15" i="3"/>
  <c r="BO15" i="3"/>
  <c r="BJ15" i="3"/>
  <c r="BI15" i="3"/>
  <c r="BH15" i="3"/>
  <c r="BG15" i="3"/>
  <c r="BF15" i="3"/>
  <c r="BE15" i="3"/>
  <c r="BD15" i="3"/>
  <c r="BC15" i="3"/>
  <c r="BB15" i="3"/>
  <c r="AX15" i="3"/>
  <c r="AW15" i="3"/>
  <c r="AV15" i="3"/>
  <c r="AS15" i="3"/>
  <c r="AR15" i="3"/>
  <c r="AQ15" i="3"/>
  <c r="AP15" i="3"/>
  <c r="AO15" i="3"/>
  <c r="AN15" i="3"/>
  <c r="AM15" i="3"/>
  <c r="AL15" i="3"/>
  <c r="AH15" i="3"/>
  <c r="AG15" i="3"/>
  <c r="AF15" i="3"/>
  <c r="AE15" i="3"/>
  <c r="AD15" i="3"/>
  <c r="AC15" i="3"/>
  <c r="AA15" i="3"/>
  <c r="Z15" i="3"/>
  <c r="Y15" i="3"/>
  <c r="X15" i="3"/>
  <c r="W15" i="3"/>
  <c r="T15" i="3"/>
  <c r="S15" i="3"/>
  <c r="R15" i="3"/>
  <c r="Q15" i="3"/>
  <c r="P15" i="3"/>
  <c r="O15" i="3"/>
  <c r="K15" i="3"/>
  <c r="J15" i="3"/>
  <c r="I15" i="3"/>
  <c r="H15" i="3"/>
  <c r="G15" i="3"/>
  <c r="F15" i="3"/>
  <c r="E15" i="3"/>
  <c r="BU14" i="3"/>
  <c r="BT14" i="3"/>
  <c r="BS14" i="3"/>
  <c r="BR14" i="3"/>
  <c r="BQ14" i="3"/>
  <c r="BP14" i="3"/>
  <c r="BO14" i="3"/>
  <c r="BJ14" i="3"/>
  <c r="BI14" i="3"/>
  <c r="BH14" i="3"/>
  <c r="BG14" i="3"/>
  <c r="BF14" i="3"/>
  <c r="BE14" i="3"/>
  <c r="BD14" i="3"/>
  <c r="BC14" i="3"/>
  <c r="BB14" i="3"/>
  <c r="AX14" i="3"/>
  <c r="AW14" i="3"/>
  <c r="AV14" i="3"/>
  <c r="AS14" i="3"/>
  <c r="AR14" i="3"/>
  <c r="AQ14" i="3"/>
  <c r="AP14" i="3"/>
  <c r="AO14" i="3"/>
  <c r="AN14" i="3"/>
  <c r="AM14" i="3"/>
  <c r="AL14" i="3"/>
  <c r="AH14" i="3"/>
  <c r="AG14" i="3"/>
  <c r="AF14" i="3"/>
  <c r="AE14" i="3"/>
  <c r="AD14" i="3"/>
  <c r="AC14" i="3"/>
  <c r="AA14" i="3"/>
  <c r="Z14" i="3"/>
  <c r="Y14" i="3"/>
  <c r="X14" i="3"/>
  <c r="W14" i="3"/>
  <c r="T14" i="3"/>
  <c r="S14" i="3"/>
  <c r="R14" i="3"/>
  <c r="Q14" i="3"/>
  <c r="P14" i="3"/>
  <c r="O14" i="3"/>
  <c r="K14" i="3"/>
  <c r="J14" i="3"/>
  <c r="I14" i="3"/>
  <c r="H14" i="3"/>
  <c r="G14" i="3"/>
  <c r="F14" i="3"/>
  <c r="E14" i="3"/>
  <c r="BU13" i="3"/>
  <c r="BT13" i="3"/>
  <c r="BS13" i="3"/>
  <c r="BR13" i="3"/>
  <c r="BQ13" i="3"/>
  <c r="BP13" i="3"/>
  <c r="BO13" i="3"/>
  <c r="BJ13" i="3"/>
  <c r="BI13" i="3"/>
  <c r="BH13" i="3"/>
  <c r="BG13" i="3"/>
  <c r="BF13" i="3"/>
  <c r="BE13" i="3"/>
  <c r="BD13" i="3"/>
  <c r="BC13" i="3"/>
  <c r="BB13" i="3"/>
  <c r="AX13" i="3"/>
  <c r="AW13" i="3"/>
  <c r="AV13" i="3"/>
  <c r="AS13" i="3"/>
  <c r="AR13" i="3"/>
  <c r="AQ13" i="3"/>
  <c r="AP13" i="3"/>
  <c r="AO13" i="3"/>
  <c r="AN13" i="3"/>
  <c r="AM13" i="3"/>
  <c r="AL13" i="3"/>
  <c r="AH13" i="3"/>
  <c r="AG13" i="3"/>
  <c r="AF13" i="3"/>
  <c r="AE13" i="3"/>
  <c r="AD13" i="3"/>
  <c r="AC13" i="3"/>
  <c r="AA13" i="3"/>
  <c r="Z13" i="3"/>
  <c r="Y13" i="3"/>
  <c r="X13" i="3"/>
  <c r="W13" i="3"/>
  <c r="T13" i="3"/>
  <c r="S13" i="3"/>
  <c r="R13" i="3"/>
  <c r="Q13" i="3"/>
  <c r="P13" i="3"/>
  <c r="O13" i="3"/>
  <c r="K13" i="3"/>
  <c r="J13" i="3"/>
  <c r="I13" i="3"/>
  <c r="H13" i="3"/>
  <c r="G13" i="3"/>
  <c r="F13" i="3"/>
  <c r="E13" i="3"/>
  <c r="BU12" i="3"/>
  <c r="BT12" i="3"/>
  <c r="BS12" i="3"/>
  <c r="BR12" i="3"/>
  <c r="BQ12" i="3"/>
  <c r="BP12" i="3"/>
  <c r="BO12" i="3"/>
  <c r="BJ12" i="3"/>
  <c r="BI12" i="3"/>
  <c r="BH12" i="3"/>
  <c r="BG12" i="3"/>
  <c r="BF12" i="3"/>
  <c r="BE12" i="3"/>
  <c r="BD12" i="3"/>
  <c r="BC12" i="3"/>
  <c r="BB12" i="3"/>
  <c r="AX12" i="3"/>
  <c r="AW12" i="3"/>
  <c r="AV12" i="3"/>
  <c r="AS12" i="3"/>
  <c r="AR12" i="3"/>
  <c r="AQ12" i="3"/>
  <c r="AP12" i="3"/>
  <c r="AO12" i="3"/>
  <c r="AN12" i="3"/>
  <c r="AM12" i="3"/>
  <c r="AL12" i="3"/>
  <c r="AH12" i="3"/>
  <c r="AG12" i="3"/>
  <c r="AF12" i="3"/>
  <c r="AE12" i="3"/>
  <c r="AD12" i="3"/>
  <c r="AC12" i="3"/>
  <c r="AA12" i="3"/>
  <c r="Z12" i="3"/>
  <c r="Y12" i="3"/>
  <c r="X12" i="3"/>
  <c r="W12" i="3"/>
  <c r="T12" i="3"/>
  <c r="S12" i="3"/>
  <c r="R12" i="3"/>
  <c r="Q12" i="3"/>
  <c r="P12" i="3"/>
  <c r="O12" i="3"/>
  <c r="K12" i="3"/>
  <c r="J12" i="3"/>
  <c r="I12" i="3"/>
  <c r="H12" i="3"/>
  <c r="G12" i="3"/>
  <c r="F12" i="3"/>
  <c r="E12" i="3"/>
  <c r="BU11" i="3"/>
  <c r="BT11" i="3"/>
  <c r="BS11" i="3"/>
  <c r="BR11" i="3"/>
  <c r="BQ11" i="3"/>
  <c r="BP11" i="3"/>
  <c r="BO11" i="3"/>
  <c r="BJ11" i="3"/>
  <c r="BI11" i="3"/>
  <c r="BH11" i="3"/>
  <c r="BG11" i="3"/>
  <c r="BF11" i="3"/>
  <c r="BE11" i="3"/>
  <c r="BD11" i="3"/>
  <c r="BC11" i="3"/>
  <c r="BB11" i="3"/>
  <c r="AX11" i="3"/>
  <c r="AW11" i="3"/>
  <c r="AV11" i="3"/>
  <c r="AS11" i="3"/>
  <c r="AR11" i="3"/>
  <c r="AQ11" i="3"/>
  <c r="AP11" i="3"/>
  <c r="AO11" i="3"/>
  <c r="AN11" i="3"/>
  <c r="AM11" i="3"/>
  <c r="AL11" i="3"/>
  <c r="AH11" i="3"/>
  <c r="AG11" i="3"/>
  <c r="AF11" i="3"/>
  <c r="AE11" i="3"/>
  <c r="AD11" i="3"/>
  <c r="AC11" i="3"/>
  <c r="AA11" i="3"/>
  <c r="Z11" i="3"/>
  <c r="Y11" i="3"/>
  <c r="X11" i="3"/>
  <c r="W11" i="3"/>
  <c r="T11" i="3"/>
  <c r="S11" i="3"/>
  <c r="R11" i="3"/>
  <c r="Q11" i="3"/>
  <c r="P11" i="3"/>
  <c r="O11" i="3"/>
  <c r="K11" i="3"/>
  <c r="J11" i="3"/>
  <c r="I11" i="3"/>
  <c r="H11" i="3"/>
  <c r="G11" i="3"/>
  <c r="F11" i="3"/>
  <c r="E11" i="3"/>
  <c r="BU10" i="3"/>
  <c r="BT10" i="3"/>
  <c r="BS10" i="3"/>
  <c r="BR10" i="3"/>
  <c r="BQ10" i="3"/>
  <c r="BP10" i="3"/>
  <c r="BO10" i="3"/>
  <c r="BJ10" i="3"/>
  <c r="BI10" i="3"/>
  <c r="BH10" i="3"/>
  <c r="BG10" i="3"/>
  <c r="BF10" i="3"/>
  <c r="BE10" i="3"/>
  <c r="BD10" i="3"/>
  <c r="BC10" i="3"/>
  <c r="BB10" i="3"/>
  <c r="AX10" i="3"/>
  <c r="AW10" i="3"/>
  <c r="AV10" i="3"/>
  <c r="AS10" i="3"/>
  <c r="AR10" i="3"/>
  <c r="AQ10" i="3"/>
  <c r="AP10" i="3"/>
  <c r="AO10" i="3"/>
  <c r="AN10" i="3"/>
  <c r="AM10" i="3"/>
  <c r="AL10" i="3"/>
  <c r="AH10" i="3"/>
  <c r="AG10" i="3"/>
  <c r="AF10" i="3"/>
  <c r="AE10" i="3"/>
  <c r="AD10" i="3"/>
  <c r="AC10" i="3"/>
  <c r="AA10" i="3"/>
  <c r="Z10" i="3"/>
  <c r="Y10" i="3"/>
  <c r="X10" i="3"/>
  <c r="W10" i="3"/>
  <c r="T10" i="3"/>
  <c r="S10" i="3"/>
  <c r="R10" i="3"/>
  <c r="Q10" i="3"/>
  <c r="P10" i="3"/>
  <c r="O10" i="3"/>
  <c r="K10" i="3"/>
  <c r="J10" i="3"/>
  <c r="I10" i="3"/>
  <c r="H10" i="3"/>
  <c r="G10" i="3"/>
  <c r="F10" i="3"/>
  <c r="E10" i="3"/>
  <c r="BU9" i="3"/>
  <c r="BT9" i="3"/>
  <c r="BS9" i="3"/>
  <c r="BR9" i="3"/>
  <c r="BQ9" i="3"/>
  <c r="BP9" i="3"/>
  <c r="BO9" i="3"/>
  <c r="BJ9" i="3"/>
  <c r="BI9" i="3"/>
  <c r="BH9" i="3"/>
  <c r="BG9" i="3"/>
  <c r="BF9" i="3"/>
  <c r="BE9" i="3"/>
  <c r="BD9" i="3"/>
  <c r="BC9" i="3"/>
  <c r="BB9" i="3"/>
  <c r="AX9" i="3"/>
  <c r="AW9" i="3"/>
  <c r="AV9" i="3"/>
  <c r="AS9" i="3"/>
  <c r="AR9" i="3"/>
  <c r="AQ9" i="3"/>
  <c r="AP9" i="3"/>
  <c r="AO9" i="3"/>
  <c r="AN9" i="3"/>
  <c r="AM9" i="3"/>
  <c r="AL9" i="3"/>
  <c r="AH9" i="3"/>
  <c r="AG9" i="3"/>
  <c r="AF9" i="3"/>
  <c r="AE9" i="3"/>
  <c r="AD9" i="3"/>
  <c r="AC9" i="3"/>
  <c r="AA9" i="3"/>
  <c r="Z9" i="3"/>
  <c r="Y9" i="3"/>
  <c r="X9" i="3"/>
  <c r="W9" i="3"/>
  <c r="T9" i="3"/>
  <c r="S9" i="3"/>
  <c r="R9" i="3"/>
  <c r="Q9" i="3"/>
  <c r="P9" i="3"/>
  <c r="O9" i="3"/>
  <c r="K9" i="3"/>
  <c r="J9" i="3"/>
  <c r="I9" i="3"/>
  <c r="H9" i="3"/>
  <c r="G9" i="3"/>
  <c r="F9" i="3"/>
  <c r="E9" i="3"/>
  <c r="BU8" i="3"/>
  <c r="BT8" i="3"/>
  <c r="BS8" i="3"/>
  <c r="BR8" i="3"/>
  <c r="BQ8" i="3"/>
  <c r="BP8" i="3"/>
  <c r="BO8" i="3"/>
  <c r="BJ8" i="3"/>
  <c r="BI8" i="3"/>
  <c r="BH8" i="3"/>
  <c r="BG8" i="3"/>
  <c r="BF8" i="3"/>
  <c r="BE8" i="3"/>
  <c r="BD8" i="3"/>
  <c r="BC8" i="3"/>
  <c r="BB8" i="3"/>
  <c r="AX8" i="3"/>
  <c r="AW8" i="3"/>
  <c r="AV8" i="3"/>
  <c r="AS8" i="3"/>
  <c r="AR8" i="3"/>
  <c r="AQ8" i="3"/>
  <c r="AP8" i="3"/>
  <c r="AO8" i="3"/>
  <c r="AN8" i="3"/>
  <c r="AM8" i="3"/>
  <c r="AL8" i="3"/>
  <c r="AH8" i="3"/>
  <c r="AG8" i="3"/>
  <c r="AF8" i="3"/>
  <c r="AE8" i="3"/>
  <c r="AD8" i="3"/>
  <c r="AC8" i="3"/>
  <c r="AA8" i="3"/>
  <c r="Z8" i="3"/>
  <c r="Y8" i="3"/>
  <c r="X8" i="3"/>
  <c r="W8" i="3"/>
  <c r="T8" i="3"/>
  <c r="S8" i="3"/>
  <c r="R8" i="3"/>
  <c r="Q8" i="3"/>
  <c r="P8" i="3"/>
  <c r="O8" i="3"/>
  <c r="K8" i="3"/>
  <c r="J8" i="3"/>
  <c r="I8" i="3"/>
  <c r="H8" i="3"/>
  <c r="G8" i="3"/>
  <c r="F8" i="3"/>
  <c r="E8" i="3"/>
  <c r="BU7" i="3"/>
  <c r="BT7" i="3"/>
  <c r="BS7" i="3"/>
  <c r="BR7" i="3"/>
  <c r="BQ7" i="3"/>
  <c r="BP7" i="3"/>
  <c r="BO7" i="3"/>
  <c r="BJ7" i="3"/>
  <c r="BI7" i="3"/>
  <c r="BH7" i="3"/>
  <c r="BG7" i="3"/>
  <c r="BF7" i="3"/>
  <c r="BE7" i="3"/>
  <c r="BD7" i="3"/>
  <c r="BC7" i="3"/>
  <c r="BB7" i="3"/>
  <c r="AX7" i="3"/>
  <c r="AW7" i="3"/>
  <c r="AV7" i="3"/>
  <c r="AS7" i="3"/>
  <c r="AR7" i="3"/>
  <c r="AQ7" i="3"/>
  <c r="AP7" i="3"/>
  <c r="AO7" i="3"/>
  <c r="AN7" i="3"/>
  <c r="AM7" i="3"/>
  <c r="AL7" i="3"/>
  <c r="AH7" i="3"/>
  <c r="AG7" i="3"/>
  <c r="AF7" i="3"/>
  <c r="AE7" i="3"/>
  <c r="AD7" i="3"/>
  <c r="AC7" i="3"/>
  <c r="AA7" i="3"/>
  <c r="Z7" i="3"/>
  <c r="Y7" i="3"/>
  <c r="X7" i="3"/>
  <c r="W7" i="3"/>
  <c r="T7" i="3"/>
  <c r="S7" i="3"/>
  <c r="R7" i="3"/>
  <c r="Q7" i="3"/>
  <c r="P7" i="3"/>
  <c r="O7" i="3"/>
  <c r="K7" i="3"/>
  <c r="J7" i="3"/>
  <c r="I7" i="3"/>
  <c r="H7" i="3"/>
  <c r="G7" i="3"/>
  <c r="F7" i="3"/>
  <c r="E7" i="3"/>
  <c r="BU6" i="3"/>
  <c r="BT6" i="3"/>
  <c r="BS6" i="3"/>
  <c r="BR6" i="3"/>
  <c r="BQ6" i="3"/>
  <c r="BP6" i="3"/>
  <c r="BO6" i="3"/>
  <c r="BJ6" i="3"/>
  <c r="BI6" i="3"/>
  <c r="BH6" i="3"/>
  <c r="BG6" i="3"/>
  <c r="BF6" i="3"/>
  <c r="BE6" i="3"/>
  <c r="BD6" i="3"/>
  <c r="BC6" i="3"/>
  <c r="BB6" i="3"/>
  <c r="AX6" i="3"/>
  <c r="AW6" i="3"/>
  <c r="AV6" i="3"/>
  <c r="AS6" i="3"/>
  <c r="AR6" i="3"/>
  <c r="AQ6" i="3"/>
  <c r="AP6" i="3"/>
  <c r="AO6" i="3"/>
  <c r="AN6" i="3"/>
  <c r="AM6" i="3"/>
  <c r="AL6" i="3"/>
  <c r="AH6" i="3"/>
  <c r="AG6" i="3"/>
  <c r="AF6" i="3"/>
  <c r="AE6" i="3"/>
  <c r="AD6" i="3"/>
  <c r="AC6" i="3"/>
  <c r="AA6" i="3"/>
  <c r="Z6" i="3"/>
  <c r="Y6" i="3"/>
  <c r="X6" i="3"/>
  <c r="W6" i="3"/>
  <c r="T6" i="3"/>
  <c r="S6" i="3"/>
  <c r="R6" i="3"/>
  <c r="Q6" i="3"/>
  <c r="P6" i="3"/>
  <c r="O6" i="3"/>
  <c r="K6" i="3"/>
  <c r="J6" i="3"/>
  <c r="I6" i="3"/>
  <c r="H6" i="3"/>
  <c r="G6" i="3"/>
  <c r="F6" i="3"/>
  <c r="E6" i="3"/>
  <c r="BU5" i="3"/>
  <c r="BT5" i="3"/>
  <c r="BS5" i="3"/>
  <c r="BR5" i="3"/>
  <c r="BQ5" i="3"/>
  <c r="BP5" i="3"/>
  <c r="BO5" i="3"/>
  <c r="BJ5" i="3"/>
  <c r="BI5" i="3"/>
  <c r="BH5" i="3"/>
  <c r="BG5" i="3"/>
  <c r="BF5" i="3"/>
  <c r="BE5" i="3"/>
  <c r="BD5" i="3"/>
  <c r="BC5" i="3"/>
  <c r="BB5" i="3"/>
  <c r="AX5" i="3"/>
  <c r="AW5" i="3"/>
  <c r="AV5" i="3"/>
  <c r="AS5" i="3"/>
  <c r="AR5" i="3"/>
  <c r="AQ5" i="3"/>
  <c r="AP5" i="3"/>
  <c r="AO5" i="3"/>
  <c r="AN5" i="3"/>
  <c r="AM5" i="3"/>
  <c r="AL5" i="3"/>
  <c r="AH5" i="3"/>
  <c r="AG5" i="3"/>
  <c r="AF5" i="3"/>
  <c r="AE5" i="3"/>
  <c r="AD5" i="3"/>
  <c r="AC5" i="3"/>
  <c r="AA5" i="3"/>
  <c r="Z5" i="3"/>
  <c r="Y5" i="3"/>
  <c r="X5" i="3"/>
  <c r="W5" i="3"/>
  <c r="T5" i="3"/>
  <c r="S5" i="3"/>
  <c r="R5" i="3"/>
  <c r="Q5" i="3"/>
  <c r="P5" i="3"/>
  <c r="O5" i="3"/>
  <c r="K5" i="3"/>
  <c r="J5" i="3"/>
  <c r="I5" i="3"/>
  <c r="H5" i="3"/>
  <c r="G5" i="3"/>
  <c r="F5" i="3"/>
  <c r="E5" i="3"/>
  <c r="BU4" i="3"/>
  <c r="BT4" i="3"/>
  <c r="BS4" i="3"/>
  <c r="BR4" i="3"/>
  <c r="BQ4" i="3"/>
  <c r="BP4" i="3"/>
  <c r="BO4" i="3"/>
  <c r="BJ4" i="3"/>
  <c r="BI4" i="3"/>
  <c r="BH4" i="3"/>
  <c r="BG4" i="3"/>
  <c r="BF4" i="3"/>
  <c r="BE4" i="3"/>
  <c r="BD4" i="3"/>
  <c r="BC4" i="3"/>
  <c r="BB4" i="3"/>
  <c r="AX4" i="3"/>
  <c r="AW4" i="3"/>
  <c r="AV4" i="3"/>
  <c r="AS4" i="3"/>
  <c r="AR4" i="3"/>
  <c r="AQ4" i="3"/>
  <c r="AP4" i="3"/>
  <c r="AO4" i="3"/>
  <c r="AN4" i="3"/>
  <c r="AM4" i="3"/>
  <c r="AL4" i="3"/>
  <c r="AH4" i="3"/>
  <c r="AG4" i="3"/>
  <c r="AF4" i="3"/>
  <c r="AE4" i="3"/>
  <c r="AD4" i="3"/>
  <c r="AC4" i="3"/>
  <c r="AA4" i="3"/>
  <c r="Z4" i="3"/>
  <c r="Y4" i="3"/>
  <c r="X4" i="3"/>
  <c r="W4" i="3"/>
  <c r="T4" i="3"/>
  <c r="S4" i="3"/>
  <c r="R4" i="3"/>
  <c r="Q4" i="3"/>
  <c r="P4" i="3"/>
  <c r="O4" i="3"/>
  <c r="K4" i="3"/>
  <c r="J4" i="3"/>
  <c r="I4" i="3"/>
  <c r="H4" i="3"/>
  <c r="G4" i="3"/>
  <c r="F4" i="3"/>
  <c r="E4" i="3"/>
  <c r="BU3" i="3"/>
  <c r="BT3" i="3"/>
  <c r="BS3" i="3"/>
  <c r="BR3" i="3"/>
  <c r="BQ3" i="3"/>
  <c r="BP3" i="3"/>
  <c r="BO3" i="3"/>
  <c r="BJ3" i="3"/>
  <c r="BI3" i="3"/>
  <c r="BH3" i="3"/>
  <c r="BG3" i="3"/>
  <c r="BF3" i="3"/>
  <c r="BE3" i="3"/>
  <c r="BD3" i="3"/>
  <c r="BC3" i="3"/>
  <c r="BB3" i="3"/>
  <c r="AX3" i="3"/>
  <c r="AW3" i="3"/>
  <c r="AV3" i="3"/>
  <c r="AS3" i="3"/>
  <c r="AR3" i="3"/>
  <c r="AQ3" i="3"/>
  <c r="AP3" i="3"/>
  <c r="AO3" i="3"/>
  <c r="AN3" i="3"/>
  <c r="AM3" i="3"/>
  <c r="AL3" i="3"/>
  <c r="AH3" i="3"/>
  <c r="AG3" i="3"/>
  <c r="AF3" i="3"/>
  <c r="AE3" i="3"/>
  <c r="AD3" i="3"/>
  <c r="AC3" i="3"/>
  <c r="AA3" i="3"/>
  <c r="Z3" i="3"/>
  <c r="Y3" i="3"/>
  <c r="X3" i="3"/>
  <c r="W3" i="3"/>
  <c r="T3" i="3"/>
  <c r="S3" i="3"/>
  <c r="R3" i="3"/>
  <c r="Q3" i="3"/>
  <c r="P3" i="3"/>
  <c r="O3" i="3"/>
  <c r="K3" i="3"/>
  <c r="J3" i="3"/>
  <c r="I3" i="3"/>
  <c r="H3" i="3"/>
  <c r="G3" i="3"/>
  <c r="F3" i="3"/>
  <c r="E3" i="3"/>
  <c r="BU135" i="2"/>
  <c r="BT135" i="2"/>
  <c r="BS135" i="2"/>
  <c r="BR135" i="2"/>
  <c r="BQ135" i="2"/>
  <c r="BP135" i="2"/>
  <c r="BO135" i="2"/>
  <c r="BJ135" i="2"/>
  <c r="BI135" i="2"/>
  <c r="BH135" i="2"/>
  <c r="BG135" i="2"/>
  <c r="BF135" i="2"/>
  <c r="BE135" i="2"/>
  <c r="BD135" i="2"/>
  <c r="BC135" i="2"/>
  <c r="BB135" i="2"/>
  <c r="AX135" i="2"/>
  <c r="AW135" i="2"/>
  <c r="AV135" i="2"/>
  <c r="AS135" i="2"/>
  <c r="AR135" i="2"/>
  <c r="AQ135" i="2"/>
  <c r="AP135" i="2"/>
  <c r="AO135" i="2"/>
  <c r="AN135" i="2"/>
  <c r="AM135" i="2"/>
  <c r="AL135" i="2"/>
  <c r="AH135" i="2"/>
  <c r="AG135" i="2"/>
  <c r="AF135" i="2"/>
  <c r="AE135" i="2"/>
  <c r="AD135" i="2"/>
  <c r="AC135" i="2"/>
  <c r="AA135" i="2"/>
  <c r="Z135" i="2"/>
  <c r="Y135" i="2"/>
  <c r="X135" i="2"/>
  <c r="W135" i="2"/>
  <c r="T135" i="2"/>
  <c r="S135" i="2"/>
  <c r="R135" i="2"/>
  <c r="Q135" i="2"/>
  <c r="P135" i="2"/>
  <c r="O135" i="2"/>
  <c r="K135" i="2"/>
  <c r="J135" i="2"/>
  <c r="I135" i="2"/>
  <c r="H135" i="2"/>
  <c r="G135" i="2"/>
  <c r="F135" i="2"/>
  <c r="E135" i="2"/>
  <c r="BU134" i="2"/>
  <c r="BT134" i="2"/>
  <c r="BS134" i="2"/>
  <c r="BR134" i="2"/>
  <c r="BQ134" i="2"/>
  <c r="BP134" i="2"/>
  <c r="BO134" i="2"/>
  <c r="BJ134" i="2"/>
  <c r="BI134" i="2"/>
  <c r="BH134" i="2"/>
  <c r="BG134" i="2"/>
  <c r="BF134" i="2"/>
  <c r="BE134" i="2"/>
  <c r="BD134" i="2"/>
  <c r="BC134" i="2"/>
  <c r="BB134" i="2"/>
  <c r="AX134" i="2"/>
  <c r="AW134" i="2"/>
  <c r="AV134" i="2"/>
  <c r="AS134" i="2"/>
  <c r="AR134" i="2"/>
  <c r="AQ134" i="2"/>
  <c r="AP134" i="2"/>
  <c r="AO134" i="2"/>
  <c r="AN134" i="2"/>
  <c r="AM134" i="2"/>
  <c r="AL134" i="2"/>
  <c r="AH134" i="2"/>
  <c r="AG134" i="2"/>
  <c r="AF134" i="2"/>
  <c r="AE134" i="2"/>
  <c r="AD134" i="2"/>
  <c r="AC134" i="2"/>
  <c r="AA134" i="2"/>
  <c r="Z134" i="2"/>
  <c r="Y134" i="2"/>
  <c r="X134" i="2"/>
  <c r="W134" i="2"/>
  <c r="T134" i="2"/>
  <c r="S134" i="2"/>
  <c r="R134" i="2"/>
  <c r="Q134" i="2"/>
  <c r="P134" i="2"/>
  <c r="O134" i="2"/>
  <c r="K134" i="2"/>
  <c r="J134" i="2"/>
  <c r="I134" i="2"/>
  <c r="H134" i="2"/>
  <c r="G134" i="2"/>
  <c r="F134" i="2"/>
  <c r="E134" i="2"/>
  <c r="BU133" i="2"/>
  <c r="BT133" i="2"/>
  <c r="BS133" i="2"/>
  <c r="BR133" i="2"/>
  <c r="BQ133" i="2"/>
  <c r="BP133" i="2"/>
  <c r="BO133" i="2"/>
  <c r="BJ133" i="2"/>
  <c r="BI133" i="2"/>
  <c r="BH133" i="2"/>
  <c r="BG133" i="2"/>
  <c r="BF133" i="2"/>
  <c r="BE133" i="2"/>
  <c r="BD133" i="2"/>
  <c r="BC133" i="2"/>
  <c r="BB133" i="2"/>
  <c r="AX133" i="2"/>
  <c r="AW133" i="2"/>
  <c r="AV133" i="2"/>
  <c r="AS133" i="2"/>
  <c r="AR133" i="2"/>
  <c r="AQ133" i="2"/>
  <c r="AP133" i="2"/>
  <c r="AO133" i="2"/>
  <c r="AN133" i="2"/>
  <c r="AM133" i="2"/>
  <c r="AL133" i="2"/>
  <c r="AH133" i="2"/>
  <c r="AG133" i="2"/>
  <c r="AF133" i="2"/>
  <c r="AE133" i="2"/>
  <c r="AD133" i="2"/>
  <c r="AC133" i="2"/>
  <c r="AA133" i="2"/>
  <c r="Z133" i="2"/>
  <c r="Y133" i="2"/>
  <c r="X133" i="2"/>
  <c r="W133" i="2"/>
  <c r="T133" i="2"/>
  <c r="S133" i="2"/>
  <c r="R133" i="2"/>
  <c r="Q133" i="2"/>
  <c r="P133" i="2"/>
  <c r="O133" i="2"/>
  <c r="K133" i="2"/>
  <c r="J133" i="2"/>
  <c r="I133" i="2"/>
  <c r="H133" i="2"/>
  <c r="G133" i="2"/>
  <c r="F133" i="2"/>
  <c r="E133" i="2"/>
  <c r="BU132" i="2"/>
  <c r="BT132" i="2"/>
  <c r="BS132" i="2"/>
  <c r="BR132" i="2"/>
  <c r="BQ132" i="2"/>
  <c r="BP132" i="2"/>
  <c r="BO132" i="2"/>
  <c r="BJ132" i="2"/>
  <c r="BI132" i="2"/>
  <c r="BH132" i="2"/>
  <c r="BG132" i="2"/>
  <c r="BF132" i="2"/>
  <c r="BE132" i="2"/>
  <c r="BD132" i="2"/>
  <c r="BC132" i="2"/>
  <c r="BB132" i="2"/>
  <c r="AX132" i="2"/>
  <c r="AW132" i="2"/>
  <c r="AV132" i="2"/>
  <c r="AS132" i="2"/>
  <c r="AR132" i="2"/>
  <c r="AQ132" i="2"/>
  <c r="AP132" i="2"/>
  <c r="AO132" i="2"/>
  <c r="AN132" i="2"/>
  <c r="AM132" i="2"/>
  <c r="AL132" i="2"/>
  <c r="AH132" i="2"/>
  <c r="AG132" i="2"/>
  <c r="AF132" i="2"/>
  <c r="AE132" i="2"/>
  <c r="AD132" i="2"/>
  <c r="AC132" i="2"/>
  <c r="AA132" i="2"/>
  <c r="Z132" i="2"/>
  <c r="Y132" i="2"/>
  <c r="X132" i="2"/>
  <c r="W132" i="2"/>
  <c r="T132" i="2"/>
  <c r="S132" i="2"/>
  <c r="R132" i="2"/>
  <c r="Q132" i="2"/>
  <c r="P132" i="2"/>
  <c r="O132" i="2"/>
  <c r="K132" i="2"/>
  <c r="J132" i="2"/>
  <c r="I132" i="2"/>
  <c r="H132" i="2"/>
  <c r="G132" i="2"/>
  <c r="F132" i="2"/>
  <c r="E132" i="2"/>
  <c r="BU131" i="2"/>
  <c r="BT131" i="2"/>
  <c r="BS131" i="2"/>
  <c r="BR131" i="2"/>
  <c r="BQ131" i="2"/>
  <c r="BP131" i="2"/>
  <c r="BO131" i="2"/>
  <c r="BJ131" i="2"/>
  <c r="BI131" i="2"/>
  <c r="BH131" i="2"/>
  <c r="BG131" i="2"/>
  <c r="BF131" i="2"/>
  <c r="BE131" i="2"/>
  <c r="BD131" i="2"/>
  <c r="BC131" i="2"/>
  <c r="BB131" i="2"/>
  <c r="AX131" i="2"/>
  <c r="AW131" i="2"/>
  <c r="AV131" i="2"/>
  <c r="AS131" i="2"/>
  <c r="AR131" i="2"/>
  <c r="AQ131" i="2"/>
  <c r="AP131" i="2"/>
  <c r="AO131" i="2"/>
  <c r="AN131" i="2"/>
  <c r="AM131" i="2"/>
  <c r="AL131" i="2"/>
  <c r="AH131" i="2"/>
  <c r="AG131" i="2"/>
  <c r="AF131" i="2"/>
  <c r="AE131" i="2"/>
  <c r="AD131" i="2"/>
  <c r="AC131" i="2"/>
  <c r="AA131" i="2"/>
  <c r="Z131" i="2"/>
  <c r="Y131" i="2"/>
  <c r="X131" i="2"/>
  <c r="W131" i="2"/>
  <c r="T131" i="2"/>
  <c r="S131" i="2"/>
  <c r="R131" i="2"/>
  <c r="Q131" i="2"/>
  <c r="P131" i="2"/>
  <c r="O131" i="2"/>
  <c r="K131" i="2"/>
  <c r="J131" i="2"/>
  <c r="I131" i="2"/>
  <c r="H131" i="2"/>
  <c r="G131" i="2"/>
  <c r="F131" i="2"/>
  <c r="E131" i="2"/>
  <c r="BU130" i="2"/>
  <c r="BT130" i="2"/>
  <c r="BS130" i="2"/>
  <c r="BR130" i="2"/>
  <c r="BQ130" i="2"/>
  <c r="BP130" i="2"/>
  <c r="BO130" i="2"/>
  <c r="BJ130" i="2"/>
  <c r="BI130" i="2"/>
  <c r="BH130" i="2"/>
  <c r="BG130" i="2"/>
  <c r="BF130" i="2"/>
  <c r="BE130" i="2"/>
  <c r="BD130" i="2"/>
  <c r="BC130" i="2"/>
  <c r="BB130" i="2"/>
  <c r="AX130" i="2"/>
  <c r="AW130" i="2"/>
  <c r="AV130" i="2"/>
  <c r="AS130" i="2"/>
  <c r="AR130" i="2"/>
  <c r="AQ130" i="2"/>
  <c r="AP130" i="2"/>
  <c r="AO130" i="2"/>
  <c r="AN130" i="2"/>
  <c r="AM130" i="2"/>
  <c r="AL130" i="2"/>
  <c r="AH130" i="2"/>
  <c r="AG130" i="2"/>
  <c r="AF130" i="2"/>
  <c r="AE130" i="2"/>
  <c r="AD130" i="2"/>
  <c r="AC130" i="2"/>
  <c r="AA130" i="2"/>
  <c r="Z130" i="2"/>
  <c r="Y130" i="2"/>
  <c r="X130" i="2"/>
  <c r="W130" i="2"/>
  <c r="T130" i="2"/>
  <c r="S130" i="2"/>
  <c r="R130" i="2"/>
  <c r="Q130" i="2"/>
  <c r="P130" i="2"/>
  <c r="O130" i="2"/>
  <c r="K130" i="2"/>
  <c r="J130" i="2"/>
  <c r="I130" i="2"/>
  <c r="H130" i="2"/>
  <c r="G130" i="2"/>
  <c r="F130" i="2"/>
  <c r="E130" i="2"/>
  <c r="BU129" i="2"/>
  <c r="BT129" i="2"/>
  <c r="BS129" i="2"/>
  <c r="BR129" i="2"/>
  <c r="BQ129" i="2"/>
  <c r="BP129" i="2"/>
  <c r="BO129" i="2"/>
  <c r="BJ129" i="2"/>
  <c r="BI129" i="2"/>
  <c r="BH129" i="2"/>
  <c r="BG129" i="2"/>
  <c r="BF129" i="2"/>
  <c r="BE129" i="2"/>
  <c r="BD129" i="2"/>
  <c r="BC129" i="2"/>
  <c r="BB129" i="2"/>
  <c r="AX129" i="2"/>
  <c r="AW129" i="2"/>
  <c r="AV129" i="2"/>
  <c r="AS129" i="2"/>
  <c r="AR129" i="2"/>
  <c r="AQ129" i="2"/>
  <c r="AP129" i="2"/>
  <c r="AO129" i="2"/>
  <c r="AN129" i="2"/>
  <c r="AM129" i="2"/>
  <c r="AL129" i="2"/>
  <c r="AH129" i="2"/>
  <c r="AG129" i="2"/>
  <c r="AF129" i="2"/>
  <c r="AE129" i="2"/>
  <c r="AD129" i="2"/>
  <c r="AC129" i="2"/>
  <c r="AA129" i="2"/>
  <c r="Z129" i="2"/>
  <c r="Y129" i="2"/>
  <c r="X129" i="2"/>
  <c r="W129" i="2"/>
  <c r="T129" i="2"/>
  <c r="S129" i="2"/>
  <c r="R129" i="2"/>
  <c r="Q129" i="2"/>
  <c r="P129" i="2"/>
  <c r="O129" i="2"/>
  <c r="K129" i="2"/>
  <c r="J129" i="2"/>
  <c r="I129" i="2"/>
  <c r="H129" i="2"/>
  <c r="G129" i="2"/>
  <c r="F129" i="2"/>
  <c r="E129" i="2"/>
  <c r="BU128" i="2"/>
  <c r="BT128" i="2"/>
  <c r="BS128" i="2"/>
  <c r="BR128" i="2"/>
  <c r="BQ128" i="2"/>
  <c r="BP128" i="2"/>
  <c r="BO128" i="2"/>
  <c r="BJ128" i="2"/>
  <c r="BI128" i="2"/>
  <c r="BH128" i="2"/>
  <c r="BG128" i="2"/>
  <c r="BF128" i="2"/>
  <c r="BE128" i="2"/>
  <c r="BD128" i="2"/>
  <c r="BC128" i="2"/>
  <c r="BB128" i="2"/>
  <c r="AX128" i="2"/>
  <c r="AW128" i="2"/>
  <c r="AV128" i="2"/>
  <c r="AS128" i="2"/>
  <c r="AR128" i="2"/>
  <c r="AQ128" i="2"/>
  <c r="AP128" i="2"/>
  <c r="AO128" i="2"/>
  <c r="AN128" i="2"/>
  <c r="AM128" i="2"/>
  <c r="AL128" i="2"/>
  <c r="AH128" i="2"/>
  <c r="AG128" i="2"/>
  <c r="AF128" i="2"/>
  <c r="AE128" i="2"/>
  <c r="AD128" i="2"/>
  <c r="AC128" i="2"/>
  <c r="AA128" i="2"/>
  <c r="Z128" i="2"/>
  <c r="Y128" i="2"/>
  <c r="X128" i="2"/>
  <c r="W128" i="2"/>
  <c r="T128" i="2"/>
  <c r="S128" i="2"/>
  <c r="R128" i="2"/>
  <c r="Q128" i="2"/>
  <c r="P128" i="2"/>
  <c r="O128" i="2"/>
  <c r="K128" i="2"/>
  <c r="J128" i="2"/>
  <c r="I128" i="2"/>
  <c r="H128" i="2"/>
  <c r="G128" i="2"/>
  <c r="F128" i="2"/>
  <c r="E128" i="2"/>
  <c r="BU127" i="2"/>
  <c r="BT127" i="2"/>
  <c r="BS127" i="2"/>
  <c r="BR127" i="2"/>
  <c r="BQ127" i="2"/>
  <c r="BP127" i="2"/>
  <c r="BO127" i="2"/>
  <c r="BJ127" i="2"/>
  <c r="BI127" i="2"/>
  <c r="BH127" i="2"/>
  <c r="BG127" i="2"/>
  <c r="BF127" i="2"/>
  <c r="BE127" i="2"/>
  <c r="BD127" i="2"/>
  <c r="BC127" i="2"/>
  <c r="BB127" i="2"/>
  <c r="AX127" i="2"/>
  <c r="AW127" i="2"/>
  <c r="AV127" i="2"/>
  <c r="AS127" i="2"/>
  <c r="AR127" i="2"/>
  <c r="AQ127" i="2"/>
  <c r="AP127" i="2"/>
  <c r="AO127" i="2"/>
  <c r="AN127" i="2"/>
  <c r="AM127" i="2"/>
  <c r="AL127" i="2"/>
  <c r="AH127" i="2"/>
  <c r="AG127" i="2"/>
  <c r="AF127" i="2"/>
  <c r="AE127" i="2"/>
  <c r="AD127" i="2"/>
  <c r="AC127" i="2"/>
  <c r="AA127" i="2"/>
  <c r="Z127" i="2"/>
  <c r="Y127" i="2"/>
  <c r="X127" i="2"/>
  <c r="W127" i="2"/>
  <c r="T127" i="2"/>
  <c r="S127" i="2"/>
  <c r="R127" i="2"/>
  <c r="Q127" i="2"/>
  <c r="P127" i="2"/>
  <c r="O127" i="2"/>
  <c r="K127" i="2"/>
  <c r="J127" i="2"/>
  <c r="I127" i="2"/>
  <c r="H127" i="2"/>
  <c r="G127" i="2"/>
  <c r="F127" i="2"/>
  <c r="E127" i="2"/>
  <c r="BU126" i="2"/>
  <c r="BT126" i="2"/>
  <c r="BS126" i="2"/>
  <c r="BR126" i="2"/>
  <c r="BQ126" i="2"/>
  <c r="BP126" i="2"/>
  <c r="BO126" i="2"/>
  <c r="BJ126" i="2"/>
  <c r="BI126" i="2"/>
  <c r="BH126" i="2"/>
  <c r="BG126" i="2"/>
  <c r="BF126" i="2"/>
  <c r="BE126" i="2"/>
  <c r="BD126" i="2"/>
  <c r="BC126" i="2"/>
  <c r="BB126" i="2"/>
  <c r="AX126" i="2"/>
  <c r="AW126" i="2"/>
  <c r="AV126" i="2"/>
  <c r="AS126" i="2"/>
  <c r="AR126" i="2"/>
  <c r="AQ126" i="2"/>
  <c r="AP126" i="2"/>
  <c r="AO126" i="2"/>
  <c r="AN126" i="2"/>
  <c r="AM126" i="2"/>
  <c r="AL126" i="2"/>
  <c r="AH126" i="2"/>
  <c r="AG126" i="2"/>
  <c r="AF126" i="2"/>
  <c r="AE126" i="2"/>
  <c r="AD126" i="2"/>
  <c r="AC126" i="2"/>
  <c r="AA126" i="2"/>
  <c r="Z126" i="2"/>
  <c r="Y126" i="2"/>
  <c r="X126" i="2"/>
  <c r="W126" i="2"/>
  <c r="T126" i="2"/>
  <c r="S126" i="2"/>
  <c r="R126" i="2"/>
  <c r="Q126" i="2"/>
  <c r="P126" i="2"/>
  <c r="O126" i="2"/>
  <c r="K126" i="2"/>
  <c r="J126" i="2"/>
  <c r="I126" i="2"/>
  <c r="H126" i="2"/>
  <c r="G126" i="2"/>
  <c r="F126" i="2"/>
  <c r="E126" i="2"/>
  <c r="BU125" i="2"/>
  <c r="BT125" i="2"/>
  <c r="BS125" i="2"/>
  <c r="BR125" i="2"/>
  <c r="BQ125" i="2"/>
  <c r="BP125" i="2"/>
  <c r="BO125" i="2"/>
  <c r="BJ125" i="2"/>
  <c r="BI125" i="2"/>
  <c r="BH125" i="2"/>
  <c r="BG125" i="2"/>
  <c r="BF125" i="2"/>
  <c r="BE125" i="2"/>
  <c r="BD125" i="2"/>
  <c r="BC125" i="2"/>
  <c r="BB125" i="2"/>
  <c r="AX125" i="2"/>
  <c r="AW125" i="2"/>
  <c r="AV125" i="2"/>
  <c r="AS125" i="2"/>
  <c r="AR125" i="2"/>
  <c r="AQ125" i="2"/>
  <c r="AP125" i="2"/>
  <c r="AO125" i="2"/>
  <c r="AN125" i="2"/>
  <c r="AM125" i="2"/>
  <c r="AL125" i="2"/>
  <c r="AH125" i="2"/>
  <c r="AG125" i="2"/>
  <c r="AF125" i="2"/>
  <c r="AE125" i="2"/>
  <c r="AD125" i="2"/>
  <c r="AC125" i="2"/>
  <c r="AA125" i="2"/>
  <c r="Z125" i="2"/>
  <c r="Y125" i="2"/>
  <c r="X125" i="2"/>
  <c r="W125" i="2"/>
  <c r="T125" i="2"/>
  <c r="S125" i="2"/>
  <c r="R125" i="2"/>
  <c r="Q125" i="2"/>
  <c r="P125" i="2"/>
  <c r="O125" i="2"/>
  <c r="K125" i="2"/>
  <c r="J125" i="2"/>
  <c r="I125" i="2"/>
  <c r="H125" i="2"/>
  <c r="G125" i="2"/>
  <c r="F125" i="2"/>
  <c r="E125" i="2"/>
  <c r="BU124" i="2"/>
  <c r="BT124" i="2"/>
  <c r="BS124" i="2"/>
  <c r="BR124" i="2"/>
  <c r="BQ124" i="2"/>
  <c r="BP124" i="2"/>
  <c r="BO124" i="2"/>
  <c r="BJ124" i="2"/>
  <c r="BI124" i="2"/>
  <c r="BH124" i="2"/>
  <c r="BG124" i="2"/>
  <c r="BF124" i="2"/>
  <c r="BE124" i="2"/>
  <c r="BD124" i="2"/>
  <c r="BC124" i="2"/>
  <c r="BB124" i="2"/>
  <c r="AX124" i="2"/>
  <c r="AW124" i="2"/>
  <c r="AV124" i="2"/>
  <c r="AS124" i="2"/>
  <c r="AR124" i="2"/>
  <c r="AQ124" i="2"/>
  <c r="AP124" i="2"/>
  <c r="AO124" i="2"/>
  <c r="AN124" i="2"/>
  <c r="AM124" i="2"/>
  <c r="AL124" i="2"/>
  <c r="AH124" i="2"/>
  <c r="AG124" i="2"/>
  <c r="AF124" i="2"/>
  <c r="AE124" i="2"/>
  <c r="AD124" i="2"/>
  <c r="AC124" i="2"/>
  <c r="AA124" i="2"/>
  <c r="Z124" i="2"/>
  <c r="Y124" i="2"/>
  <c r="X124" i="2"/>
  <c r="W124" i="2"/>
  <c r="T124" i="2"/>
  <c r="S124" i="2"/>
  <c r="R124" i="2"/>
  <c r="Q124" i="2"/>
  <c r="P124" i="2"/>
  <c r="O124" i="2"/>
  <c r="K124" i="2"/>
  <c r="J124" i="2"/>
  <c r="I124" i="2"/>
  <c r="H124" i="2"/>
  <c r="G124" i="2"/>
  <c r="F124" i="2"/>
  <c r="E124" i="2"/>
  <c r="BU123" i="2"/>
  <c r="BT123" i="2"/>
  <c r="BS123" i="2"/>
  <c r="BR123" i="2"/>
  <c r="BQ123" i="2"/>
  <c r="BP123" i="2"/>
  <c r="BO123" i="2"/>
  <c r="BJ123" i="2"/>
  <c r="BI123" i="2"/>
  <c r="BH123" i="2"/>
  <c r="BG123" i="2"/>
  <c r="BF123" i="2"/>
  <c r="BE123" i="2"/>
  <c r="BD123" i="2"/>
  <c r="BC123" i="2"/>
  <c r="BB123" i="2"/>
  <c r="AX123" i="2"/>
  <c r="AW123" i="2"/>
  <c r="AV123" i="2"/>
  <c r="AS123" i="2"/>
  <c r="AR123" i="2"/>
  <c r="AQ123" i="2"/>
  <c r="AP123" i="2"/>
  <c r="AO123" i="2"/>
  <c r="AN123" i="2"/>
  <c r="AM123" i="2"/>
  <c r="AL123" i="2"/>
  <c r="AH123" i="2"/>
  <c r="AG123" i="2"/>
  <c r="AF123" i="2"/>
  <c r="AE123" i="2"/>
  <c r="AD123" i="2"/>
  <c r="AC123" i="2"/>
  <c r="AA123" i="2"/>
  <c r="Z123" i="2"/>
  <c r="Y123" i="2"/>
  <c r="X123" i="2"/>
  <c r="W123" i="2"/>
  <c r="T123" i="2"/>
  <c r="S123" i="2"/>
  <c r="R123" i="2"/>
  <c r="Q123" i="2"/>
  <c r="P123" i="2"/>
  <c r="O123" i="2"/>
  <c r="K123" i="2"/>
  <c r="J123" i="2"/>
  <c r="I123" i="2"/>
  <c r="H123" i="2"/>
  <c r="G123" i="2"/>
  <c r="F123" i="2"/>
  <c r="E123" i="2"/>
  <c r="BU122" i="2"/>
  <c r="BT122" i="2"/>
  <c r="BS122" i="2"/>
  <c r="BR122" i="2"/>
  <c r="BQ122" i="2"/>
  <c r="BP122" i="2"/>
  <c r="BO122" i="2"/>
  <c r="BJ122" i="2"/>
  <c r="BI122" i="2"/>
  <c r="BH122" i="2"/>
  <c r="BG122" i="2"/>
  <c r="BF122" i="2"/>
  <c r="BE122" i="2"/>
  <c r="BD122" i="2"/>
  <c r="BC122" i="2"/>
  <c r="BB122" i="2"/>
  <c r="AX122" i="2"/>
  <c r="AW122" i="2"/>
  <c r="AV122" i="2"/>
  <c r="AS122" i="2"/>
  <c r="AR122" i="2"/>
  <c r="AQ122" i="2"/>
  <c r="AP122" i="2"/>
  <c r="AO122" i="2"/>
  <c r="AN122" i="2"/>
  <c r="AM122" i="2"/>
  <c r="AL122" i="2"/>
  <c r="AH122" i="2"/>
  <c r="AG122" i="2"/>
  <c r="AF122" i="2"/>
  <c r="AE122" i="2"/>
  <c r="AD122" i="2"/>
  <c r="AC122" i="2"/>
  <c r="AA122" i="2"/>
  <c r="Z122" i="2"/>
  <c r="Y122" i="2"/>
  <c r="X122" i="2"/>
  <c r="W122" i="2"/>
  <c r="T122" i="2"/>
  <c r="S122" i="2"/>
  <c r="R122" i="2"/>
  <c r="Q122" i="2"/>
  <c r="P122" i="2"/>
  <c r="O122" i="2"/>
  <c r="K122" i="2"/>
  <c r="J122" i="2"/>
  <c r="I122" i="2"/>
  <c r="H122" i="2"/>
  <c r="G122" i="2"/>
  <c r="F122" i="2"/>
  <c r="E122" i="2"/>
  <c r="BU121" i="2"/>
  <c r="BT121" i="2"/>
  <c r="BS121" i="2"/>
  <c r="BR121" i="2"/>
  <c r="BQ121" i="2"/>
  <c r="BP121" i="2"/>
  <c r="BO121" i="2"/>
  <c r="BJ121" i="2"/>
  <c r="BI121" i="2"/>
  <c r="BH121" i="2"/>
  <c r="BG121" i="2"/>
  <c r="BF121" i="2"/>
  <c r="BE121" i="2"/>
  <c r="BD121" i="2"/>
  <c r="BC121" i="2"/>
  <c r="BB121" i="2"/>
  <c r="AX121" i="2"/>
  <c r="AW121" i="2"/>
  <c r="AV121" i="2"/>
  <c r="AS121" i="2"/>
  <c r="AR121" i="2"/>
  <c r="AQ121" i="2"/>
  <c r="AP121" i="2"/>
  <c r="AO121" i="2"/>
  <c r="AN121" i="2"/>
  <c r="AM121" i="2"/>
  <c r="AL121" i="2"/>
  <c r="AH121" i="2"/>
  <c r="AG121" i="2"/>
  <c r="AF121" i="2"/>
  <c r="AE121" i="2"/>
  <c r="AD121" i="2"/>
  <c r="AC121" i="2"/>
  <c r="AA121" i="2"/>
  <c r="Z121" i="2"/>
  <c r="Y121" i="2"/>
  <c r="X121" i="2"/>
  <c r="W121" i="2"/>
  <c r="T121" i="2"/>
  <c r="S121" i="2"/>
  <c r="R121" i="2"/>
  <c r="Q121" i="2"/>
  <c r="P121" i="2"/>
  <c r="O121" i="2"/>
  <c r="K121" i="2"/>
  <c r="J121" i="2"/>
  <c r="I121" i="2"/>
  <c r="H121" i="2"/>
  <c r="G121" i="2"/>
  <c r="F121" i="2"/>
  <c r="E121" i="2"/>
  <c r="BU120" i="2"/>
  <c r="BT120" i="2"/>
  <c r="BS120" i="2"/>
  <c r="BR120" i="2"/>
  <c r="BQ120" i="2"/>
  <c r="BP120" i="2"/>
  <c r="BO120" i="2"/>
  <c r="BJ120" i="2"/>
  <c r="BI120" i="2"/>
  <c r="BH120" i="2"/>
  <c r="BG120" i="2"/>
  <c r="BF120" i="2"/>
  <c r="BE120" i="2"/>
  <c r="BD120" i="2"/>
  <c r="BC120" i="2"/>
  <c r="BB120" i="2"/>
  <c r="AX120" i="2"/>
  <c r="AW120" i="2"/>
  <c r="AV120" i="2"/>
  <c r="AS120" i="2"/>
  <c r="AR120" i="2"/>
  <c r="AQ120" i="2"/>
  <c r="AP120" i="2"/>
  <c r="AO120" i="2"/>
  <c r="AN120" i="2"/>
  <c r="AM120" i="2"/>
  <c r="AL120" i="2"/>
  <c r="AH120" i="2"/>
  <c r="AG120" i="2"/>
  <c r="AF120" i="2"/>
  <c r="AE120" i="2"/>
  <c r="AD120" i="2"/>
  <c r="AC120" i="2"/>
  <c r="AA120" i="2"/>
  <c r="Z120" i="2"/>
  <c r="Y120" i="2"/>
  <c r="X120" i="2"/>
  <c r="W120" i="2"/>
  <c r="T120" i="2"/>
  <c r="S120" i="2"/>
  <c r="R120" i="2"/>
  <c r="Q120" i="2"/>
  <c r="P120" i="2"/>
  <c r="O120" i="2"/>
  <c r="K120" i="2"/>
  <c r="J120" i="2"/>
  <c r="I120" i="2"/>
  <c r="H120" i="2"/>
  <c r="G120" i="2"/>
  <c r="F120" i="2"/>
  <c r="E120" i="2"/>
  <c r="BU119" i="2"/>
  <c r="BT119" i="2"/>
  <c r="BS119" i="2"/>
  <c r="BR119" i="2"/>
  <c r="BQ119" i="2"/>
  <c r="BP119" i="2"/>
  <c r="BO119" i="2"/>
  <c r="BJ119" i="2"/>
  <c r="BI119" i="2"/>
  <c r="BH119" i="2"/>
  <c r="BG119" i="2"/>
  <c r="BF119" i="2"/>
  <c r="BE119" i="2"/>
  <c r="BD119" i="2"/>
  <c r="BC119" i="2"/>
  <c r="BB119" i="2"/>
  <c r="AX119" i="2"/>
  <c r="AW119" i="2"/>
  <c r="AV119" i="2"/>
  <c r="AS119" i="2"/>
  <c r="AR119" i="2"/>
  <c r="AQ119" i="2"/>
  <c r="AP119" i="2"/>
  <c r="AO119" i="2"/>
  <c r="AN119" i="2"/>
  <c r="AM119" i="2"/>
  <c r="AL119" i="2"/>
  <c r="AH119" i="2"/>
  <c r="AG119" i="2"/>
  <c r="AF119" i="2"/>
  <c r="AE119" i="2"/>
  <c r="AD119" i="2"/>
  <c r="AC119" i="2"/>
  <c r="AA119" i="2"/>
  <c r="Z119" i="2"/>
  <c r="Y119" i="2"/>
  <c r="X119" i="2"/>
  <c r="W119" i="2"/>
  <c r="T119" i="2"/>
  <c r="S119" i="2"/>
  <c r="R119" i="2"/>
  <c r="Q119" i="2"/>
  <c r="P119" i="2"/>
  <c r="O119" i="2"/>
  <c r="K119" i="2"/>
  <c r="J119" i="2"/>
  <c r="I119" i="2"/>
  <c r="H119" i="2"/>
  <c r="G119" i="2"/>
  <c r="F119" i="2"/>
  <c r="E119" i="2"/>
  <c r="BU118" i="2"/>
  <c r="BT118" i="2"/>
  <c r="BS118" i="2"/>
  <c r="BR118" i="2"/>
  <c r="BQ118" i="2"/>
  <c r="BP118" i="2"/>
  <c r="BO118" i="2"/>
  <c r="BJ118" i="2"/>
  <c r="BI118" i="2"/>
  <c r="BH118" i="2"/>
  <c r="BG118" i="2"/>
  <c r="BF118" i="2"/>
  <c r="BE118" i="2"/>
  <c r="BD118" i="2"/>
  <c r="BC118" i="2"/>
  <c r="BB118" i="2"/>
  <c r="AX118" i="2"/>
  <c r="AW118" i="2"/>
  <c r="AV118" i="2"/>
  <c r="AS118" i="2"/>
  <c r="AR118" i="2"/>
  <c r="AQ118" i="2"/>
  <c r="AP118" i="2"/>
  <c r="AO118" i="2"/>
  <c r="AN118" i="2"/>
  <c r="AM118" i="2"/>
  <c r="AL118" i="2"/>
  <c r="AH118" i="2"/>
  <c r="AG118" i="2"/>
  <c r="AF118" i="2"/>
  <c r="AE118" i="2"/>
  <c r="AD118" i="2"/>
  <c r="AC118" i="2"/>
  <c r="AA118" i="2"/>
  <c r="Z118" i="2"/>
  <c r="Y118" i="2"/>
  <c r="X118" i="2"/>
  <c r="W118" i="2"/>
  <c r="T118" i="2"/>
  <c r="S118" i="2"/>
  <c r="R118" i="2"/>
  <c r="Q118" i="2"/>
  <c r="P118" i="2"/>
  <c r="O118" i="2"/>
  <c r="K118" i="2"/>
  <c r="J118" i="2"/>
  <c r="I118" i="2"/>
  <c r="H118" i="2"/>
  <c r="G118" i="2"/>
  <c r="F118" i="2"/>
  <c r="E118" i="2"/>
  <c r="BU117" i="2"/>
  <c r="BT117" i="2"/>
  <c r="BS117" i="2"/>
  <c r="BR117" i="2"/>
  <c r="BQ117" i="2"/>
  <c r="BP117" i="2"/>
  <c r="BO117" i="2"/>
  <c r="BJ117" i="2"/>
  <c r="BI117" i="2"/>
  <c r="BH117" i="2"/>
  <c r="BG117" i="2"/>
  <c r="BF117" i="2"/>
  <c r="BE117" i="2"/>
  <c r="BD117" i="2"/>
  <c r="BC117" i="2"/>
  <c r="BB117" i="2"/>
  <c r="AX117" i="2"/>
  <c r="AW117" i="2"/>
  <c r="AV117" i="2"/>
  <c r="AS117" i="2"/>
  <c r="AR117" i="2"/>
  <c r="AQ117" i="2"/>
  <c r="AP117" i="2"/>
  <c r="AO117" i="2"/>
  <c r="AN117" i="2"/>
  <c r="AM117" i="2"/>
  <c r="AL117" i="2"/>
  <c r="AH117" i="2"/>
  <c r="AG117" i="2"/>
  <c r="AF117" i="2"/>
  <c r="AE117" i="2"/>
  <c r="AD117" i="2"/>
  <c r="AC117" i="2"/>
  <c r="AA117" i="2"/>
  <c r="Z117" i="2"/>
  <c r="Y117" i="2"/>
  <c r="X117" i="2"/>
  <c r="W117" i="2"/>
  <c r="T117" i="2"/>
  <c r="S117" i="2"/>
  <c r="R117" i="2"/>
  <c r="Q117" i="2"/>
  <c r="P117" i="2"/>
  <c r="O117" i="2"/>
  <c r="K117" i="2"/>
  <c r="J117" i="2"/>
  <c r="I117" i="2"/>
  <c r="H117" i="2"/>
  <c r="G117" i="2"/>
  <c r="F117" i="2"/>
  <c r="E117" i="2"/>
  <c r="BU116" i="2"/>
  <c r="BT116" i="2"/>
  <c r="BS116" i="2"/>
  <c r="BR116" i="2"/>
  <c r="BQ116" i="2"/>
  <c r="BP116" i="2"/>
  <c r="BO116" i="2"/>
  <c r="BJ116" i="2"/>
  <c r="BI116" i="2"/>
  <c r="BH116" i="2"/>
  <c r="BG116" i="2"/>
  <c r="BF116" i="2"/>
  <c r="BE116" i="2"/>
  <c r="BD116" i="2"/>
  <c r="BC116" i="2"/>
  <c r="BB116" i="2"/>
  <c r="AX116" i="2"/>
  <c r="AW116" i="2"/>
  <c r="AV116" i="2"/>
  <c r="AS116" i="2"/>
  <c r="AR116" i="2"/>
  <c r="AQ116" i="2"/>
  <c r="AP116" i="2"/>
  <c r="AO116" i="2"/>
  <c r="AN116" i="2"/>
  <c r="AM116" i="2"/>
  <c r="AL116" i="2"/>
  <c r="AH116" i="2"/>
  <c r="AG116" i="2"/>
  <c r="AF116" i="2"/>
  <c r="AE116" i="2"/>
  <c r="AD116" i="2"/>
  <c r="AC116" i="2"/>
  <c r="AA116" i="2"/>
  <c r="Z116" i="2"/>
  <c r="Y116" i="2"/>
  <c r="X116" i="2"/>
  <c r="W116" i="2"/>
  <c r="T116" i="2"/>
  <c r="S116" i="2"/>
  <c r="R116" i="2"/>
  <c r="Q116" i="2"/>
  <c r="P116" i="2"/>
  <c r="O116" i="2"/>
  <c r="K116" i="2"/>
  <c r="J116" i="2"/>
  <c r="I116" i="2"/>
  <c r="H116" i="2"/>
  <c r="G116" i="2"/>
  <c r="F116" i="2"/>
  <c r="E116" i="2"/>
  <c r="BU115" i="2"/>
  <c r="BT115" i="2"/>
  <c r="BS115" i="2"/>
  <c r="BR115" i="2"/>
  <c r="BQ115" i="2"/>
  <c r="BP115" i="2"/>
  <c r="BO115" i="2"/>
  <c r="BJ115" i="2"/>
  <c r="BI115" i="2"/>
  <c r="BH115" i="2"/>
  <c r="BG115" i="2"/>
  <c r="BF115" i="2"/>
  <c r="BE115" i="2"/>
  <c r="BD115" i="2"/>
  <c r="BC115" i="2"/>
  <c r="BB115" i="2"/>
  <c r="AX115" i="2"/>
  <c r="AW115" i="2"/>
  <c r="AV115" i="2"/>
  <c r="AS115" i="2"/>
  <c r="AR115" i="2"/>
  <c r="AQ115" i="2"/>
  <c r="AP115" i="2"/>
  <c r="AO115" i="2"/>
  <c r="AN115" i="2"/>
  <c r="AM115" i="2"/>
  <c r="AL115" i="2"/>
  <c r="AH115" i="2"/>
  <c r="AG115" i="2"/>
  <c r="AF115" i="2"/>
  <c r="AE115" i="2"/>
  <c r="AD115" i="2"/>
  <c r="AC115" i="2"/>
  <c r="AA115" i="2"/>
  <c r="Z115" i="2"/>
  <c r="Y115" i="2"/>
  <c r="X115" i="2"/>
  <c r="W115" i="2"/>
  <c r="T115" i="2"/>
  <c r="S115" i="2"/>
  <c r="R115" i="2"/>
  <c r="Q115" i="2"/>
  <c r="P115" i="2"/>
  <c r="O115" i="2"/>
  <c r="K115" i="2"/>
  <c r="J115" i="2"/>
  <c r="I115" i="2"/>
  <c r="H115" i="2"/>
  <c r="G115" i="2"/>
  <c r="F115" i="2"/>
  <c r="E115" i="2"/>
  <c r="BU114" i="2"/>
  <c r="BT114" i="2"/>
  <c r="BS114" i="2"/>
  <c r="BR114" i="2"/>
  <c r="BQ114" i="2"/>
  <c r="BP114" i="2"/>
  <c r="BO114" i="2"/>
  <c r="BJ114" i="2"/>
  <c r="BI114" i="2"/>
  <c r="BH114" i="2"/>
  <c r="BG114" i="2"/>
  <c r="BF114" i="2"/>
  <c r="BE114" i="2"/>
  <c r="BD114" i="2"/>
  <c r="BC114" i="2"/>
  <c r="BB114" i="2"/>
  <c r="AX114" i="2"/>
  <c r="AW114" i="2"/>
  <c r="AV114" i="2"/>
  <c r="AS114" i="2"/>
  <c r="AR114" i="2"/>
  <c r="AQ114" i="2"/>
  <c r="AP114" i="2"/>
  <c r="AO114" i="2"/>
  <c r="AN114" i="2"/>
  <c r="AM114" i="2"/>
  <c r="AL114" i="2"/>
  <c r="AH114" i="2"/>
  <c r="AG114" i="2"/>
  <c r="AF114" i="2"/>
  <c r="AE114" i="2"/>
  <c r="AD114" i="2"/>
  <c r="AC114" i="2"/>
  <c r="AA114" i="2"/>
  <c r="Z114" i="2"/>
  <c r="Y114" i="2"/>
  <c r="X114" i="2"/>
  <c r="W114" i="2"/>
  <c r="T114" i="2"/>
  <c r="S114" i="2"/>
  <c r="R114" i="2"/>
  <c r="Q114" i="2"/>
  <c r="P114" i="2"/>
  <c r="O114" i="2"/>
  <c r="K114" i="2"/>
  <c r="J114" i="2"/>
  <c r="I114" i="2"/>
  <c r="H114" i="2"/>
  <c r="G114" i="2"/>
  <c r="F114" i="2"/>
  <c r="E114" i="2"/>
  <c r="BU113" i="2"/>
  <c r="BT113" i="2"/>
  <c r="BS113" i="2"/>
  <c r="BR113" i="2"/>
  <c r="BQ113" i="2"/>
  <c r="BP113" i="2"/>
  <c r="BO113" i="2"/>
  <c r="BJ113" i="2"/>
  <c r="BI113" i="2"/>
  <c r="BH113" i="2"/>
  <c r="BG113" i="2"/>
  <c r="BF113" i="2"/>
  <c r="BE113" i="2"/>
  <c r="BD113" i="2"/>
  <c r="BC113" i="2"/>
  <c r="BB113" i="2"/>
  <c r="AX113" i="2"/>
  <c r="AW113" i="2"/>
  <c r="AV113" i="2"/>
  <c r="AS113" i="2"/>
  <c r="AR113" i="2"/>
  <c r="AQ113" i="2"/>
  <c r="AP113" i="2"/>
  <c r="AO113" i="2"/>
  <c r="AN113" i="2"/>
  <c r="AM113" i="2"/>
  <c r="AL113" i="2"/>
  <c r="AH113" i="2"/>
  <c r="AG113" i="2"/>
  <c r="AF113" i="2"/>
  <c r="AE113" i="2"/>
  <c r="AD113" i="2"/>
  <c r="AC113" i="2"/>
  <c r="AA113" i="2"/>
  <c r="Z113" i="2"/>
  <c r="Y113" i="2"/>
  <c r="X113" i="2"/>
  <c r="W113" i="2"/>
  <c r="T113" i="2"/>
  <c r="S113" i="2"/>
  <c r="R113" i="2"/>
  <c r="Q113" i="2"/>
  <c r="P113" i="2"/>
  <c r="O113" i="2"/>
  <c r="K113" i="2"/>
  <c r="J113" i="2"/>
  <c r="I113" i="2"/>
  <c r="H113" i="2"/>
  <c r="G113" i="2"/>
  <c r="F113" i="2"/>
  <c r="E113" i="2"/>
  <c r="BU112" i="2"/>
  <c r="BT112" i="2"/>
  <c r="BS112" i="2"/>
  <c r="BR112" i="2"/>
  <c r="BQ112" i="2"/>
  <c r="BP112" i="2"/>
  <c r="BO112" i="2"/>
  <c r="BJ112" i="2"/>
  <c r="BI112" i="2"/>
  <c r="BH112" i="2"/>
  <c r="BG112" i="2"/>
  <c r="BF112" i="2"/>
  <c r="BE112" i="2"/>
  <c r="BD112" i="2"/>
  <c r="BC112" i="2"/>
  <c r="BB112" i="2"/>
  <c r="AX112" i="2"/>
  <c r="AW112" i="2"/>
  <c r="AV112" i="2"/>
  <c r="AS112" i="2"/>
  <c r="AR112" i="2"/>
  <c r="AQ112" i="2"/>
  <c r="AP112" i="2"/>
  <c r="AO112" i="2"/>
  <c r="AN112" i="2"/>
  <c r="AM112" i="2"/>
  <c r="AL112" i="2"/>
  <c r="AH112" i="2"/>
  <c r="AG112" i="2"/>
  <c r="AF112" i="2"/>
  <c r="AE112" i="2"/>
  <c r="AD112" i="2"/>
  <c r="AC112" i="2"/>
  <c r="AA112" i="2"/>
  <c r="Z112" i="2"/>
  <c r="Y112" i="2"/>
  <c r="X112" i="2"/>
  <c r="W112" i="2"/>
  <c r="T112" i="2"/>
  <c r="S112" i="2"/>
  <c r="R112" i="2"/>
  <c r="Q112" i="2"/>
  <c r="P112" i="2"/>
  <c r="O112" i="2"/>
  <c r="K112" i="2"/>
  <c r="J112" i="2"/>
  <c r="I112" i="2"/>
  <c r="H112" i="2"/>
  <c r="G112" i="2"/>
  <c r="F112" i="2"/>
  <c r="E112" i="2"/>
  <c r="BU111" i="2"/>
  <c r="BT111" i="2"/>
  <c r="BS111" i="2"/>
  <c r="BR111" i="2"/>
  <c r="BQ111" i="2"/>
  <c r="BP111" i="2"/>
  <c r="BO111" i="2"/>
  <c r="BJ111" i="2"/>
  <c r="BI111" i="2"/>
  <c r="BH111" i="2"/>
  <c r="BG111" i="2"/>
  <c r="BF111" i="2"/>
  <c r="BE111" i="2"/>
  <c r="BD111" i="2"/>
  <c r="BC111" i="2"/>
  <c r="BB111" i="2"/>
  <c r="AX111" i="2"/>
  <c r="AW111" i="2"/>
  <c r="AV111" i="2"/>
  <c r="AS111" i="2"/>
  <c r="AR111" i="2"/>
  <c r="AQ111" i="2"/>
  <c r="AP111" i="2"/>
  <c r="AO111" i="2"/>
  <c r="AN111" i="2"/>
  <c r="AM111" i="2"/>
  <c r="AL111" i="2"/>
  <c r="AH111" i="2"/>
  <c r="AG111" i="2"/>
  <c r="AF111" i="2"/>
  <c r="AE111" i="2"/>
  <c r="AD111" i="2"/>
  <c r="AC111" i="2"/>
  <c r="AA111" i="2"/>
  <c r="Z111" i="2"/>
  <c r="Y111" i="2"/>
  <c r="X111" i="2"/>
  <c r="W111" i="2"/>
  <c r="T111" i="2"/>
  <c r="S111" i="2"/>
  <c r="R111" i="2"/>
  <c r="Q111" i="2"/>
  <c r="P111" i="2"/>
  <c r="O111" i="2"/>
  <c r="K111" i="2"/>
  <c r="J111" i="2"/>
  <c r="I111" i="2"/>
  <c r="H111" i="2"/>
  <c r="G111" i="2"/>
  <c r="F111" i="2"/>
  <c r="E111" i="2"/>
  <c r="BU110" i="2"/>
  <c r="BT110" i="2"/>
  <c r="BS110" i="2"/>
  <c r="BR110" i="2"/>
  <c r="BQ110" i="2"/>
  <c r="BP110" i="2"/>
  <c r="BO110" i="2"/>
  <c r="BJ110" i="2"/>
  <c r="BI110" i="2"/>
  <c r="BH110" i="2"/>
  <c r="BG110" i="2"/>
  <c r="BF110" i="2"/>
  <c r="BE110" i="2"/>
  <c r="BD110" i="2"/>
  <c r="BC110" i="2"/>
  <c r="BB110" i="2"/>
  <c r="AX110" i="2"/>
  <c r="AW110" i="2"/>
  <c r="AV110" i="2"/>
  <c r="AS110" i="2"/>
  <c r="AR110" i="2"/>
  <c r="AQ110" i="2"/>
  <c r="AP110" i="2"/>
  <c r="AO110" i="2"/>
  <c r="AN110" i="2"/>
  <c r="AM110" i="2"/>
  <c r="AL110" i="2"/>
  <c r="AH110" i="2"/>
  <c r="AG110" i="2"/>
  <c r="AF110" i="2"/>
  <c r="AE110" i="2"/>
  <c r="AD110" i="2"/>
  <c r="AC110" i="2"/>
  <c r="AA110" i="2"/>
  <c r="Z110" i="2"/>
  <c r="Y110" i="2"/>
  <c r="X110" i="2"/>
  <c r="W110" i="2"/>
  <c r="T110" i="2"/>
  <c r="S110" i="2"/>
  <c r="R110" i="2"/>
  <c r="Q110" i="2"/>
  <c r="P110" i="2"/>
  <c r="O110" i="2"/>
  <c r="K110" i="2"/>
  <c r="J110" i="2"/>
  <c r="I110" i="2"/>
  <c r="H110" i="2"/>
  <c r="G110" i="2"/>
  <c r="F110" i="2"/>
  <c r="E110" i="2"/>
  <c r="BU109" i="2"/>
  <c r="BT109" i="2"/>
  <c r="BS109" i="2"/>
  <c r="BR109" i="2"/>
  <c r="BQ109" i="2"/>
  <c r="BP109" i="2"/>
  <c r="BO109" i="2"/>
  <c r="BJ109" i="2"/>
  <c r="BI109" i="2"/>
  <c r="BH109" i="2"/>
  <c r="BG109" i="2"/>
  <c r="BF109" i="2"/>
  <c r="BE109" i="2"/>
  <c r="BD109" i="2"/>
  <c r="BC109" i="2"/>
  <c r="BB109" i="2"/>
  <c r="AX109" i="2"/>
  <c r="AW109" i="2"/>
  <c r="AV109" i="2"/>
  <c r="AS109" i="2"/>
  <c r="AR109" i="2"/>
  <c r="AQ109" i="2"/>
  <c r="AP109" i="2"/>
  <c r="AO109" i="2"/>
  <c r="AN109" i="2"/>
  <c r="AM109" i="2"/>
  <c r="AL109" i="2"/>
  <c r="AH109" i="2"/>
  <c r="AG109" i="2"/>
  <c r="AF109" i="2"/>
  <c r="AE109" i="2"/>
  <c r="AD109" i="2"/>
  <c r="AC109" i="2"/>
  <c r="AA109" i="2"/>
  <c r="Z109" i="2"/>
  <c r="Y109" i="2"/>
  <c r="X109" i="2"/>
  <c r="W109" i="2"/>
  <c r="T109" i="2"/>
  <c r="S109" i="2"/>
  <c r="R109" i="2"/>
  <c r="Q109" i="2"/>
  <c r="P109" i="2"/>
  <c r="O109" i="2"/>
  <c r="K109" i="2"/>
  <c r="J109" i="2"/>
  <c r="I109" i="2"/>
  <c r="H109" i="2"/>
  <c r="G109" i="2"/>
  <c r="F109" i="2"/>
  <c r="E109" i="2"/>
  <c r="BU108" i="2"/>
  <c r="BT108" i="2"/>
  <c r="BS108" i="2"/>
  <c r="BR108" i="2"/>
  <c r="BQ108" i="2"/>
  <c r="BP108" i="2"/>
  <c r="BO108" i="2"/>
  <c r="BJ108" i="2"/>
  <c r="BI108" i="2"/>
  <c r="BH108" i="2"/>
  <c r="BG108" i="2"/>
  <c r="BF108" i="2"/>
  <c r="BE108" i="2"/>
  <c r="BD108" i="2"/>
  <c r="BC108" i="2"/>
  <c r="BB108" i="2"/>
  <c r="AX108" i="2"/>
  <c r="AW108" i="2"/>
  <c r="AV108" i="2"/>
  <c r="AS108" i="2"/>
  <c r="AR108" i="2"/>
  <c r="AQ108" i="2"/>
  <c r="AP108" i="2"/>
  <c r="AO108" i="2"/>
  <c r="AN108" i="2"/>
  <c r="AM108" i="2"/>
  <c r="AL108" i="2"/>
  <c r="AH108" i="2"/>
  <c r="AG108" i="2"/>
  <c r="AF108" i="2"/>
  <c r="AE108" i="2"/>
  <c r="AD108" i="2"/>
  <c r="AC108" i="2"/>
  <c r="AA108" i="2"/>
  <c r="Z108" i="2"/>
  <c r="Y108" i="2"/>
  <c r="X108" i="2"/>
  <c r="W108" i="2"/>
  <c r="T108" i="2"/>
  <c r="S108" i="2"/>
  <c r="R108" i="2"/>
  <c r="Q108" i="2"/>
  <c r="P108" i="2"/>
  <c r="O108" i="2"/>
  <c r="K108" i="2"/>
  <c r="J108" i="2"/>
  <c r="I108" i="2"/>
  <c r="H108" i="2"/>
  <c r="G108" i="2"/>
  <c r="F108" i="2"/>
  <c r="E108" i="2"/>
  <c r="BU107" i="2"/>
  <c r="BT107" i="2"/>
  <c r="BS107" i="2"/>
  <c r="BR107" i="2"/>
  <c r="BQ107" i="2"/>
  <c r="BP107" i="2"/>
  <c r="BO107" i="2"/>
  <c r="BJ107" i="2"/>
  <c r="BI107" i="2"/>
  <c r="BH107" i="2"/>
  <c r="BG107" i="2"/>
  <c r="BF107" i="2"/>
  <c r="BE107" i="2"/>
  <c r="BD107" i="2"/>
  <c r="BC107" i="2"/>
  <c r="BB107" i="2"/>
  <c r="AX107" i="2"/>
  <c r="AW107" i="2"/>
  <c r="AV107" i="2"/>
  <c r="AS107" i="2"/>
  <c r="AR107" i="2"/>
  <c r="AQ107" i="2"/>
  <c r="AP107" i="2"/>
  <c r="AO107" i="2"/>
  <c r="AN107" i="2"/>
  <c r="AM107" i="2"/>
  <c r="AL107" i="2"/>
  <c r="AH107" i="2"/>
  <c r="AG107" i="2"/>
  <c r="AF107" i="2"/>
  <c r="AE107" i="2"/>
  <c r="AD107" i="2"/>
  <c r="AC107" i="2"/>
  <c r="AA107" i="2"/>
  <c r="Z107" i="2"/>
  <c r="Y107" i="2"/>
  <c r="X107" i="2"/>
  <c r="W107" i="2"/>
  <c r="T107" i="2"/>
  <c r="S107" i="2"/>
  <c r="R107" i="2"/>
  <c r="Q107" i="2"/>
  <c r="P107" i="2"/>
  <c r="O107" i="2"/>
  <c r="K107" i="2"/>
  <c r="J107" i="2"/>
  <c r="I107" i="2"/>
  <c r="H107" i="2"/>
  <c r="G107" i="2"/>
  <c r="F107" i="2"/>
  <c r="E107" i="2"/>
  <c r="BU106" i="2"/>
  <c r="BT106" i="2"/>
  <c r="BS106" i="2"/>
  <c r="BR106" i="2"/>
  <c r="BQ106" i="2"/>
  <c r="BP106" i="2"/>
  <c r="BO106" i="2"/>
  <c r="BJ106" i="2"/>
  <c r="BI106" i="2"/>
  <c r="BH106" i="2"/>
  <c r="BG106" i="2"/>
  <c r="BF106" i="2"/>
  <c r="BE106" i="2"/>
  <c r="BD106" i="2"/>
  <c r="BC106" i="2"/>
  <c r="BB106" i="2"/>
  <c r="AX106" i="2"/>
  <c r="AW106" i="2"/>
  <c r="AV106" i="2"/>
  <c r="AS106" i="2"/>
  <c r="AR106" i="2"/>
  <c r="AQ106" i="2"/>
  <c r="AP106" i="2"/>
  <c r="AO106" i="2"/>
  <c r="AN106" i="2"/>
  <c r="AM106" i="2"/>
  <c r="AL106" i="2"/>
  <c r="AH106" i="2"/>
  <c r="AG106" i="2"/>
  <c r="AF106" i="2"/>
  <c r="AE106" i="2"/>
  <c r="AD106" i="2"/>
  <c r="AC106" i="2"/>
  <c r="AA106" i="2"/>
  <c r="Z106" i="2"/>
  <c r="Y106" i="2"/>
  <c r="X106" i="2"/>
  <c r="W106" i="2"/>
  <c r="T106" i="2"/>
  <c r="S106" i="2"/>
  <c r="R106" i="2"/>
  <c r="Q106" i="2"/>
  <c r="P106" i="2"/>
  <c r="O106" i="2"/>
  <c r="K106" i="2"/>
  <c r="J106" i="2"/>
  <c r="I106" i="2"/>
  <c r="H106" i="2"/>
  <c r="G106" i="2"/>
  <c r="F106" i="2"/>
  <c r="E106" i="2"/>
  <c r="BU105" i="2"/>
  <c r="BT105" i="2"/>
  <c r="BS105" i="2"/>
  <c r="BR105" i="2"/>
  <c r="BQ105" i="2"/>
  <c r="BP105" i="2"/>
  <c r="BO105" i="2"/>
  <c r="BJ105" i="2"/>
  <c r="BI105" i="2"/>
  <c r="BH105" i="2"/>
  <c r="BG105" i="2"/>
  <c r="BF105" i="2"/>
  <c r="BE105" i="2"/>
  <c r="BD105" i="2"/>
  <c r="BC105" i="2"/>
  <c r="BB105" i="2"/>
  <c r="AX105" i="2"/>
  <c r="AW105" i="2"/>
  <c r="AV105" i="2"/>
  <c r="AS105" i="2"/>
  <c r="AR105" i="2"/>
  <c r="AQ105" i="2"/>
  <c r="AP105" i="2"/>
  <c r="AO105" i="2"/>
  <c r="AN105" i="2"/>
  <c r="AM105" i="2"/>
  <c r="AL105" i="2"/>
  <c r="AH105" i="2"/>
  <c r="AG105" i="2"/>
  <c r="AF105" i="2"/>
  <c r="AE105" i="2"/>
  <c r="AD105" i="2"/>
  <c r="AC105" i="2"/>
  <c r="AA105" i="2"/>
  <c r="Z105" i="2"/>
  <c r="Y105" i="2"/>
  <c r="X105" i="2"/>
  <c r="W105" i="2"/>
  <c r="T105" i="2"/>
  <c r="S105" i="2"/>
  <c r="R105" i="2"/>
  <c r="Q105" i="2"/>
  <c r="P105" i="2"/>
  <c r="O105" i="2"/>
  <c r="K105" i="2"/>
  <c r="J105" i="2"/>
  <c r="I105" i="2"/>
  <c r="H105" i="2"/>
  <c r="G105" i="2"/>
  <c r="F105" i="2"/>
  <c r="E105" i="2"/>
  <c r="BU104" i="2"/>
  <c r="BT104" i="2"/>
  <c r="BS104" i="2"/>
  <c r="BR104" i="2"/>
  <c r="BQ104" i="2"/>
  <c r="BP104" i="2"/>
  <c r="BO104" i="2"/>
  <c r="BJ104" i="2"/>
  <c r="BI104" i="2"/>
  <c r="BH104" i="2"/>
  <c r="BG104" i="2"/>
  <c r="BF104" i="2"/>
  <c r="BE104" i="2"/>
  <c r="BD104" i="2"/>
  <c r="BC104" i="2"/>
  <c r="BB104" i="2"/>
  <c r="AX104" i="2"/>
  <c r="AW104" i="2"/>
  <c r="AV104" i="2"/>
  <c r="AS104" i="2"/>
  <c r="AR104" i="2"/>
  <c r="AQ104" i="2"/>
  <c r="AP104" i="2"/>
  <c r="AO104" i="2"/>
  <c r="AN104" i="2"/>
  <c r="AM104" i="2"/>
  <c r="AL104" i="2"/>
  <c r="AH104" i="2"/>
  <c r="AG104" i="2"/>
  <c r="AF104" i="2"/>
  <c r="AE104" i="2"/>
  <c r="AD104" i="2"/>
  <c r="AC104" i="2"/>
  <c r="AA104" i="2"/>
  <c r="Z104" i="2"/>
  <c r="Y104" i="2"/>
  <c r="X104" i="2"/>
  <c r="W104" i="2"/>
  <c r="T104" i="2"/>
  <c r="S104" i="2"/>
  <c r="R104" i="2"/>
  <c r="Q104" i="2"/>
  <c r="P104" i="2"/>
  <c r="O104" i="2"/>
  <c r="K104" i="2"/>
  <c r="J104" i="2"/>
  <c r="I104" i="2"/>
  <c r="H104" i="2"/>
  <c r="G104" i="2"/>
  <c r="F104" i="2"/>
  <c r="E104" i="2"/>
  <c r="BU103" i="2"/>
  <c r="BT103" i="2"/>
  <c r="BS103" i="2"/>
  <c r="BR103" i="2"/>
  <c r="BQ103" i="2"/>
  <c r="BP103" i="2"/>
  <c r="BO103" i="2"/>
  <c r="BJ103" i="2"/>
  <c r="BI103" i="2"/>
  <c r="BH103" i="2"/>
  <c r="BG103" i="2"/>
  <c r="BF103" i="2"/>
  <c r="BE103" i="2"/>
  <c r="BD103" i="2"/>
  <c r="BC103" i="2"/>
  <c r="BB103" i="2"/>
  <c r="AX103" i="2"/>
  <c r="AW103" i="2"/>
  <c r="AV103" i="2"/>
  <c r="AS103" i="2"/>
  <c r="AR103" i="2"/>
  <c r="AQ103" i="2"/>
  <c r="AP103" i="2"/>
  <c r="AO103" i="2"/>
  <c r="AN103" i="2"/>
  <c r="AM103" i="2"/>
  <c r="AL103" i="2"/>
  <c r="AH103" i="2"/>
  <c r="AG103" i="2"/>
  <c r="AF103" i="2"/>
  <c r="AE103" i="2"/>
  <c r="AD103" i="2"/>
  <c r="AC103" i="2"/>
  <c r="AA103" i="2"/>
  <c r="Z103" i="2"/>
  <c r="Y103" i="2"/>
  <c r="X103" i="2"/>
  <c r="W103" i="2"/>
  <c r="T103" i="2"/>
  <c r="S103" i="2"/>
  <c r="R103" i="2"/>
  <c r="Q103" i="2"/>
  <c r="P103" i="2"/>
  <c r="O103" i="2"/>
  <c r="K103" i="2"/>
  <c r="J103" i="2"/>
  <c r="I103" i="2"/>
  <c r="H103" i="2"/>
  <c r="G103" i="2"/>
  <c r="F103" i="2"/>
  <c r="E103" i="2"/>
  <c r="BU102" i="2"/>
  <c r="BT102" i="2"/>
  <c r="BS102" i="2"/>
  <c r="BR102" i="2"/>
  <c r="BQ102" i="2"/>
  <c r="BP102" i="2"/>
  <c r="BO102" i="2"/>
  <c r="BJ102" i="2"/>
  <c r="BI102" i="2"/>
  <c r="BH102" i="2"/>
  <c r="BG102" i="2"/>
  <c r="BF102" i="2"/>
  <c r="BE102" i="2"/>
  <c r="BD102" i="2"/>
  <c r="BC102" i="2"/>
  <c r="BB102" i="2"/>
  <c r="AX102" i="2"/>
  <c r="AW102" i="2"/>
  <c r="AV102" i="2"/>
  <c r="AS102" i="2"/>
  <c r="AR102" i="2"/>
  <c r="AQ102" i="2"/>
  <c r="AP102" i="2"/>
  <c r="AO102" i="2"/>
  <c r="AN102" i="2"/>
  <c r="AM102" i="2"/>
  <c r="AL102" i="2"/>
  <c r="AH102" i="2"/>
  <c r="AG102" i="2"/>
  <c r="AF102" i="2"/>
  <c r="AE102" i="2"/>
  <c r="AD102" i="2"/>
  <c r="AC102" i="2"/>
  <c r="AA102" i="2"/>
  <c r="Z102" i="2"/>
  <c r="Y102" i="2"/>
  <c r="X102" i="2"/>
  <c r="W102" i="2"/>
  <c r="T102" i="2"/>
  <c r="S102" i="2"/>
  <c r="R102" i="2"/>
  <c r="Q102" i="2"/>
  <c r="P102" i="2"/>
  <c r="O102" i="2"/>
  <c r="K102" i="2"/>
  <c r="J102" i="2"/>
  <c r="I102" i="2"/>
  <c r="H102" i="2"/>
  <c r="G102" i="2"/>
  <c r="F102" i="2"/>
  <c r="E102" i="2"/>
  <c r="BU101" i="2"/>
  <c r="BT101" i="2"/>
  <c r="BS101" i="2"/>
  <c r="BR101" i="2"/>
  <c r="BQ101" i="2"/>
  <c r="BP101" i="2"/>
  <c r="BO101" i="2"/>
  <c r="BJ101" i="2"/>
  <c r="BI101" i="2"/>
  <c r="BH101" i="2"/>
  <c r="BG101" i="2"/>
  <c r="BF101" i="2"/>
  <c r="BE101" i="2"/>
  <c r="BD101" i="2"/>
  <c r="BC101" i="2"/>
  <c r="BB101" i="2"/>
  <c r="AX101" i="2"/>
  <c r="AW101" i="2"/>
  <c r="AV101" i="2"/>
  <c r="AS101" i="2"/>
  <c r="AR101" i="2"/>
  <c r="AQ101" i="2"/>
  <c r="AP101" i="2"/>
  <c r="AO101" i="2"/>
  <c r="AN101" i="2"/>
  <c r="AM101" i="2"/>
  <c r="AL101" i="2"/>
  <c r="AH101" i="2"/>
  <c r="AG101" i="2"/>
  <c r="AF101" i="2"/>
  <c r="AE101" i="2"/>
  <c r="AD101" i="2"/>
  <c r="AC101" i="2"/>
  <c r="AA101" i="2"/>
  <c r="Z101" i="2"/>
  <c r="Y101" i="2"/>
  <c r="X101" i="2"/>
  <c r="W101" i="2"/>
  <c r="T101" i="2"/>
  <c r="S101" i="2"/>
  <c r="R101" i="2"/>
  <c r="Q101" i="2"/>
  <c r="P101" i="2"/>
  <c r="O101" i="2"/>
  <c r="K101" i="2"/>
  <c r="J101" i="2"/>
  <c r="I101" i="2"/>
  <c r="H101" i="2"/>
  <c r="G101" i="2"/>
  <c r="F101" i="2"/>
  <c r="E101" i="2"/>
  <c r="BU100" i="2"/>
  <c r="BT100" i="2"/>
  <c r="BS100" i="2"/>
  <c r="BR100" i="2"/>
  <c r="BQ100" i="2"/>
  <c r="BP100" i="2"/>
  <c r="BO100" i="2"/>
  <c r="BJ100" i="2"/>
  <c r="BI100" i="2"/>
  <c r="BH100" i="2"/>
  <c r="BG100" i="2"/>
  <c r="BF100" i="2"/>
  <c r="BE100" i="2"/>
  <c r="BD100" i="2"/>
  <c r="BC100" i="2"/>
  <c r="BB100" i="2"/>
  <c r="AX100" i="2"/>
  <c r="AW100" i="2"/>
  <c r="AV100" i="2"/>
  <c r="AS100" i="2"/>
  <c r="AR100" i="2"/>
  <c r="AQ100" i="2"/>
  <c r="AP100" i="2"/>
  <c r="AO100" i="2"/>
  <c r="AN100" i="2"/>
  <c r="AM100" i="2"/>
  <c r="AL100" i="2"/>
  <c r="AH100" i="2"/>
  <c r="AG100" i="2"/>
  <c r="AF100" i="2"/>
  <c r="AE100" i="2"/>
  <c r="AD100" i="2"/>
  <c r="AC100" i="2"/>
  <c r="AA100" i="2"/>
  <c r="Z100" i="2"/>
  <c r="Y100" i="2"/>
  <c r="X100" i="2"/>
  <c r="W100" i="2"/>
  <c r="T100" i="2"/>
  <c r="S100" i="2"/>
  <c r="R100" i="2"/>
  <c r="Q100" i="2"/>
  <c r="P100" i="2"/>
  <c r="O100" i="2"/>
  <c r="K100" i="2"/>
  <c r="J100" i="2"/>
  <c r="I100" i="2"/>
  <c r="H100" i="2"/>
  <c r="G100" i="2"/>
  <c r="F100" i="2"/>
  <c r="E100" i="2"/>
  <c r="BU99" i="2"/>
  <c r="BT99" i="2"/>
  <c r="BS99" i="2"/>
  <c r="BR99" i="2"/>
  <c r="BQ99" i="2"/>
  <c r="BP99" i="2"/>
  <c r="BO99" i="2"/>
  <c r="BJ99" i="2"/>
  <c r="BI99" i="2"/>
  <c r="BH99" i="2"/>
  <c r="BG99" i="2"/>
  <c r="BF99" i="2"/>
  <c r="BE99" i="2"/>
  <c r="BD99" i="2"/>
  <c r="BC99" i="2"/>
  <c r="BB99" i="2"/>
  <c r="AX99" i="2"/>
  <c r="AW99" i="2"/>
  <c r="AV99" i="2"/>
  <c r="AS99" i="2"/>
  <c r="AR99" i="2"/>
  <c r="AQ99" i="2"/>
  <c r="AP99" i="2"/>
  <c r="AO99" i="2"/>
  <c r="AN99" i="2"/>
  <c r="AM99" i="2"/>
  <c r="AL99" i="2"/>
  <c r="AH99" i="2"/>
  <c r="AG99" i="2"/>
  <c r="AF99" i="2"/>
  <c r="AE99" i="2"/>
  <c r="AD99" i="2"/>
  <c r="AC99" i="2"/>
  <c r="AA99" i="2"/>
  <c r="Z99" i="2"/>
  <c r="Y99" i="2"/>
  <c r="X99" i="2"/>
  <c r="W99" i="2"/>
  <c r="T99" i="2"/>
  <c r="S99" i="2"/>
  <c r="R99" i="2"/>
  <c r="Q99" i="2"/>
  <c r="P99" i="2"/>
  <c r="O99" i="2"/>
  <c r="K99" i="2"/>
  <c r="J99" i="2"/>
  <c r="I99" i="2"/>
  <c r="H99" i="2"/>
  <c r="G99" i="2"/>
  <c r="F99" i="2"/>
  <c r="E99" i="2"/>
  <c r="BU98" i="2"/>
  <c r="BT98" i="2"/>
  <c r="BS98" i="2"/>
  <c r="BR98" i="2"/>
  <c r="BQ98" i="2"/>
  <c r="BP98" i="2"/>
  <c r="BO98" i="2"/>
  <c r="BJ98" i="2"/>
  <c r="BI98" i="2"/>
  <c r="BH98" i="2"/>
  <c r="BG98" i="2"/>
  <c r="BF98" i="2"/>
  <c r="BE98" i="2"/>
  <c r="BD98" i="2"/>
  <c r="BC98" i="2"/>
  <c r="BB98" i="2"/>
  <c r="AX98" i="2"/>
  <c r="AW98" i="2"/>
  <c r="AV98" i="2"/>
  <c r="AS98" i="2"/>
  <c r="AR98" i="2"/>
  <c r="AQ98" i="2"/>
  <c r="AP98" i="2"/>
  <c r="AO98" i="2"/>
  <c r="AN98" i="2"/>
  <c r="AM98" i="2"/>
  <c r="AL98" i="2"/>
  <c r="AH98" i="2"/>
  <c r="AG98" i="2"/>
  <c r="AF98" i="2"/>
  <c r="AE98" i="2"/>
  <c r="AD98" i="2"/>
  <c r="AC98" i="2"/>
  <c r="AA98" i="2"/>
  <c r="Z98" i="2"/>
  <c r="Y98" i="2"/>
  <c r="X98" i="2"/>
  <c r="W98" i="2"/>
  <c r="T98" i="2"/>
  <c r="S98" i="2"/>
  <c r="R98" i="2"/>
  <c r="Q98" i="2"/>
  <c r="P98" i="2"/>
  <c r="O98" i="2"/>
  <c r="K98" i="2"/>
  <c r="J98" i="2"/>
  <c r="I98" i="2"/>
  <c r="H98" i="2"/>
  <c r="G98" i="2"/>
  <c r="F98" i="2"/>
  <c r="E98" i="2"/>
  <c r="BU97" i="2"/>
  <c r="BT97" i="2"/>
  <c r="BS97" i="2"/>
  <c r="BR97" i="2"/>
  <c r="BQ97" i="2"/>
  <c r="BP97" i="2"/>
  <c r="BO97" i="2"/>
  <c r="BJ97" i="2"/>
  <c r="BI97" i="2"/>
  <c r="BH97" i="2"/>
  <c r="BG97" i="2"/>
  <c r="BF97" i="2"/>
  <c r="BE97" i="2"/>
  <c r="BD97" i="2"/>
  <c r="BC97" i="2"/>
  <c r="BB97" i="2"/>
  <c r="AX97" i="2"/>
  <c r="AW97" i="2"/>
  <c r="AV97" i="2"/>
  <c r="AS97" i="2"/>
  <c r="AR97" i="2"/>
  <c r="AQ97" i="2"/>
  <c r="AP97" i="2"/>
  <c r="AO97" i="2"/>
  <c r="AN97" i="2"/>
  <c r="AM97" i="2"/>
  <c r="AL97" i="2"/>
  <c r="AH97" i="2"/>
  <c r="AG97" i="2"/>
  <c r="AF97" i="2"/>
  <c r="AE97" i="2"/>
  <c r="AD97" i="2"/>
  <c r="AC97" i="2"/>
  <c r="AA97" i="2"/>
  <c r="Z97" i="2"/>
  <c r="Y97" i="2"/>
  <c r="X97" i="2"/>
  <c r="W97" i="2"/>
  <c r="T97" i="2"/>
  <c r="S97" i="2"/>
  <c r="R97" i="2"/>
  <c r="Q97" i="2"/>
  <c r="P97" i="2"/>
  <c r="O97" i="2"/>
  <c r="K97" i="2"/>
  <c r="J97" i="2"/>
  <c r="I97" i="2"/>
  <c r="H97" i="2"/>
  <c r="G97" i="2"/>
  <c r="F97" i="2"/>
  <c r="E97" i="2"/>
  <c r="BU96" i="2"/>
  <c r="BT96" i="2"/>
  <c r="BS96" i="2"/>
  <c r="BR96" i="2"/>
  <c r="BQ96" i="2"/>
  <c r="BP96" i="2"/>
  <c r="BO96" i="2"/>
  <c r="BJ96" i="2"/>
  <c r="BI96" i="2"/>
  <c r="BH96" i="2"/>
  <c r="BG96" i="2"/>
  <c r="BF96" i="2"/>
  <c r="BE96" i="2"/>
  <c r="BD96" i="2"/>
  <c r="BC96" i="2"/>
  <c r="BB96" i="2"/>
  <c r="AX96" i="2"/>
  <c r="AW96" i="2"/>
  <c r="AV96" i="2"/>
  <c r="AS96" i="2"/>
  <c r="AR96" i="2"/>
  <c r="AQ96" i="2"/>
  <c r="AP96" i="2"/>
  <c r="AO96" i="2"/>
  <c r="AN96" i="2"/>
  <c r="AM96" i="2"/>
  <c r="AL96" i="2"/>
  <c r="AH96" i="2"/>
  <c r="AG96" i="2"/>
  <c r="AF96" i="2"/>
  <c r="AE96" i="2"/>
  <c r="AD96" i="2"/>
  <c r="AC96" i="2"/>
  <c r="AA96" i="2"/>
  <c r="Z96" i="2"/>
  <c r="Y96" i="2"/>
  <c r="X96" i="2"/>
  <c r="W96" i="2"/>
  <c r="T96" i="2"/>
  <c r="S96" i="2"/>
  <c r="R96" i="2"/>
  <c r="Q96" i="2"/>
  <c r="P96" i="2"/>
  <c r="O96" i="2"/>
  <c r="K96" i="2"/>
  <c r="J96" i="2"/>
  <c r="I96" i="2"/>
  <c r="H96" i="2"/>
  <c r="G96" i="2"/>
  <c r="F96" i="2"/>
  <c r="E96" i="2"/>
  <c r="BU95" i="2"/>
  <c r="BT95" i="2"/>
  <c r="BS95" i="2"/>
  <c r="BR95" i="2"/>
  <c r="BQ95" i="2"/>
  <c r="BP95" i="2"/>
  <c r="BO95" i="2"/>
  <c r="BJ95" i="2"/>
  <c r="BI95" i="2"/>
  <c r="BH95" i="2"/>
  <c r="BG95" i="2"/>
  <c r="BF95" i="2"/>
  <c r="BE95" i="2"/>
  <c r="BD95" i="2"/>
  <c r="BC95" i="2"/>
  <c r="BB95" i="2"/>
  <c r="AX95" i="2"/>
  <c r="AW95" i="2"/>
  <c r="AV95" i="2"/>
  <c r="AS95" i="2"/>
  <c r="AR95" i="2"/>
  <c r="AQ95" i="2"/>
  <c r="AP95" i="2"/>
  <c r="AO95" i="2"/>
  <c r="AN95" i="2"/>
  <c r="AM95" i="2"/>
  <c r="AL95" i="2"/>
  <c r="AH95" i="2"/>
  <c r="AG95" i="2"/>
  <c r="AF95" i="2"/>
  <c r="AE95" i="2"/>
  <c r="AD95" i="2"/>
  <c r="AC95" i="2"/>
  <c r="AA95" i="2"/>
  <c r="Z95" i="2"/>
  <c r="Y95" i="2"/>
  <c r="X95" i="2"/>
  <c r="W95" i="2"/>
  <c r="T95" i="2"/>
  <c r="S95" i="2"/>
  <c r="R95" i="2"/>
  <c r="Q95" i="2"/>
  <c r="P95" i="2"/>
  <c r="O95" i="2"/>
  <c r="K95" i="2"/>
  <c r="J95" i="2"/>
  <c r="I95" i="2"/>
  <c r="H95" i="2"/>
  <c r="G95" i="2"/>
  <c r="F95" i="2"/>
  <c r="E95" i="2"/>
  <c r="BU94" i="2"/>
  <c r="BT94" i="2"/>
  <c r="BS94" i="2"/>
  <c r="BR94" i="2"/>
  <c r="BQ94" i="2"/>
  <c r="BP94" i="2"/>
  <c r="BO94" i="2"/>
  <c r="BJ94" i="2"/>
  <c r="BI94" i="2"/>
  <c r="BH94" i="2"/>
  <c r="BG94" i="2"/>
  <c r="BF94" i="2"/>
  <c r="BE94" i="2"/>
  <c r="BD94" i="2"/>
  <c r="BC94" i="2"/>
  <c r="BB94" i="2"/>
  <c r="AX94" i="2"/>
  <c r="AW94" i="2"/>
  <c r="AV94" i="2"/>
  <c r="AS94" i="2"/>
  <c r="AR94" i="2"/>
  <c r="AQ94" i="2"/>
  <c r="AP94" i="2"/>
  <c r="AO94" i="2"/>
  <c r="AN94" i="2"/>
  <c r="AM94" i="2"/>
  <c r="AL94" i="2"/>
  <c r="AH94" i="2"/>
  <c r="AG94" i="2"/>
  <c r="AF94" i="2"/>
  <c r="AE94" i="2"/>
  <c r="AD94" i="2"/>
  <c r="AC94" i="2"/>
  <c r="AA94" i="2"/>
  <c r="Z94" i="2"/>
  <c r="Y94" i="2"/>
  <c r="X94" i="2"/>
  <c r="W94" i="2"/>
  <c r="T94" i="2"/>
  <c r="S94" i="2"/>
  <c r="R94" i="2"/>
  <c r="Q94" i="2"/>
  <c r="P94" i="2"/>
  <c r="O94" i="2"/>
  <c r="K94" i="2"/>
  <c r="J94" i="2"/>
  <c r="I94" i="2"/>
  <c r="H94" i="2"/>
  <c r="G94" i="2"/>
  <c r="F94" i="2"/>
  <c r="E94" i="2"/>
  <c r="BU93" i="2"/>
  <c r="BT93" i="2"/>
  <c r="BS93" i="2"/>
  <c r="BR93" i="2"/>
  <c r="BQ93" i="2"/>
  <c r="BP93" i="2"/>
  <c r="BO93" i="2"/>
  <c r="BJ93" i="2"/>
  <c r="BI93" i="2"/>
  <c r="BH93" i="2"/>
  <c r="BG93" i="2"/>
  <c r="BF93" i="2"/>
  <c r="BE93" i="2"/>
  <c r="BD93" i="2"/>
  <c r="BC93" i="2"/>
  <c r="BB93" i="2"/>
  <c r="AX93" i="2"/>
  <c r="AW93" i="2"/>
  <c r="AV93" i="2"/>
  <c r="AS93" i="2"/>
  <c r="AR93" i="2"/>
  <c r="AQ93" i="2"/>
  <c r="AP93" i="2"/>
  <c r="AO93" i="2"/>
  <c r="AN93" i="2"/>
  <c r="AM93" i="2"/>
  <c r="AL93" i="2"/>
  <c r="AH93" i="2"/>
  <c r="AG93" i="2"/>
  <c r="AF93" i="2"/>
  <c r="AE93" i="2"/>
  <c r="AD93" i="2"/>
  <c r="AC93" i="2"/>
  <c r="AA93" i="2"/>
  <c r="Z93" i="2"/>
  <c r="Y93" i="2"/>
  <c r="X93" i="2"/>
  <c r="W93" i="2"/>
  <c r="T93" i="2"/>
  <c r="S93" i="2"/>
  <c r="R93" i="2"/>
  <c r="Q93" i="2"/>
  <c r="P93" i="2"/>
  <c r="O93" i="2"/>
  <c r="K93" i="2"/>
  <c r="J93" i="2"/>
  <c r="I93" i="2"/>
  <c r="H93" i="2"/>
  <c r="G93" i="2"/>
  <c r="F93" i="2"/>
  <c r="E93" i="2"/>
  <c r="BU92" i="2"/>
  <c r="BT92" i="2"/>
  <c r="BS92" i="2"/>
  <c r="BR92" i="2"/>
  <c r="BQ92" i="2"/>
  <c r="BP92" i="2"/>
  <c r="BO92" i="2"/>
  <c r="BJ92" i="2"/>
  <c r="BI92" i="2"/>
  <c r="BH92" i="2"/>
  <c r="BG92" i="2"/>
  <c r="BF92" i="2"/>
  <c r="BE92" i="2"/>
  <c r="BD92" i="2"/>
  <c r="BC92" i="2"/>
  <c r="BB92" i="2"/>
  <c r="AX92" i="2"/>
  <c r="AW92" i="2"/>
  <c r="AV92" i="2"/>
  <c r="AS92" i="2"/>
  <c r="AR92" i="2"/>
  <c r="AQ92" i="2"/>
  <c r="AP92" i="2"/>
  <c r="AO92" i="2"/>
  <c r="AN92" i="2"/>
  <c r="AM92" i="2"/>
  <c r="AL92" i="2"/>
  <c r="AH92" i="2"/>
  <c r="AG92" i="2"/>
  <c r="AF92" i="2"/>
  <c r="AE92" i="2"/>
  <c r="AD92" i="2"/>
  <c r="AC92" i="2"/>
  <c r="AA92" i="2"/>
  <c r="Z92" i="2"/>
  <c r="Y92" i="2"/>
  <c r="X92" i="2"/>
  <c r="W92" i="2"/>
  <c r="T92" i="2"/>
  <c r="S92" i="2"/>
  <c r="R92" i="2"/>
  <c r="Q92" i="2"/>
  <c r="P92" i="2"/>
  <c r="O92" i="2"/>
  <c r="K92" i="2"/>
  <c r="J92" i="2"/>
  <c r="I92" i="2"/>
  <c r="H92" i="2"/>
  <c r="G92" i="2"/>
  <c r="F92" i="2"/>
  <c r="E92" i="2"/>
  <c r="BU91" i="2"/>
  <c r="BT91" i="2"/>
  <c r="BS91" i="2"/>
  <c r="BR91" i="2"/>
  <c r="BQ91" i="2"/>
  <c r="BP91" i="2"/>
  <c r="BO91" i="2"/>
  <c r="BJ91" i="2"/>
  <c r="BI91" i="2"/>
  <c r="BH91" i="2"/>
  <c r="BG91" i="2"/>
  <c r="BF91" i="2"/>
  <c r="BE91" i="2"/>
  <c r="BD91" i="2"/>
  <c r="BC91" i="2"/>
  <c r="BB91" i="2"/>
  <c r="AX91" i="2"/>
  <c r="AW91" i="2"/>
  <c r="AV91" i="2"/>
  <c r="AS91" i="2"/>
  <c r="AR91" i="2"/>
  <c r="AQ91" i="2"/>
  <c r="AP91" i="2"/>
  <c r="AO91" i="2"/>
  <c r="AN91" i="2"/>
  <c r="AM91" i="2"/>
  <c r="AL91" i="2"/>
  <c r="AH91" i="2"/>
  <c r="AG91" i="2"/>
  <c r="AF91" i="2"/>
  <c r="AE91" i="2"/>
  <c r="AD91" i="2"/>
  <c r="AC91" i="2"/>
  <c r="AA91" i="2"/>
  <c r="Z91" i="2"/>
  <c r="Y91" i="2"/>
  <c r="X91" i="2"/>
  <c r="W91" i="2"/>
  <c r="T91" i="2"/>
  <c r="S91" i="2"/>
  <c r="R91" i="2"/>
  <c r="Q91" i="2"/>
  <c r="P91" i="2"/>
  <c r="O91" i="2"/>
  <c r="K91" i="2"/>
  <c r="J91" i="2"/>
  <c r="I91" i="2"/>
  <c r="H91" i="2"/>
  <c r="G91" i="2"/>
  <c r="F91" i="2"/>
  <c r="E91" i="2"/>
  <c r="BU90" i="2"/>
  <c r="BT90" i="2"/>
  <c r="BS90" i="2"/>
  <c r="BR90" i="2"/>
  <c r="BQ90" i="2"/>
  <c r="BP90" i="2"/>
  <c r="BO90" i="2"/>
  <c r="BJ90" i="2"/>
  <c r="BI90" i="2"/>
  <c r="BH90" i="2"/>
  <c r="BG90" i="2"/>
  <c r="BF90" i="2"/>
  <c r="BE90" i="2"/>
  <c r="BD90" i="2"/>
  <c r="BC90" i="2"/>
  <c r="BB90" i="2"/>
  <c r="AX90" i="2"/>
  <c r="AW90" i="2"/>
  <c r="AV90" i="2"/>
  <c r="AS90" i="2"/>
  <c r="AR90" i="2"/>
  <c r="AQ90" i="2"/>
  <c r="AP90" i="2"/>
  <c r="AO90" i="2"/>
  <c r="AN90" i="2"/>
  <c r="AM90" i="2"/>
  <c r="AL90" i="2"/>
  <c r="AH90" i="2"/>
  <c r="AG90" i="2"/>
  <c r="AF90" i="2"/>
  <c r="AE90" i="2"/>
  <c r="AD90" i="2"/>
  <c r="AC90" i="2"/>
  <c r="AA90" i="2"/>
  <c r="Z90" i="2"/>
  <c r="Y90" i="2"/>
  <c r="X90" i="2"/>
  <c r="W90" i="2"/>
  <c r="T90" i="2"/>
  <c r="S90" i="2"/>
  <c r="R90" i="2"/>
  <c r="Q90" i="2"/>
  <c r="P90" i="2"/>
  <c r="O90" i="2"/>
  <c r="K90" i="2"/>
  <c r="J90" i="2"/>
  <c r="I90" i="2"/>
  <c r="H90" i="2"/>
  <c r="G90" i="2"/>
  <c r="F90" i="2"/>
  <c r="E90" i="2"/>
  <c r="BU89" i="2"/>
  <c r="BT89" i="2"/>
  <c r="BS89" i="2"/>
  <c r="BR89" i="2"/>
  <c r="BQ89" i="2"/>
  <c r="BP89" i="2"/>
  <c r="BO89" i="2"/>
  <c r="BJ89" i="2"/>
  <c r="BI89" i="2"/>
  <c r="BH89" i="2"/>
  <c r="BG89" i="2"/>
  <c r="BF89" i="2"/>
  <c r="BE89" i="2"/>
  <c r="BD89" i="2"/>
  <c r="BC89" i="2"/>
  <c r="BB89" i="2"/>
  <c r="AX89" i="2"/>
  <c r="AW89" i="2"/>
  <c r="AV89" i="2"/>
  <c r="AS89" i="2"/>
  <c r="AR89" i="2"/>
  <c r="AQ89" i="2"/>
  <c r="AP89" i="2"/>
  <c r="AO89" i="2"/>
  <c r="AN89" i="2"/>
  <c r="AM89" i="2"/>
  <c r="AL89" i="2"/>
  <c r="AH89" i="2"/>
  <c r="AG89" i="2"/>
  <c r="AF89" i="2"/>
  <c r="AE89" i="2"/>
  <c r="AD89" i="2"/>
  <c r="AC89" i="2"/>
  <c r="AA89" i="2"/>
  <c r="Z89" i="2"/>
  <c r="Y89" i="2"/>
  <c r="X89" i="2"/>
  <c r="W89" i="2"/>
  <c r="T89" i="2"/>
  <c r="S89" i="2"/>
  <c r="R89" i="2"/>
  <c r="Q89" i="2"/>
  <c r="P89" i="2"/>
  <c r="O89" i="2"/>
  <c r="K89" i="2"/>
  <c r="J89" i="2"/>
  <c r="I89" i="2"/>
  <c r="H89" i="2"/>
  <c r="G89" i="2"/>
  <c r="F89" i="2"/>
  <c r="E89" i="2"/>
  <c r="BU88" i="2"/>
  <c r="BT88" i="2"/>
  <c r="BS88" i="2"/>
  <c r="BR88" i="2"/>
  <c r="BQ88" i="2"/>
  <c r="BP88" i="2"/>
  <c r="BO88" i="2"/>
  <c r="BJ88" i="2"/>
  <c r="BI88" i="2"/>
  <c r="BH88" i="2"/>
  <c r="BG88" i="2"/>
  <c r="BF88" i="2"/>
  <c r="BE88" i="2"/>
  <c r="BD88" i="2"/>
  <c r="BC88" i="2"/>
  <c r="BB88" i="2"/>
  <c r="AX88" i="2"/>
  <c r="AW88" i="2"/>
  <c r="AV88" i="2"/>
  <c r="AS88" i="2"/>
  <c r="AR88" i="2"/>
  <c r="AQ88" i="2"/>
  <c r="AP88" i="2"/>
  <c r="AO88" i="2"/>
  <c r="AN88" i="2"/>
  <c r="AM88" i="2"/>
  <c r="AL88" i="2"/>
  <c r="AH88" i="2"/>
  <c r="AG88" i="2"/>
  <c r="AF88" i="2"/>
  <c r="AE88" i="2"/>
  <c r="AD88" i="2"/>
  <c r="AC88" i="2"/>
  <c r="AA88" i="2"/>
  <c r="Z88" i="2"/>
  <c r="Y88" i="2"/>
  <c r="X88" i="2"/>
  <c r="W88" i="2"/>
  <c r="T88" i="2"/>
  <c r="S88" i="2"/>
  <c r="R88" i="2"/>
  <c r="Q88" i="2"/>
  <c r="P88" i="2"/>
  <c r="O88" i="2"/>
  <c r="K88" i="2"/>
  <c r="J88" i="2"/>
  <c r="I88" i="2"/>
  <c r="H88" i="2"/>
  <c r="G88" i="2"/>
  <c r="F88" i="2"/>
  <c r="E88" i="2"/>
  <c r="BU87" i="2"/>
  <c r="BT87" i="2"/>
  <c r="BS87" i="2"/>
  <c r="BR87" i="2"/>
  <c r="BQ87" i="2"/>
  <c r="BP87" i="2"/>
  <c r="BO87" i="2"/>
  <c r="BJ87" i="2"/>
  <c r="BI87" i="2"/>
  <c r="BH87" i="2"/>
  <c r="BG87" i="2"/>
  <c r="BF87" i="2"/>
  <c r="BE87" i="2"/>
  <c r="BD87" i="2"/>
  <c r="BC87" i="2"/>
  <c r="BB87" i="2"/>
  <c r="AX87" i="2"/>
  <c r="AW87" i="2"/>
  <c r="AV87" i="2"/>
  <c r="AS87" i="2"/>
  <c r="AR87" i="2"/>
  <c r="AQ87" i="2"/>
  <c r="AP87" i="2"/>
  <c r="AO87" i="2"/>
  <c r="AN87" i="2"/>
  <c r="AM87" i="2"/>
  <c r="AL87" i="2"/>
  <c r="AH87" i="2"/>
  <c r="AG87" i="2"/>
  <c r="AF87" i="2"/>
  <c r="AE87" i="2"/>
  <c r="AD87" i="2"/>
  <c r="AC87" i="2"/>
  <c r="AA87" i="2"/>
  <c r="Z87" i="2"/>
  <c r="Y87" i="2"/>
  <c r="X87" i="2"/>
  <c r="W87" i="2"/>
  <c r="T87" i="2"/>
  <c r="S87" i="2"/>
  <c r="R87" i="2"/>
  <c r="Q87" i="2"/>
  <c r="P87" i="2"/>
  <c r="O87" i="2"/>
  <c r="K87" i="2"/>
  <c r="J87" i="2"/>
  <c r="I87" i="2"/>
  <c r="H87" i="2"/>
  <c r="G87" i="2"/>
  <c r="F87" i="2"/>
  <c r="E87" i="2"/>
  <c r="BU86" i="2"/>
  <c r="BT86" i="2"/>
  <c r="BS86" i="2"/>
  <c r="BR86" i="2"/>
  <c r="BQ86" i="2"/>
  <c r="BP86" i="2"/>
  <c r="BO86" i="2"/>
  <c r="BJ86" i="2"/>
  <c r="BI86" i="2"/>
  <c r="BH86" i="2"/>
  <c r="BG86" i="2"/>
  <c r="BF86" i="2"/>
  <c r="BE86" i="2"/>
  <c r="BD86" i="2"/>
  <c r="BC86" i="2"/>
  <c r="BB86" i="2"/>
  <c r="AX86" i="2"/>
  <c r="AW86" i="2"/>
  <c r="AV86" i="2"/>
  <c r="AS86" i="2"/>
  <c r="AR86" i="2"/>
  <c r="AQ86" i="2"/>
  <c r="AP86" i="2"/>
  <c r="AO86" i="2"/>
  <c r="AN86" i="2"/>
  <c r="AM86" i="2"/>
  <c r="AL86" i="2"/>
  <c r="AH86" i="2"/>
  <c r="AG86" i="2"/>
  <c r="AF86" i="2"/>
  <c r="AE86" i="2"/>
  <c r="AD86" i="2"/>
  <c r="AC86" i="2"/>
  <c r="AA86" i="2"/>
  <c r="Z86" i="2"/>
  <c r="Y86" i="2"/>
  <c r="X86" i="2"/>
  <c r="W86" i="2"/>
  <c r="T86" i="2"/>
  <c r="S86" i="2"/>
  <c r="R86" i="2"/>
  <c r="Q86" i="2"/>
  <c r="P86" i="2"/>
  <c r="O86" i="2"/>
  <c r="K86" i="2"/>
  <c r="J86" i="2"/>
  <c r="I86" i="2"/>
  <c r="H86" i="2"/>
  <c r="G86" i="2"/>
  <c r="F86" i="2"/>
  <c r="E86" i="2"/>
  <c r="BU85" i="2"/>
  <c r="BT85" i="2"/>
  <c r="BS85" i="2"/>
  <c r="BR85" i="2"/>
  <c r="BQ85" i="2"/>
  <c r="BP85" i="2"/>
  <c r="BO85" i="2"/>
  <c r="BJ85" i="2"/>
  <c r="BI85" i="2"/>
  <c r="BH85" i="2"/>
  <c r="BG85" i="2"/>
  <c r="BF85" i="2"/>
  <c r="BE85" i="2"/>
  <c r="BD85" i="2"/>
  <c r="BC85" i="2"/>
  <c r="BB85" i="2"/>
  <c r="AX85" i="2"/>
  <c r="AW85" i="2"/>
  <c r="AV85" i="2"/>
  <c r="AS85" i="2"/>
  <c r="AR85" i="2"/>
  <c r="AQ85" i="2"/>
  <c r="AP85" i="2"/>
  <c r="AO85" i="2"/>
  <c r="AN85" i="2"/>
  <c r="AM85" i="2"/>
  <c r="AL85" i="2"/>
  <c r="AH85" i="2"/>
  <c r="AG85" i="2"/>
  <c r="AF85" i="2"/>
  <c r="AE85" i="2"/>
  <c r="AD85" i="2"/>
  <c r="AC85" i="2"/>
  <c r="AA85" i="2"/>
  <c r="Z85" i="2"/>
  <c r="Y85" i="2"/>
  <c r="X85" i="2"/>
  <c r="W85" i="2"/>
  <c r="T85" i="2"/>
  <c r="S85" i="2"/>
  <c r="R85" i="2"/>
  <c r="Q85" i="2"/>
  <c r="P85" i="2"/>
  <c r="O85" i="2"/>
  <c r="K85" i="2"/>
  <c r="J85" i="2"/>
  <c r="I85" i="2"/>
  <c r="H85" i="2"/>
  <c r="G85" i="2"/>
  <c r="F85" i="2"/>
  <c r="E85" i="2"/>
  <c r="BU84" i="2"/>
  <c r="BT84" i="2"/>
  <c r="BS84" i="2"/>
  <c r="BR84" i="2"/>
  <c r="BQ84" i="2"/>
  <c r="BP84" i="2"/>
  <c r="BO84" i="2"/>
  <c r="BJ84" i="2"/>
  <c r="BI84" i="2"/>
  <c r="BH84" i="2"/>
  <c r="BG84" i="2"/>
  <c r="BF84" i="2"/>
  <c r="BE84" i="2"/>
  <c r="BD84" i="2"/>
  <c r="BC84" i="2"/>
  <c r="BB84" i="2"/>
  <c r="AX84" i="2"/>
  <c r="AW84" i="2"/>
  <c r="AV84" i="2"/>
  <c r="AS84" i="2"/>
  <c r="AR84" i="2"/>
  <c r="AQ84" i="2"/>
  <c r="AP84" i="2"/>
  <c r="AO84" i="2"/>
  <c r="AN84" i="2"/>
  <c r="AM84" i="2"/>
  <c r="AL84" i="2"/>
  <c r="AH84" i="2"/>
  <c r="AG84" i="2"/>
  <c r="AF84" i="2"/>
  <c r="AE84" i="2"/>
  <c r="AD84" i="2"/>
  <c r="AC84" i="2"/>
  <c r="AA84" i="2"/>
  <c r="Z84" i="2"/>
  <c r="Y84" i="2"/>
  <c r="X84" i="2"/>
  <c r="W84" i="2"/>
  <c r="T84" i="2"/>
  <c r="S84" i="2"/>
  <c r="R84" i="2"/>
  <c r="Q84" i="2"/>
  <c r="P84" i="2"/>
  <c r="O84" i="2"/>
  <c r="K84" i="2"/>
  <c r="J84" i="2"/>
  <c r="I84" i="2"/>
  <c r="H84" i="2"/>
  <c r="G84" i="2"/>
  <c r="F84" i="2"/>
  <c r="E84" i="2"/>
  <c r="BU83" i="2"/>
  <c r="BT83" i="2"/>
  <c r="BS83" i="2"/>
  <c r="BR83" i="2"/>
  <c r="BQ83" i="2"/>
  <c r="BP83" i="2"/>
  <c r="BO83" i="2"/>
  <c r="BJ83" i="2"/>
  <c r="BI83" i="2"/>
  <c r="BH83" i="2"/>
  <c r="BG83" i="2"/>
  <c r="BF83" i="2"/>
  <c r="BE83" i="2"/>
  <c r="BD83" i="2"/>
  <c r="BC83" i="2"/>
  <c r="BB83" i="2"/>
  <c r="AX83" i="2"/>
  <c r="AW83" i="2"/>
  <c r="AV83" i="2"/>
  <c r="AS83" i="2"/>
  <c r="AR83" i="2"/>
  <c r="AQ83" i="2"/>
  <c r="AP83" i="2"/>
  <c r="AO83" i="2"/>
  <c r="AN83" i="2"/>
  <c r="AM83" i="2"/>
  <c r="AL83" i="2"/>
  <c r="AH83" i="2"/>
  <c r="AG83" i="2"/>
  <c r="AF83" i="2"/>
  <c r="AE83" i="2"/>
  <c r="AD83" i="2"/>
  <c r="AC83" i="2"/>
  <c r="AA83" i="2"/>
  <c r="Z83" i="2"/>
  <c r="Y83" i="2"/>
  <c r="X83" i="2"/>
  <c r="W83" i="2"/>
  <c r="T83" i="2"/>
  <c r="S83" i="2"/>
  <c r="R83" i="2"/>
  <c r="Q83" i="2"/>
  <c r="P83" i="2"/>
  <c r="O83" i="2"/>
  <c r="K83" i="2"/>
  <c r="J83" i="2"/>
  <c r="I83" i="2"/>
  <c r="H83" i="2"/>
  <c r="G83" i="2"/>
  <c r="F83" i="2"/>
  <c r="E83" i="2"/>
  <c r="BU82" i="2"/>
  <c r="BT82" i="2"/>
  <c r="BS82" i="2"/>
  <c r="BR82" i="2"/>
  <c r="BQ82" i="2"/>
  <c r="BP82" i="2"/>
  <c r="BO82" i="2"/>
  <c r="BJ82" i="2"/>
  <c r="BI82" i="2"/>
  <c r="BH82" i="2"/>
  <c r="BG82" i="2"/>
  <c r="BF82" i="2"/>
  <c r="BE82" i="2"/>
  <c r="BD82" i="2"/>
  <c r="BC82" i="2"/>
  <c r="BB82" i="2"/>
  <c r="AX82" i="2"/>
  <c r="AW82" i="2"/>
  <c r="AV82" i="2"/>
  <c r="AS82" i="2"/>
  <c r="AR82" i="2"/>
  <c r="AQ82" i="2"/>
  <c r="AP82" i="2"/>
  <c r="AO82" i="2"/>
  <c r="AN82" i="2"/>
  <c r="AM82" i="2"/>
  <c r="AL82" i="2"/>
  <c r="AH82" i="2"/>
  <c r="AG82" i="2"/>
  <c r="AF82" i="2"/>
  <c r="AE82" i="2"/>
  <c r="AD82" i="2"/>
  <c r="AC82" i="2"/>
  <c r="AA82" i="2"/>
  <c r="Z82" i="2"/>
  <c r="Y82" i="2"/>
  <c r="X82" i="2"/>
  <c r="W82" i="2"/>
  <c r="T82" i="2"/>
  <c r="S82" i="2"/>
  <c r="R82" i="2"/>
  <c r="Q82" i="2"/>
  <c r="P82" i="2"/>
  <c r="O82" i="2"/>
  <c r="K82" i="2"/>
  <c r="J82" i="2"/>
  <c r="I82" i="2"/>
  <c r="H82" i="2"/>
  <c r="G82" i="2"/>
  <c r="F82" i="2"/>
  <c r="E82" i="2"/>
  <c r="BU81" i="2"/>
  <c r="BT81" i="2"/>
  <c r="BS81" i="2"/>
  <c r="BR81" i="2"/>
  <c r="BQ81" i="2"/>
  <c r="BP81" i="2"/>
  <c r="BO81" i="2"/>
  <c r="BJ81" i="2"/>
  <c r="BI81" i="2"/>
  <c r="BH81" i="2"/>
  <c r="BG81" i="2"/>
  <c r="BF81" i="2"/>
  <c r="BE81" i="2"/>
  <c r="BD81" i="2"/>
  <c r="BC81" i="2"/>
  <c r="BB81" i="2"/>
  <c r="AX81" i="2"/>
  <c r="AW81" i="2"/>
  <c r="AV81" i="2"/>
  <c r="AS81" i="2"/>
  <c r="AR81" i="2"/>
  <c r="AQ81" i="2"/>
  <c r="AP81" i="2"/>
  <c r="AO81" i="2"/>
  <c r="AN81" i="2"/>
  <c r="AM81" i="2"/>
  <c r="AL81" i="2"/>
  <c r="AH81" i="2"/>
  <c r="AG81" i="2"/>
  <c r="AF81" i="2"/>
  <c r="AE81" i="2"/>
  <c r="AD81" i="2"/>
  <c r="AC81" i="2"/>
  <c r="AA81" i="2"/>
  <c r="Z81" i="2"/>
  <c r="Y81" i="2"/>
  <c r="X81" i="2"/>
  <c r="W81" i="2"/>
  <c r="T81" i="2"/>
  <c r="S81" i="2"/>
  <c r="R81" i="2"/>
  <c r="Q81" i="2"/>
  <c r="P81" i="2"/>
  <c r="O81" i="2"/>
  <c r="K81" i="2"/>
  <c r="J81" i="2"/>
  <c r="I81" i="2"/>
  <c r="H81" i="2"/>
  <c r="G81" i="2"/>
  <c r="F81" i="2"/>
  <c r="E81" i="2"/>
  <c r="BU80" i="2"/>
  <c r="BT80" i="2"/>
  <c r="BS80" i="2"/>
  <c r="BR80" i="2"/>
  <c r="BQ80" i="2"/>
  <c r="BP80" i="2"/>
  <c r="BO80" i="2"/>
  <c r="BJ80" i="2"/>
  <c r="BI80" i="2"/>
  <c r="BH80" i="2"/>
  <c r="BG80" i="2"/>
  <c r="BF80" i="2"/>
  <c r="BE80" i="2"/>
  <c r="BD80" i="2"/>
  <c r="BC80" i="2"/>
  <c r="BB80" i="2"/>
  <c r="AX80" i="2"/>
  <c r="AW80" i="2"/>
  <c r="AV80" i="2"/>
  <c r="AS80" i="2"/>
  <c r="AR80" i="2"/>
  <c r="AQ80" i="2"/>
  <c r="AP80" i="2"/>
  <c r="AO80" i="2"/>
  <c r="AN80" i="2"/>
  <c r="AM80" i="2"/>
  <c r="AL80" i="2"/>
  <c r="AH80" i="2"/>
  <c r="AG80" i="2"/>
  <c r="AF80" i="2"/>
  <c r="AE80" i="2"/>
  <c r="AD80" i="2"/>
  <c r="AC80" i="2"/>
  <c r="AA80" i="2"/>
  <c r="Z80" i="2"/>
  <c r="Y80" i="2"/>
  <c r="X80" i="2"/>
  <c r="W80" i="2"/>
  <c r="T80" i="2"/>
  <c r="S80" i="2"/>
  <c r="R80" i="2"/>
  <c r="Q80" i="2"/>
  <c r="P80" i="2"/>
  <c r="O80" i="2"/>
  <c r="K80" i="2"/>
  <c r="J80" i="2"/>
  <c r="I80" i="2"/>
  <c r="H80" i="2"/>
  <c r="G80" i="2"/>
  <c r="F80" i="2"/>
  <c r="E80" i="2"/>
  <c r="BU79" i="2"/>
  <c r="BT79" i="2"/>
  <c r="BS79" i="2"/>
  <c r="BR79" i="2"/>
  <c r="BQ79" i="2"/>
  <c r="BP79" i="2"/>
  <c r="BO79" i="2"/>
  <c r="BJ79" i="2"/>
  <c r="BI79" i="2"/>
  <c r="BH79" i="2"/>
  <c r="BG79" i="2"/>
  <c r="BF79" i="2"/>
  <c r="BE79" i="2"/>
  <c r="BD79" i="2"/>
  <c r="BC79" i="2"/>
  <c r="BB79" i="2"/>
  <c r="AX79" i="2"/>
  <c r="AW79" i="2"/>
  <c r="AV79" i="2"/>
  <c r="AS79" i="2"/>
  <c r="AR79" i="2"/>
  <c r="AQ79" i="2"/>
  <c r="AP79" i="2"/>
  <c r="AO79" i="2"/>
  <c r="AN79" i="2"/>
  <c r="AM79" i="2"/>
  <c r="AL79" i="2"/>
  <c r="AH79" i="2"/>
  <c r="AG79" i="2"/>
  <c r="AF79" i="2"/>
  <c r="AE79" i="2"/>
  <c r="AD79" i="2"/>
  <c r="AC79" i="2"/>
  <c r="AA79" i="2"/>
  <c r="Z79" i="2"/>
  <c r="Y79" i="2"/>
  <c r="X79" i="2"/>
  <c r="W79" i="2"/>
  <c r="T79" i="2"/>
  <c r="S79" i="2"/>
  <c r="R79" i="2"/>
  <c r="Q79" i="2"/>
  <c r="P79" i="2"/>
  <c r="O79" i="2"/>
  <c r="K79" i="2"/>
  <c r="J79" i="2"/>
  <c r="I79" i="2"/>
  <c r="H79" i="2"/>
  <c r="G79" i="2"/>
  <c r="F79" i="2"/>
  <c r="E79" i="2"/>
  <c r="BU78" i="2"/>
  <c r="BT78" i="2"/>
  <c r="BS78" i="2"/>
  <c r="BR78" i="2"/>
  <c r="BQ78" i="2"/>
  <c r="BP78" i="2"/>
  <c r="BO78" i="2"/>
  <c r="BJ78" i="2"/>
  <c r="BI78" i="2"/>
  <c r="BH78" i="2"/>
  <c r="BG78" i="2"/>
  <c r="BF78" i="2"/>
  <c r="BE78" i="2"/>
  <c r="BD78" i="2"/>
  <c r="BC78" i="2"/>
  <c r="BB78" i="2"/>
  <c r="AX78" i="2"/>
  <c r="AW78" i="2"/>
  <c r="AV78" i="2"/>
  <c r="AS78" i="2"/>
  <c r="AR78" i="2"/>
  <c r="AQ78" i="2"/>
  <c r="AP78" i="2"/>
  <c r="AO78" i="2"/>
  <c r="AN78" i="2"/>
  <c r="AM78" i="2"/>
  <c r="AL78" i="2"/>
  <c r="AH78" i="2"/>
  <c r="AG78" i="2"/>
  <c r="AF78" i="2"/>
  <c r="AE78" i="2"/>
  <c r="AD78" i="2"/>
  <c r="AC78" i="2"/>
  <c r="AA78" i="2"/>
  <c r="Z78" i="2"/>
  <c r="Y78" i="2"/>
  <c r="X78" i="2"/>
  <c r="W78" i="2"/>
  <c r="T78" i="2"/>
  <c r="S78" i="2"/>
  <c r="R78" i="2"/>
  <c r="Q78" i="2"/>
  <c r="P78" i="2"/>
  <c r="O78" i="2"/>
  <c r="K78" i="2"/>
  <c r="J78" i="2"/>
  <c r="I78" i="2"/>
  <c r="H78" i="2"/>
  <c r="G78" i="2"/>
  <c r="F78" i="2"/>
  <c r="E78" i="2"/>
  <c r="BU77" i="2"/>
  <c r="BT77" i="2"/>
  <c r="BS77" i="2"/>
  <c r="BR77" i="2"/>
  <c r="BQ77" i="2"/>
  <c r="BP77" i="2"/>
  <c r="BO77" i="2"/>
  <c r="BJ77" i="2"/>
  <c r="BI77" i="2"/>
  <c r="BH77" i="2"/>
  <c r="BG77" i="2"/>
  <c r="BF77" i="2"/>
  <c r="BE77" i="2"/>
  <c r="BD77" i="2"/>
  <c r="BC77" i="2"/>
  <c r="BB77" i="2"/>
  <c r="AX77" i="2"/>
  <c r="AW77" i="2"/>
  <c r="AV77" i="2"/>
  <c r="AS77" i="2"/>
  <c r="AR77" i="2"/>
  <c r="AQ77" i="2"/>
  <c r="AP77" i="2"/>
  <c r="AO77" i="2"/>
  <c r="AN77" i="2"/>
  <c r="AM77" i="2"/>
  <c r="AL77" i="2"/>
  <c r="AH77" i="2"/>
  <c r="AG77" i="2"/>
  <c r="AF77" i="2"/>
  <c r="AE77" i="2"/>
  <c r="AD77" i="2"/>
  <c r="AC77" i="2"/>
  <c r="AA77" i="2"/>
  <c r="Z77" i="2"/>
  <c r="Y77" i="2"/>
  <c r="X77" i="2"/>
  <c r="W77" i="2"/>
  <c r="T77" i="2"/>
  <c r="S77" i="2"/>
  <c r="R77" i="2"/>
  <c r="Q77" i="2"/>
  <c r="P77" i="2"/>
  <c r="O77" i="2"/>
  <c r="K77" i="2"/>
  <c r="J77" i="2"/>
  <c r="I77" i="2"/>
  <c r="H77" i="2"/>
  <c r="G77" i="2"/>
  <c r="F77" i="2"/>
  <c r="E77" i="2"/>
  <c r="BU76" i="2"/>
  <c r="BT76" i="2"/>
  <c r="BS76" i="2"/>
  <c r="BR76" i="2"/>
  <c r="BQ76" i="2"/>
  <c r="BP76" i="2"/>
  <c r="BO76" i="2"/>
  <c r="BJ76" i="2"/>
  <c r="BI76" i="2"/>
  <c r="BH76" i="2"/>
  <c r="BG76" i="2"/>
  <c r="BF76" i="2"/>
  <c r="BE76" i="2"/>
  <c r="BD76" i="2"/>
  <c r="BC76" i="2"/>
  <c r="BB76" i="2"/>
  <c r="AX76" i="2"/>
  <c r="AW76" i="2"/>
  <c r="AV76" i="2"/>
  <c r="AS76" i="2"/>
  <c r="AR76" i="2"/>
  <c r="AQ76" i="2"/>
  <c r="AP76" i="2"/>
  <c r="AO76" i="2"/>
  <c r="AN76" i="2"/>
  <c r="AM76" i="2"/>
  <c r="AL76" i="2"/>
  <c r="AH76" i="2"/>
  <c r="AG76" i="2"/>
  <c r="AF76" i="2"/>
  <c r="AE76" i="2"/>
  <c r="AD76" i="2"/>
  <c r="AC76" i="2"/>
  <c r="AA76" i="2"/>
  <c r="Z76" i="2"/>
  <c r="Y76" i="2"/>
  <c r="X76" i="2"/>
  <c r="W76" i="2"/>
  <c r="T76" i="2"/>
  <c r="S76" i="2"/>
  <c r="R76" i="2"/>
  <c r="Q76" i="2"/>
  <c r="P76" i="2"/>
  <c r="O76" i="2"/>
  <c r="K76" i="2"/>
  <c r="J76" i="2"/>
  <c r="I76" i="2"/>
  <c r="H76" i="2"/>
  <c r="G76" i="2"/>
  <c r="F76" i="2"/>
  <c r="E76" i="2"/>
  <c r="BU75" i="2"/>
  <c r="BT75" i="2"/>
  <c r="BS75" i="2"/>
  <c r="BR75" i="2"/>
  <c r="BQ75" i="2"/>
  <c r="BP75" i="2"/>
  <c r="BO75" i="2"/>
  <c r="BJ75" i="2"/>
  <c r="BI75" i="2"/>
  <c r="BH75" i="2"/>
  <c r="BG75" i="2"/>
  <c r="BF75" i="2"/>
  <c r="BE75" i="2"/>
  <c r="BD75" i="2"/>
  <c r="BC75" i="2"/>
  <c r="BB75" i="2"/>
  <c r="AX75" i="2"/>
  <c r="AW75" i="2"/>
  <c r="AV75" i="2"/>
  <c r="AS75" i="2"/>
  <c r="AR75" i="2"/>
  <c r="AQ75" i="2"/>
  <c r="AP75" i="2"/>
  <c r="AO75" i="2"/>
  <c r="AN75" i="2"/>
  <c r="AM75" i="2"/>
  <c r="AL75" i="2"/>
  <c r="AH75" i="2"/>
  <c r="AG75" i="2"/>
  <c r="AF75" i="2"/>
  <c r="AE75" i="2"/>
  <c r="AD75" i="2"/>
  <c r="AC75" i="2"/>
  <c r="AA75" i="2"/>
  <c r="Z75" i="2"/>
  <c r="Y75" i="2"/>
  <c r="X75" i="2"/>
  <c r="W75" i="2"/>
  <c r="T75" i="2"/>
  <c r="S75" i="2"/>
  <c r="R75" i="2"/>
  <c r="Q75" i="2"/>
  <c r="P75" i="2"/>
  <c r="O75" i="2"/>
  <c r="K75" i="2"/>
  <c r="J75" i="2"/>
  <c r="I75" i="2"/>
  <c r="H75" i="2"/>
  <c r="G75" i="2"/>
  <c r="F75" i="2"/>
  <c r="E75" i="2"/>
  <c r="BU74" i="2"/>
  <c r="BT74" i="2"/>
  <c r="BS74" i="2"/>
  <c r="BR74" i="2"/>
  <c r="BQ74" i="2"/>
  <c r="BP74" i="2"/>
  <c r="BO74" i="2"/>
  <c r="BJ74" i="2"/>
  <c r="BI74" i="2"/>
  <c r="BH74" i="2"/>
  <c r="BG74" i="2"/>
  <c r="BF74" i="2"/>
  <c r="BE74" i="2"/>
  <c r="BD74" i="2"/>
  <c r="BC74" i="2"/>
  <c r="BB74" i="2"/>
  <c r="AX74" i="2"/>
  <c r="AW74" i="2"/>
  <c r="AV74" i="2"/>
  <c r="AS74" i="2"/>
  <c r="AR74" i="2"/>
  <c r="AQ74" i="2"/>
  <c r="AP74" i="2"/>
  <c r="AO74" i="2"/>
  <c r="AN74" i="2"/>
  <c r="AM74" i="2"/>
  <c r="AL74" i="2"/>
  <c r="AH74" i="2"/>
  <c r="AG74" i="2"/>
  <c r="AF74" i="2"/>
  <c r="AE74" i="2"/>
  <c r="AD74" i="2"/>
  <c r="AC74" i="2"/>
  <c r="AA74" i="2"/>
  <c r="Z74" i="2"/>
  <c r="Y74" i="2"/>
  <c r="X74" i="2"/>
  <c r="W74" i="2"/>
  <c r="T74" i="2"/>
  <c r="S74" i="2"/>
  <c r="R74" i="2"/>
  <c r="Q74" i="2"/>
  <c r="P74" i="2"/>
  <c r="O74" i="2"/>
  <c r="K74" i="2"/>
  <c r="J74" i="2"/>
  <c r="I74" i="2"/>
  <c r="H74" i="2"/>
  <c r="G74" i="2"/>
  <c r="F74" i="2"/>
  <c r="E74" i="2"/>
  <c r="BU73" i="2"/>
  <c r="BT73" i="2"/>
  <c r="BS73" i="2"/>
  <c r="BR73" i="2"/>
  <c r="BQ73" i="2"/>
  <c r="BP73" i="2"/>
  <c r="BO73" i="2"/>
  <c r="BJ73" i="2"/>
  <c r="BI73" i="2"/>
  <c r="BH73" i="2"/>
  <c r="BG73" i="2"/>
  <c r="BF73" i="2"/>
  <c r="BE73" i="2"/>
  <c r="BD73" i="2"/>
  <c r="BC73" i="2"/>
  <c r="BB73" i="2"/>
  <c r="AX73" i="2"/>
  <c r="AW73" i="2"/>
  <c r="AV73" i="2"/>
  <c r="AS73" i="2"/>
  <c r="AR73" i="2"/>
  <c r="AQ73" i="2"/>
  <c r="AP73" i="2"/>
  <c r="AO73" i="2"/>
  <c r="AN73" i="2"/>
  <c r="AM73" i="2"/>
  <c r="AL73" i="2"/>
  <c r="AH73" i="2"/>
  <c r="AG73" i="2"/>
  <c r="AF73" i="2"/>
  <c r="AE73" i="2"/>
  <c r="AD73" i="2"/>
  <c r="AC73" i="2"/>
  <c r="AA73" i="2"/>
  <c r="Z73" i="2"/>
  <c r="Y73" i="2"/>
  <c r="X73" i="2"/>
  <c r="W73" i="2"/>
  <c r="T73" i="2"/>
  <c r="S73" i="2"/>
  <c r="R73" i="2"/>
  <c r="Q73" i="2"/>
  <c r="P73" i="2"/>
  <c r="O73" i="2"/>
  <c r="K73" i="2"/>
  <c r="J73" i="2"/>
  <c r="I73" i="2"/>
  <c r="H73" i="2"/>
  <c r="G73" i="2"/>
  <c r="F73" i="2"/>
  <c r="E73" i="2"/>
  <c r="BU72" i="2"/>
  <c r="BT72" i="2"/>
  <c r="BS72" i="2"/>
  <c r="BR72" i="2"/>
  <c r="BQ72" i="2"/>
  <c r="BP72" i="2"/>
  <c r="BO72" i="2"/>
  <c r="BJ72" i="2"/>
  <c r="BI72" i="2"/>
  <c r="BH72" i="2"/>
  <c r="BG72" i="2"/>
  <c r="BF72" i="2"/>
  <c r="BE72" i="2"/>
  <c r="BD72" i="2"/>
  <c r="BC72" i="2"/>
  <c r="BB72" i="2"/>
  <c r="AX72" i="2"/>
  <c r="AW72" i="2"/>
  <c r="AV72" i="2"/>
  <c r="AS72" i="2"/>
  <c r="AR72" i="2"/>
  <c r="AQ72" i="2"/>
  <c r="AP72" i="2"/>
  <c r="AO72" i="2"/>
  <c r="AN72" i="2"/>
  <c r="AM72" i="2"/>
  <c r="AL72" i="2"/>
  <c r="AH72" i="2"/>
  <c r="AG72" i="2"/>
  <c r="AF72" i="2"/>
  <c r="AE72" i="2"/>
  <c r="AD72" i="2"/>
  <c r="AC72" i="2"/>
  <c r="AA72" i="2"/>
  <c r="Z72" i="2"/>
  <c r="Y72" i="2"/>
  <c r="X72" i="2"/>
  <c r="W72" i="2"/>
  <c r="T72" i="2"/>
  <c r="S72" i="2"/>
  <c r="R72" i="2"/>
  <c r="Q72" i="2"/>
  <c r="P72" i="2"/>
  <c r="O72" i="2"/>
  <c r="K72" i="2"/>
  <c r="J72" i="2"/>
  <c r="I72" i="2"/>
  <c r="H72" i="2"/>
  <c r="G72" i="2"/>
  <c r="F72" i="2"/>
  <c r="E72" i="2"/>
  <c r="BU71" i="2"/>
  <c r="BT71" i="2"/>
  <c r="BS71" i="2"/>
  <c r="BR71" i="2"/>
  <c r="BQ71" i="2"/>
  <c r="BP71" i="2"/>
  <c r="BO71" i="2"/>
  <c r="BJ71" i="2"/>
  <c r="BI71" i="2"/>
  <c r="BH71" i="2"/>
  <c r="BG71" i="2"/>
  <c r="BF71" i="2"/>
  <c r="BE71" i="2"/>
  <c r="BD71" i="2"/>
  <c r="BC71" i="2"/>
  <c r="BB71" i="2"/>
  <c r="AX71" i="2"/>
  <c r="AW71" i="2"/>
  <c r="AV71" i="2"/>
  <c r="AS71" i="2"/>
  <c r="AR71" i="2"/>
  <c r="AQ71" i="2"/>
  <c r="AP71" i="2"/>
  <c r="AO71" i="2"/>
  <c r="AN71" i="2"/>
  <c r="AM71" i="2"/>
  <c r="AL71" i="2"/>
  <c r="AH71" i="2"/>
  <c r="AG71" i="2"/>
  <c r="AF71" i="2"/>
  <c r="AE71" i="2"/>
  <c r="AD71" i="2"/>
  <c r="AC71" i="2"/>
  <c r="AA71" i="2"/>
  <c r="Z71" i="2"/>
  <c r="Y71" i="2"/>
  <c r="X71" i="2"/>
  <c r="W71" i="2"/>
  <c r="T71" i="2"/>
  <c r="S71" i="2"/>
  <c r="R71" i="2"/>
  <c r="Q71" i="2"/>
  <c r="P71" i="2"/>
  <c r="O71" i="2"/>
  <c r="K71" i="2"/>
  <c r="J71" i="2"/>
  <c r="I71" i="2"/>
  <c r="H71" i="2"/>
  <c r="G71" i="2"/>
  <c r="F71" i="2"/>
  <c r="E71" i="2"/>
  <c r="BU70" i="2"/>
  <c r="BT70" i="2"/>
  <c r="BS70" i="2"/>
  <c r="BR70" i="2"/>
  <c r="BQ70" i="2"/>
  <c r="BP70" i="2"/>
  <c r="BO70" i="2"/>
  <c r="BJ70" i="2"/>
  <c r="BI70" i="2"/>
  <c r="BH70" i="2"/>
  <c r="BG70" i="2"/>
  <c r="BF70" i="2"/>
  <c r="BE70" i="2"/>
  <c r="BD70" i="2"/>
  <c r="BC70" i="2"/>
  <c r="BB70" i="2"/>
  <c r="AX70" i="2"/>
  <c r="AW70" i="2"/>
  <c r="AV70" i="2"/>
  <c r="AS70" i="2"/>
  <c r="AR70" i="2"/>
  <c r="AQ70" i="2"/>
  <c r="AP70" i="2"/>
  <c r="AO70" i="2"/>
  <c r="AN70" i="2"/>
  <c r="AM70" i="2"/>
  <c r="AL70" i="2"/>
  <c r="AH70" i="2"/>
  <c r="AG70" i="2"/>
  <c r="AF70" i="2"/>
  <c r="AE70" i="2"/>
  <c r="AD70" i="2"/>
  <c r="AC70" i="2"/>
  <c r="AA70" i="2"/>
  <c r="Z70" i="2"/>
  <c r="Y70" i="2"/>
  <c r="X70" i="2"/>
  <c r="W70" i="2"/>
  <c r="T70" i="2"/>
  <c r="S70" i="2"/>
  <c r="R70" i="2"/>
  <c r="Q70" i="2"/>
  <c r="P70" i="2"/>
  <c r="O70" i="2"/>
  <c r="K70" i="2"/>
  <c r="J70" i="2"/>
  <c r="I70" i="2"/>
  <c r="H70" i="2"/>
  <c r="G70" i="2"/>
  <c r="F70" i="2"/>
  <c r="E70" i="2"/>
  <c r="BU69" i="2"/>
  <c r="BT69" i="2"/>
  <c r="BS69" i="2"/>
  <c r="BR69" i="2"/>
  <c r="BQ69" i="2"/>
  <c r="BP69" i="2"/>
  <c r="BO69" i="2"/>
  <c r="BJ69" i="2"/>
  <c r="BI69" i="2"/>
  <c r="BH69" i="2"/>
  <c r="BG69" i="2"/>
  <c r="BF69" i="2"/>
  <c r="BE69" i="2"/>
  <c r="BD69" i="2"/>
  <c r="BC69" i="2"/>
  <c r="BB69" i="2"/>
  <c r="AX69" i="2"/>
  <c r="AW69" i="2"/>
  <c r="AV69" i="2"/>
  <c r="AS69" i="2"/>
  <c r="AR69" i="2"/>
  <c r="AQ69" i="2"/>
  <c r="AP69" i="2"/>
  <c r="AO69" i="2"/>
  <c r="AN69" i="2"/>
  <c r="AM69" i="2"/>
  <c r="AL69" i="2"/>
  <c r="AH69" i="2"/>
  <c r="AG69" i="2"/>
  <c r="AF69" i="2"/>
  <c r="AE69" i="2"/>
  <c r="AD69" i="2"/>
  <c r="AC69" i="2"/>
  <c r="AA69" i="2"/>
  <c r="Z69" i="2"/>
  <c r="Y69" i="2"/>
  <c r="X69" i="2"/>
  <c r="W69" i="2"/>
  <c r="T69" i="2"/>
  <c r="S69" i="2"/>
  <c r="R69" i="2"/>
  <c r="Q69" i="2"/>
  <c r="P69" i="2"/>
  <c r="O69" i="2"/>
  <c r="K69" i="2"/>
  <c r="J69" i="2"/>
  <c r="I69" i="2"/>
  <c r="H69" i="2"/>
  <c r="G69" i="2"/>
  <c r="F69" i="2"/>
  <c r="E69" i="2"/>
  <c r="BU68" i="2"/>
  <c r="BT68" i="2"/>
  <c r="BS68" i="2"/>
  <c r="BR68" i="2"/>
  <c r="BQ68" i="2"/>
  <c r="BP68" i="2"/>
  <c r="BO68" i="2"/>
  <c r="BJ68" i="2"/>
  <c r="BI68" i="2"/>
  <c r="BH68" i="2"/>
  <c r="BG68" i="2"/>
  <c r="BF68" i="2"/>
  <c r="BE68" i="2"/>
  <c r="BD68" i="2"/>
  <c r="BC68" i="2"/>
  <c r="BB68" i="2"/>
  <c r="AX68" i="2"/>
  <c r="AW68" i="2"/>
  <c r="AV68" i="2"/>
  <c r="AS68" i="2"/>
  <c r="AR68" i="2"/>
  <c r="AQ68" i="2"/>
  <c r="AP68" i="2"/>
  <c r="AO68" i="2"/>
  <c r="AN68" i="2"/>
  <c r="AM68" i="2"/>
  <c r="AL68" i="2"/>
  <c r="AH68" i="2"/>
  <c r="AG68" i="2"/>
  <c r="AF68" i="2"/>
  <c r="AE68" i="2"/>
  <c r="AD68" i="2"/>
  <c r="AC68" i="2"/>
  <c r="AA68" i="2"/>
  <c r="Z68" i="2"/>
  <c r="Y68" i="2"/>
  <c r="X68" i="2"/>
  <c r="W68" i="2"/>
  <c r="T68" i="2"/>
  <c r="S68" i="2"/>
  <c r="R68" i="2"/>
  <c r="Q68" i="2"/>
  <c r="P68" i="2"/>
  <c r="O68" i="2"/>
  <c r="K68" i="2"/>
  <c r="J68" i="2"/>
  <c r="I68" i="2"/>
  <c r="H68" i="2"/>
  <c r="G68" i="2"/>
  <c r="F68" i="2"/>
  <c r="E68" i="2"/>
  <c r="BU67" i="2"/>
  <c r="BT67" i="2"/>
  <c r="BS67" i="2"/>
  <c r="BR67" i="2"/>
  <c r="BQ67" i="2"/>
  <c r="BP67" i="2"/>
  <c r="BO67" i="2"/>
  <c r="BJ67" i="2"/>
  <c r="BI67" i="2"/>
  <c r="BH67" i="2"/>
  <c r="BG67" i="2"/>
  <c r="BF67" i="2"/>
  <c r="BE67" i="2"/>
  <c r="BD67" i="2"/>
  <c r="BC67" i="2"/>
  <c r="BB67" i="2"/>
  <c r="AX67" i="2"/>
  <c r="AW67" i="2"/>
  <c r="AV67" i="2"/>
  <c r="AS67" i="2"/>
  <c r="AR67" i="2"/>
  <c r="AQ67" i="2"/>
  <c r="AP67" i="2"/>
  <c r="AO67" i="2"/>
  <c r="AN67" i="2"/>
  <c r="AM67" i="2"/>
  <c r="AL67" i="2"/>
  <c r="AH67" i="2"/>
  <c r="AG67" i="2"/>
  <c r="AF67" i="2"/>
  <c r="AE67" i="2"/>
  <c r="AD67" i="2"/>
  <c r="AC67" i="2"/>
  <c r="AA67" i="2"/>
  <c r="Z67" i="2"/>
  <c r="Y67" i="2"/>
  <c r="X67" i="2"/>
  <c r="W67" i="2"/>
  <c r="T67" i="2"/>
  <c r="S67" i="2"/>
  <c r="R67" i="2"/>
  <c r="Q67" i="2"/>
  <c r="P67" i="2"/>
  <c r="O67" i="2"/>
  <c r="K67" i="2"/>
  <c r="J67" i="2"/>
  <c r="I67" i="2"/>
  <c r="H67" i="2"/>
  <c r="G67" i="2"/>
  <c r="F67" i="2"/>
  <c r="E67" i="2"/>
  <c r="BU66" i="2"/>
  <c r="BT66" i="2"/>
  <c r="BS66" i="2"/>
  <c r="BR66" i="2"/>
  <c r="BQ66" i="2"/>
  <c r="BP66" i="2"/>
  <c r="BO66" i="2"/>
  <c r="BJ66" i="2"/>
  <c r="BI66" i="2"/>
  <c r="BH66" i="2"/>
  <c r="BG66" i="2"/>
  <c r="BF66" i="2"/>
  <c r="BE66" i="2"/>
  <c r="BD66" i="2"/>
  <c r="BC66" i="2"/>
  <c r="BB66" i="2"/>
  <c r="AX66" i="2"/>
  <c r="AW66" i="2"/>
  <c r="AV66" i="2"/>
  <c r="AS66" i="2"/>
  <c r="AR66" i="2"/>
  <c r="AQ66" i="2"/>
  <c r="AP66" i="2"/>
  <c r="AO66" i="2"/>
  <c r="AN66" i="2"/>
  <c r="AM66" i="2"/>
  <c r="AL66" i="2"/>
  <c r="AH66" i="2"/>
  <c r="AG66" i="2"/>
  <c r="AF66" i="2"/>
  <c r="AE66" i="2"/>
  <c r="AD66" i="2"/>
  <c r="AC66" i="2"/>
  <c r="AA66" i="2"/>
  <c r="Z66" i="2"/>
  <c r="Y66" i="2"/>
  <c r="X66" i="2"/>
  <c r="W66" i="2"/>
  <c r="T66" i="2"/>
  <c r="S66" i="2"/>
  <c r="R66" i="2"/>
  <c r="Q66" i="2"/>
  <c r="P66" i="2"/>
  <c r="O66" i="2"/>
  <c r="K66" i="2"/>
  <c r="J66" i="2"/>
  <c r="I66" i="2"/>
  <c r="H66" i="2"/>
  <c r="G66" i="2"/>
  <c r="F66" i="2"/>
  <c r="E66" i="2"/>
  <c r="BU65" i="2"/>
  <c r="BT65" i="2"/>
  <c r="BS65" i="2"/>
  <c r="BR65" i="2"/>
  <c r="BQ65" i="2"/>
  <c r="BP65" i="2"/>
  <c r="BO65" i="2"/>
  <c r="BJ65" i="2"/>
  <c r="BI65" i="2"/>
  <c r="BH65" i="2"/>
  <c r="BG65" i="2"/>
  <c r="BF65" i="2"/>
  <c r="BE65" i="2"/>
  <c r="BD65" i="2"/>
  <c r="BC65" i="2"/>
  <c r="BB65" i="2"/>
  <c r="AX65" i="2"/>
  <c r="AW65" i="2"/>
  <c r="AV65" i="2"/>
  <c r="AS65" i="2"/>
  <c r="AR65" i="2"/>
  <c r="AQ65" i="2"/>
  <c r="AP65" i="2"/>
  <c r="AO65" i="2"/>
  <c r="AN65" i="2"/>
  <c r="AM65" i="2"/>
  <c r="AL65" i="2"/>
  <c r="AH65" i="2"/>
  <c r="AG65" i="2"/>
  <c r="AF65" i="2"/>
  <c r="AE65" i="2"/>
  <c r="AD65" i="2"/>
  <c r="AC65" i="2"/>
  <c r="AA65" i="2"/>
  <c r="Z65" i="2"/>
  <c r="Y65" i="2"/>
  <c r="X65" i="2"/>
  <c r="W65" i="2"/>
  <c r="T65" i="2"/>
  <c r="S65" i="2"/>
  <c r="R65" i="2"/>
  <c r="Q65" i="2"/>
  <c r="P65" i="2"/>
  <c r="O65" i="2"/>
  <c r="K65" i="2"/>
  <c r="J65" i="2"/>
  <c r="I65" i="2"/>
  <c r="H65" i="2"/>
  <c r="G65" i="2"/>
  <c r="F65" i="2"/>
  <c r="E65" i="2"/>
  <c r="BU64" i="2"/>
  <c r="BT64" i="2"/>
  <c r="BS64" i="2"/>
  <c r="BR64" i="2"/>
  <c r="BQ64" i="2"/>
  <c r="BP64" i="2"/>
  <c r="BO64" i="2"/>
  <c r="BJ64" i="2"/>
  <c r="BI64" i="2"/>
  <c r="BH64" i="2"/>
  <c r="BG64" i="2"/>
  <c r="BF64" i="2"/>
  <c r="BE64" i="2"/>
  <c r="BD64" i="2"/>
  <c r="BC64" i="2"/>
  <c r="BB64" i="2"/>
  <c r="AX64" i="2"/>
  <c r="AW64" i="2"/>
  <c r="AV64" i="2"/>
  <c r="AS64" i="2"/>
  <c r="AR64" i="2"/>
  <c r="AQ64" i="2"/>
  <c r="AP64" i="2"/>
  <c r="AO64" i="2"/>
  <c r="AN64" i="2"/>
  <c r="AM64" i="2"/>
  <c r="AL64" i="2"/>
  <c r="AH64" i="2"/>
  <c r="AG64" i="2"/>
  <c r="AF64" i="2"/>
  <c r="AE64" i="2"/>
  <c r="AD64" i="2"/>
  <c r="AC64" i="2"/>
  <c r="AA64" i="2"/>
  <c r="Z64" i="2"/>
  <c r="Y64" i="2"/>
  <c r="X64" i="2"/>
  <c r="W64" i="2"/>
  <c r="T64" i="2"/>
  <c r="S64" i="2"/>
  <c r="R64" i="2"/>
  <c r="Q64" i="2"/>
  <c r="P64" i="2"/>
  <c r="O64" i="2"/>
  <c r="K64" i="2"/>
  <c r="J64" i="2"/>
  <c r="I64" i="2"/>
  <c r="H64" i="2"/>
  <c r="G64" i="2"/>
  <c r="F64" i="2"/>
  <c r="E64" i="2"/>
  <c r="BU63" i="2"/>
  <c r="BT63" i="2"/>
  <c r="BS63" i="2"/>
  <c r="BR63" i="2"/>
  <c r="BQ63" i="2"/>
  <c r="BP63" i="2"/>
  <c r="BO63" i="2"/>
  <c r="BJ63" i="2"/>
  <c r="BI63" i="2"/>
  <c r="BH63" i="2"/>
  <c r="BG63" i="2"/>
  <c r="BF63" i="2"/>
  <c r="BE63" i="2"/>
  <c r="BD63" i="2"/>
  <c r="BC63" i="2"/>
  <c r="BB63" i="2"/>
  <c r="AX63" i="2"/>
  <c r="AW63" i="2"/>
  <c r="AV63" i="2"/>
  <c r="AS63" i="2"/>
  <c r="AR63" i="2"/>
  <c r="AQ63" i="2"/>
  <c r="AP63" i="2"/>
  <c r="AO63" i="2"/>
  <c r="AN63" i="2"/>
  <c r="AM63" i="2"/>
  <c r="AL63" i="2"/>
  <c r="AH63" i="2"/>
  <c r="AG63" i="2"/>
  <c r="AF63" i="2"/>
  <c r="AE63" i="2"/>
  <c r="AD63" i="2"/>
  <c r="AC63" i="2"/>
  <c r="AA63" i="2"/>
  <c r="Z63" i="2"/>
  <c r="Y63" i="2"/>
  <c r="X63" i="2"/>
  <c r="W63" i="2"/>
  <c r="T63" i="2"/>
  <c r="S63" i="2"/>
  <c r="R63" i="2"/>
  <c r="Q63" i="2"/>
  <c r="P63" i="2"/>
  <c r="O63" i="2"/>
  <c r="K63" i="2"/>
  <c r="J63" i="2"/>
  <c r="I63" i="2"/>
  <c r="H63" i="2"/>
  <c r="G63" i="2"/>
  <c r="F63" i="2"/>
  <c r="E63" i="2"/>
  <c r="BU62" i="2"/>
  <c r="BT62" i="2"/>
  <c r="BS62" i="2"/>
  <c r="BR62" i="2"/>
  <c r="BQ62" i="2"/>
  <c r="BP62" i="2"/>
  <c r="BO62" i="2"/>
  <c r="BJ62" i="2"/>
  <c r="BI62" i="2"/>
  <c r="BH62" i="2"/>
  <c r="BG62" i="2"/>
  <c r="BF62" i="2"/>
  <c r="BE62" i="2"/>
  <c r="BD62" i="2"/>
  <c r="BC62" i="2"/>
  <c r="BB62" i="2"/>
  <c r="AX62" i="2"/>
  <c r="AW62" i="2"/>
  <c r="AV62" i="2"/>
  <c r="AS62" i="2"/>
  <c r="AR62" i="2"/>
  <c r="AQ62" i="2"/>
  <c r="AP62" i="2"/>
  <c r="AO62" i="2"/>
  <c r="AN62" i="2"/>
  <c r="AM62" i="2"/>
  <c r="AL62" i="2"/>
  <c r="AH62" i="2"/>
  <c r="AG62" i="2"/>
  <c r="AF62" i="2"/>
  <c r="AE62" i="2"/>
  <c r="AD62" i="2"/>
  <c r="AC62" i="2"/>
  <c r="AA62" i="2"/>
  <c r="Z62" i="2"/>
  <c r="Y62" i="2"/>
  <c r="X62" i="2"/>
  <c r="W62" i="2"/>
  <c r="T62" i="2"/>
  <c r="S62" i="2"/>
  <c r="R62" i="2"/>
  <c r="Q62" i="2"/>
  <c r="P62" i="2"/>
  <c r="O62" i="2"/>
  <c r="K62" i="2"/>
  <c r="J62" i="2"/>
  <c r="I62" i="2"/>
  <c r="H62" i="2"/>
  <c r="G62" i="2"/>
  <c r="F62" i="2"/>
  <c r="E62" i="2"/>
  <c r="BU61" i="2"/>
  <c r="BT61" i="2"/>
  <c r="BS61" i="2"/>
  <c r="BR61" i="2"/>
  <c r="BQ61" i="2"/>
  <c r="BP61" i="2"/>
  <c r="BO61" i="2"/>
  <c r="BJ61" i="2"/>
  <c r="BI61" i="2"/>
  <c r="BH61" i="2"/>
  <c r="BG61" i="2"/>
  <c r="BF61" i="2"/>
  <c r="BE61" i="2"/>
  <c r="BD61" i="2"/>
  <c r="BC61" i="2"/>
  <c r="BB61" i="2"/>
  <c r="AX61" i="2"/>
  <c r="AW61" i="2"/>
  <c r="AV61" i="2"/>
  <c r="AS61" i="2"/>
  <c r="AR61" i="2"/>
  <c r="AQ61" i="2"/>
  <c r="AP61" i="2"/>
  <c r="AO61" i="2"/>
  <c r="AN61" i="2"/>
  <c r="AM61" i="2"/>
  <c r="AL61" i="2"/>
  <c r="AH61" i="2"/>
  <c r="AG61" i="2"/>
  <c r="AF61" i="2"/>
  <c r="AE61" i="2"/>
  <c r="AD61" i="2"/>
  <c r="AC61" i="2"/>
  <c r="AA61" i="2"/>
  <c r="Z61" i="2"/>
  <c r="Y61" i="2"/>
  <c r="X61" i="2"/>
  <c r="W61" i="2"/>
  <c r="T61" i="2"/>
  <c r="S61" i="2"/>
  <c r="R61" i="2"/>
  <c r="Q61" i="2"/>
  <c r="P61" i="2"/>
  <c r="O61" i="2"/>
  <c r="K61" i="2"/>
  <c r="J61" i="2"/>
  <c r="I61" i="2"/>
  <c r="H61" i="2"/>
  <c r="G61" i="2"/>
  <c r="F61" i="2"/>
  <c r="E61" i="2"/>
  <c r="BU60" i="2"/>
  <c r="BT60" i="2"/>
  <c r="BS60" i="2"/>
  <c r="BR60" i="2"/>
  <c r="BQ60" i="2"/>
  <c r="BP60" i="2"/>
  <c r="BO60" i="2"/>
  <c r="BJ60" i="2"/>
  <c r="BI60" i="2"/>
  <c r="BH60" i="2"/>
  <c r="BG60" i="2"/>
  <c r="BF60" i="2"/>
  <c r="BE60" i="2"/>
  <c r="BD60" i="2"/>
  <c r="BC60" i="2"/>
  <c r="BB60" i="2"/>
  <c r="AX60" i="2"/>
  <c r="AW60" i="2"/>
  <c r="AV60" i="2"/>
  <c r="AS60" i="2"/>
  <c r="AR60" i="2"/>
  <c r="AQ60" i="2"/>
  <c r="AP60" i="2"/>
  <c r="AO60" i="2"/>
  <c r="AN60" i="2"/>
  <c r="AM60" i="2"/>
  <c r="AL60" i="2"/>
  <c r="AH60" i="2"/>
  <c r="AG60" i="2"/>
  <c r="AF60" i="2"/>
  <c r="AE60" i="2"/>
  <c r="AD60" i="2"/>
  <c r="AC60" i="2"/>
  <c r="AA60" i="2"/>
  <c r="Z60" i="2"/>
  <c r="Y60" i="2"/>
  <c r="X60" i="2"/>
  <c r="W60" i="2"/>
  <c r="T60" i="2"/>
  <c r="S60" i="2"/>
  <c r="R60" i="2"/>
  <c r="Q60" i="2"/>
  <c r="P60" i="2"/>
  <c r="O60" i="2"/>
  <c r="K60" i="2"/>
  <c r="J60" i="2"/>
  <c r="I60" i="2"/>
  <c r="H60" i="2"/>
  <c r="G60" i="2"/>
  <c r="F60" i="2"/>
  <c r="E60" i="2"/>
  <c r="BU59" i="2"/>
  <c r="BT59" i="2"/>
  <c r="BS59" i="2"/>
  <c r="BR59" i="2"/>
  <c r="BQ59" i="2"/>
  <c r="BP59" i="2"/>
  <c r="BO59" i="2"/>
  <c r="BJ59" i="2"/>
  <c r="BI59" i="2"/>
  <c r="BH59" i="2"/>
  <c r="BG59" i="2"/>
  <c r="BF59" i="2"/>
  <c r="BE59" i="2"/>
  <c r="BD59" i="2"/>
  <c r="BC59" i="2"/>
  <c r="BB59" i="2"/>
  <c r="AX59" i="2"/>
  <c r="AW59" i="2"/>
  <c r="AV59" i="2"/>
  <c r="AS59" i="2"/>
  <c r="AR59" i="2"/>
  <c r="AQ59" i="2"/>
  <c r="AP59" i="2"/>
  <c r="AO59" i="2"/>
  <c r="AN59" i="2"/>
  <c r="AM59" i="2"/>
  <c r="AL59" i="2"/>
  <c r="AH59" i="2"/>
  <c r="AG59" i="2"/>
  <c r="AF59" i="2"/>
  <c r="AE59" i="2"/>
  <c r="AD59" i="2"/>
  <c r="AC59" i="2"/>
  <c r="AA59" i="2"/>
  <c r="Z59" i="2"/>
  <c r="Y59" i="2"/>
  <c r="X59" i="2"/>
  <c r="W59" i="2"/>
  <c r="T59" i="2"/>
  <c r="S59" i="2"/>
  <c r="R59" i="2"/>
  <c r="Q59" i="2"/>
  <c r="P59" i="2"/>
  <c r="O59" i="2"/>
  <c r="K59" i="2"/>
  <c r="J59" i="2"/>
  <c r="I59" i="2"/>
  <c r="H59" i="2"/>
  <c r="G59" i="2"/>
  <c r="F59" i="2"/>
  <c r="E59" i="2"/>
  <c r="BU58" i="2"/>
  <c r="BT58" i="2"/>
  <c r="BS58" i="2"/>
  <c r="BR58" i="2"/>
  <c r="BQ58" i="2"/>
  <c r="BP58" i="2"/>
  <c r="BO58" i="2"/>
  <c r="BJ58" i="2"/>
  <c r="BI58" i="2"/>
  <c r="BH58" i="2"/>
  <c r="BG58" i="2"/>
  <c r="BF58" i="2"/>
  <c r="BE58" i="2"/>
  <c r="BD58" i="2"/>
  <c r="BC58" i="2"/>
  <c r="BB58" i="2"/>
  <c r="AX58" i="2"/>
  <c r="AW58" i="2"/>
  <c r="AV58" i="2"/>
  <c r="AS58" i="2"/>
  <c r="AR58" i="2"/>
  <c r="AQ58" i="2"/>
  <c r="AP58" i="2"/>
  <c r="AO58" i="2"/>
  <c r="AN58" i="2"/>
  <c r="AM58" i="2"/>
  <c r="AL58" i="2"/>
  <c r="AH58" i="2"/>
  <c r="AG58" i="2"/>
  <c r="AF58" i="2"/>
  <c r="AE58" i="2"/>
  <c r="AD58" i="2"/>
  <c r="AC58" i="2"/>
  <c r="AA58" i="2"/>
  <c r="Z58" i="2"/>
  <c r="Y58" i="2"/>
  <c r="X58" i="2"/>
  <c r="W58" i="2"/>
  <c r="T58" i="2"/>
  <c r="S58" i="2"/>
  <c r="R58" i="2"/>
  <c r="Q58" i="2"/>
  <c r="P58" i="2"/>
  <c r="O58" i="2"/>
  <c r="K58" i="2"/>
  <c r="J58" i="2"/>
  <c r="I58" i="2"/>
  <c r="H58" i="2"/>
  <c r="G58" i="2"/>
  <c r="F58" i="2"/>
  <c r="E58" i="2"/>
  <c r="BU57" i="2"/>
  <c r="BT57" i="2"/>
  <c r="BS57" i="2"/>
  <c r="BR57" i="2"/>
  <c r="BQ57" i="2"/>
  <c r="BP57" i="2"/>
  <c r="BO57" i="2"/>
  <c r="BJ57" i="2"/>
  <c r="BI57" i="2"/>
  <c r="BH57" i="2"/>
  <c r="BG57" i="2"/>
  <c r="BF57" i="2"/>
  <c r="BE57" i="2"/>
  <c r="BD57" i="2"/>
  <c r="BC57" i="2"/>
  <c r="BB57" i="2"/>
  <c r="AX57" i="2"/>
  <c r="AW57" i="2"/>
  <c r="AV57" i="2"/>
  <c r="AS57" i="2"/>
  <c r="AR57" i="2"/>
  <c r="AQ57" i="2"/>
  <c r="AP57" i="2"/>
  <c r="AO57" i="2"/>
  <c r="AN57" i="2"/>
  <c r="AM57" i="2"/>
  <c r="AL57" i="2"/>
  <c r="AH57" i="2"/>
  <c r="AG57" i="2"/>
  <c r="AF57" i="2"/>
  <c r="AE57" i="2"/>
  <c r="AD57" i="2"/>
  <c r="AC57" i="2"/>
  <c r="AA57" i="2"/>
  <c r="Z57" i="2"/>
  <c r="Y57" i="2"/>
  <c r="X57" i="2"/>
  <c r="W57" i="2"/>
  <c r="T57" i="2"/>
  <c r="S57" i="2"/>
  <c r="R57" i="2"/>
  <c r="Q57" i="2"/>
  <c r="P57" i="2"/>
  <c r="O57" i="2"/>
  <c r="K57" i="2"/>
  <c r="J57" i="2"/>
  <c r="I57" i="2"/>
  <c r="H57" i="2"/>
  <c r="G57" i="2"/>
  <c r="F57" i="2"/>
  <c r="E57" i="2"/>
  <c r="BU56" i="2"/>
  <c r="BT56" i="2"/>
  <c r="BS56" i="2"/>
  <c r="BR56" i="2"/>
  <c r="BQ56" i="2"/>
  <c r="BP56" i="2"/>
  <c r="BO56" i="2"/>
  <c r="BJ56" i="2"/>
  <c r="BI56" i="2"/>
  <c r="BH56" i="2"/>
  <c r="BG56" i="2"/>
  <c r="BF56" i="2"/>
  <c r="BE56" i="2"/>
  <c r="BD56" i="2"/>
  <c r="BC56" i="2"/>
  <c r="BB56" i="2"/>
  <c r="AX56" i="2"/>
  <c r="AW56" i="2"/>
  <c r="AV56" i="2"/>
  <c r="AS56" i="2"/>
  <c r="AR56" i="2"/>
  <c r="AQ56" i="2"/>
  <c r="AP56" i="2"/>
  <c r="AO56" i="2"/>
  <c r="AN56" i="2"/>
  <c r="AM56" i="2"/>
  <c r="AL56" i="2"/>
  <c r="AH56" i="2"/>
  <c r="AG56" i="2"/>
  <c r="AF56" i="2"/>
  <c r="AE56" i="2"/>
  <c r="AD56" i="2"/>
  <c r="AC56" i="2"/>
  <c r="AA56" i="2"/>
  <c r="Z56" i="2"/>
  <c r="Y56" i="2"/>
  <c r="X56" i="2"/>
  <c r="W56" i="2"/>
  <c r="T56" i="2"/>
  <c r="S56" i="2"/>
  <c r="R56" i="2"/>
  <c r="Q56" i="2"/>
  <c r="P56" i="2"/>
  <c r="O56" i="2"/>
  <c r="K56" i="2"/>
  <c r="J56" i="2"/>
  <c r="I56" i="2"/>
  <c r="H56" i="2"/>
  <c r="G56" i="2"/>
  <c r="F56" i="2"/>
  <c r="E56" i="2"/>
  <c r="BU55" i="2"/>
  <c r="BT55" i="2"/>
  <c r="BS55" i="2"/>
  <c r="BR55" i="2"/>
  <c r="BQ55" i="2"/>
  <c r="BP55" i="2"/>
  <c r="BO55" i="2"/>
  <c r="BJ55" i="2"/>
  <c r="BI55" i="2"/>
  <c r="BH55" i="2"/>
  <c r="BG55" i="2"/>
  <c r="BF55" i="2"/>
  <c r="BE55" i="2"/>
  <c r="BD55" i="2"/>
  <c r="BC55" i="2"/>
  <c r="BB55" i="2"/>
  <c r="AX55" i="2"/>
  <c r="AW55" i="2"/>
  <c r="AV55" i="2"/>
  <c r="AS55" i="2"/>
  <c r="AR55" i="2"/>
  <c r="AQ55" i="2"/>
  <c r="AP55" i="2"/>
  <c r="AO55" i="2"/>
  <c r="AN55" i="2"/>
  <c r="AM55" i="2"/>
  <c r="AL55" i="2"/>
  <c r="AH55" i="2"/>
  <c r="AG55" i="2"/>
  <c r="AF55" i="2"/>
  <c r="AE55" i="2"/>
  <c r="AD55" i="2"/>
  <c r="AC55" i="2"/>
  <c r="AA55" i="2"/>
  <c r="Z55" i="2"/>
  <c r="Y55" i="2"/>
  <c r="X55" i="2"/>
  <c r="W55" i="2"/>
  <c r="T55" i="2"/>
  <c r="S55" i="2"/>
  <c r="R55" i="2"/>
  <c r="Q55" i="2"/>
  <c r="P55" i="2"/>
  <c r="O55" i="2"/>
  <c r="K55" i="2"/>
  <c r="J55" i="2"/>
  <c r="I55" i="2"/>
  <c r="H55" i="2"/>
  <c r="G55" i="2"/>
  <c r="F55" i="2"/>
  <c r="E55" i="2"/>
  <c r="BU54" i="2"/>
  <c r="BT54" i="2"/>
  <c r="BS54" i="2"/>
  <c r="BR54" i="2"/>
  <c r="BQ54" i="2"/>
  <c r="BP54" i="2"/>
  <c r="BO54" i="2"/>
  <c r="BJ54" i="2"/>
  <c r="BI54" i="2"/>
  <c r="BH54" i="2"/>
  <c r="BG54" i="2"/>
  <c r="BF54" i="2"/>
  <c r="BE54" i="2"/>
  <c r="BD54" i="2"/>
  <c r="BC54" i="2"/>
  <c r="BB54" i="2"/>
  <c r="AX54" i="2"/>
  <c r="AW54" i="2"/>
  <c r="AV54" i="2"/>
  <c r="AS54" i="2"/>
  <c r="AR54" i="2"/>
  <c r="AQ54" i="2"/>
  <c r="AP54" i="2"/>
  <c r="AO54" i="2"/>
  <c r="AN54" i="2"/>
  <c r="AM54" i="2"/>
  <c r="AL54" i="2"/>
  <c r="AH54" i="2"/>
  <c r="AG54" i="2"/>
  <c r="AF54" i="2"/>
  <c r="AE54" i="2"/>
  <c r="AD54" i="2"/>
  <c r="AC54" i="2"/>
  <c r="AA54" i="2"/>
  <c r="Z54" i="2"/>
  <c r="Y54" i="2"/>
  <c r="X54" i="2"/>
  <c r="W54" i="2"/>
  <c r="T54" i="2"/>
  <c r="S54" i="2"/>
  <c r="R54" i="2"/>
  <c r="Q54" i="2"/>
  <c r="P54" i="2"/>
  <c r="O54" i="2"/>
  <c r="K54" i="2"/>
  <c r="J54" i="2"/>
  <c r="I54" i="2"/>
  <c r="H54" i="2"/>
  <c r="G54" i="2"/>
  <c r="F54" i="2"/>
  <c r="E54" i="2"/>
  <c r="BU53" i="2"/>
  <c r="BT53" i="2"/>
  <c r="BS53" i="2"/>
  <c r="BR53" i="2"/>
  <c r="BQ53" i="2"/>
  <c r="BP53" i="2"/>
  <c r="BO53" i="2"/>
  <c r="BJ53" i="2"/>
  <c r="BI53" i="2"/>
  <c r="BH53" i="2"/>
  <c r="BG53" i="2"/>
  <c r="BF53" i="2"/>
  <c r="BE53" i="2"/>
  <c r="BD53" i="2"/>
  <c r="BC53" i="2"/>
  <c r="BB53" i="2"/>
  <c r="AX53" i="2"/>
  <c r="AW53" i="2"/>
  <c r="AV53" i="2"/>
  <c r="AS53" i="2"/>
  <c r="AR53" i="2"/>
  <c r="AQ53" i="2"/>
  <c r="AP53" i="2"/>
  <c r="AO53" i="2"/>
  <c r="AN53" i="2"/>
  <c r="AM53" i="2"/>
  <c r="AL53" i="2"/>
  <c r="AH53" i="2"/>
  <c r="AG53" i="2"/>
  <c r="AF53" i="2"/>
  <c r="AE53" i="2"/>
  <c r="AD53" i="2"/>
  <c r="AC53" i="2"/>
  <c r="AA53" i="2"/>
  <c r="Z53" i="2"/>
  <c r="Y53" i="2"/>
  <c r="X53" i="2"/>
  <c r="W53" i="2"/>
  <c r="T53" i="2"/>
  <c r="S53" i="2"/>
  <c r="R53" i="2"/>
  <c r="Q53" i="2"/>
  <c r="P53" i="2"/>
  <c r="O53" i="2"/>
  <c r="K53" i="2"/>
  <c r="J53" i="2"/>
  <c r="I53" i="2"/>
  <c r="H53" i="2"/>
  <c r="G53" i="2"/>
  <c r="F53" i="2"/>
  <c r="E53" i="2"/>
  <c r="BU52" i="2"/>
  <c r="BT52" i="2"/>
  <c r="BS52" i="2"/>
  <c r="BR52" i="2"/>
  <c r="BQ52" i="2"/>
  <c r="BP52" i="2"/>
  <c r="BO52" i="2"/>
  <c r="BJ52" i="2"/>
  <c r="BI52" i="2"/>
  <c r="BH52" i="2"/>
  <c r="BG52" i="2"/>
  <c r="BF52" i="2"/>
  <c r="BE52" i="2"/>
  <c r="BD52" i="2"/>
  <c r="BC52" i="2"/>
  <c r="BB52" i="2"/>
  <c r="AX52" i="2"/>
  <c r="AW52" i="2"/>
  <c r="AV52" i="2"/>
  <c r="AS52" i="2"/>
  <c r="AR52" i="2"/>
  <c r="AQ52" i="2"/>
  <c r="AP52" i="2"/>
  <c r="AO52" i="2"/>
  <c r="AN52" i="2"/>
  <c r="AM52" i="2"/>
  <c r="AL52" i="2"/>
  <c r="AH52" i="2"/>
  <c r="AG52" i="2"/>
  <c r="AF52" i="2"/>
  <c r="AE52" i="2"/>
  <c r="AD52" i="2"/>
  <c r="AC52" i="2"/>
  <c r="AA52" i="2"/>
  <c r="Z52" i="2"/>
  <c r="Y52" i="2"/>
  <c r="X52" i="2"/>
  <c r="W52" i="2"/>
  <c r="T52" i="2"/>
  <c r="S52" i="2"/>
  <c r="R52" i="2"/>
  <c r="Q52" i="2"/>
  <c r="P52" i="2"/>
  <c r="O52" i="2"/>
  <c r="K52" i="2"/>
  <c r="J52" i="2"/>
  <c r="I52" i="2"/>
  <c r="H52" i="2"/>
  <c r="G52" i="2"/>
  <c r="F52" i="2"/>
  <c r="E52" i="2"/>
  <c r="BU51" i="2"/>
  <c r="BT51" i="2"/>
  <c r="BS51" i="2"/>
  <c r="BR51" i="2"/>
  <c r="BQ51" i="2"/>
  <c r="BP51" i="2"/>
  <c r="BO51" i="2"/>
  <c r="BJ51" i="2"/>
  <c r="BI51" i="2"/>
  <c r="BH51" i="2"/>
  <c r="BG51" i="2"/>
  <c r="BF51" i="2"/>
  <c r="BE51" i="2"/>
  <c r="BD51" i="2"/>
  <c r="BC51" i="2"/>
  <c r="BB51" i="2"/>
  <c r="AX51" i="2"/>
  <c r="AW51" i="2"/>
  <c r="AV51" i="2"/>
  <c r="AS51" i="2"/>
  <c r="AR51" i="2"/>
  <c r="AQ51" i="2"/>
  <c r="AP51" i="2"/>
  <c r="AO51" i="2"/>
  <c r="AN51" i="2"/>
  <c r="AM51" i="2"/>
  <c r="AL51" i="2"/>
  <c r="AH51" i="2"/>
  <c r="AG51" i="2"/>
  <c r="AF51" i="2"/>
  <c r="AE51" i="2"/>
  <c r="AD51" i="2"/>
  <c r="AC51" i="2"/>
  <c r="AA51" i="2"/>
  <c r="Z51" i="2"/>
  <c r="Y51" i="2"/>
  <c r="X51" i="2"/>
  <c r="W51" i="2"/>
  <c r="T51" i="2"/>
  <c r="S51" i="2"/>
  <c r="R51" i="2"/>
  <c r="Q51" i="2"/>
  <c r="P51" i="2"/>
  <c r="O51" i="2"/>
  <c r="K51" i="2"/>
  <c r="J51" i="2"/>
  <c r="I51" i="2"/>
  <c r="H51" i="2"/>
  <c r="G51" i="2"/>
  <c r="F51" i="2"/>
  <c r="E51" i="2"/>
  <c r="BU50" i="2"/>
  <c r="BT50" i="2"/>
  <c r="BS50" i="2"/>
  <c r="BR50" i="2"/>
  <c r="BQ50" i="2"/>
  <c r="BP50" i="2"/>
  <c r="BO50" i="2"/>
  <c r="BJ50" i="2"/>
  <c r="BI50" i="2"/>
  <c r="BH50" i="2"/>
  <c r="BG50" i="2"/>
  <c r="BF50" i="2"/>
  <c r="BE50" i="2"/>
  <c r="BD50" i="2"/>
  <c r="BC50" i="2"/>
  <c r="BB50" i="2"/>
  <c r="AX50" i="2"/>
  <c r="AW50" i="2"/>
  <c r="AV50" i="2"/>
  <c r="AS50" i="2"/>
  <c r="AR50" i="2"/>
  <c r="AQ50" i="2"/>
  <c r="AP50" i="2"/>
  <c r="AO50" i="2"/>
  <c r="AN50" i="2"/>
  <c r="AM50" i="2"/>
  <c r="AL50" i="2"/>
  <c r="AH50" i="2"/>
  <c r="AG50" i="2"/>
  <c r="AF50" i="2"/>
  <c r="AE50" i="2"/>
  <c r="AD50" i="2"/>
  <c r="AC50" i="2"/>
  <c r="AA50" i="2"/>
  <c r="Z50" i="2"/>
  <c r="Y50" i="2"/>
  <c r="X50" i="2"/>
  <c r="W50" i="2"/>
  <c r="T50" i="2"/>
  <c r="S50" i="2"/>
  <c r="R50" i="2"/>
  <c r="Q50" i="2"/>
  <c r="P50" i="2"/>
  <c r="O50" i="2"/>
  <c r="K50" i="2"/>
  <c r="J50" i="2"/>
  <c r="I50" i="2"/>
  <c r="H50" i="2"/>
  <c r="G50" i="2"/>
  <c r="F50" i="2"/>
  <c r="E50" i="2"/>
  <c r="BU49" i="2"/>
  <c r="BT49" i="2"/>
  <c r="BS49" i="2"/>
  <c r="BR49" i="2"/>
  <c r="BQ49" i="2"/>
  <c r="BP49" i="2"/>
  <c r="BO49" i="2"/>
  <c r="BJ49" i="2"/>
  <c r="BI49" i="2"/>
  <c r="BH49" i="2"/>
  <c r="BG49" i="2"/>
  <c r="BF49" i="2"/>
  <c r="BE49" i="2"/>
  <c r="BD49" i="2"/>
  <c r="BC49" i="2"/>
  <c r="BB49" i="2"/>
  <c r="AX49" i="2"/>
  <c r="AW49" i="2"/>
  <c r="AV49" i="2"/>
  <c r="AS49" i="2"/>
  <c r="AR49" i="2"/>
  <c r="AQ49" i="2"/>
  <c r="AP49" i="2"/>
  <c r="AO49" i="2"/>
  <c r="AN49" i="2"/>
  <c r="AM49" i="2"/>
  <c r="AL49" i="2"/>
  <c r="AH49" i="2"/>
  <c r="AG49" i="2"/>
  <c r="AF49" i="2"/>
  <c r="AE49" i="2"/>
  <c r="AD49" i="2"/>
  <c r="AC49" i="2"/>
  <c r="AA49" i="2"/>
  <c r="Z49" i="2"/>
  <c r="Y49" i="2"/>
  <c r="X49" i="2"/>
  <c r="W49" i="2"/>
  <c r="T49" i="2"/>
  <c r="S49" i="2"/>
  <c r="R49" i="2"/>
  <c r="Q49" i="2"/>
  <c r="P49" i="2"/>
  <c r="O49" i="2"/>
  <c r="K49" i="2"/>
  <c r="J49" i="2"/>
  <c r="I49" i="2"/>
  <c r="H49" i="2"/>
  <c r="G49" i="2"/>
  <c r="F49" i="2"/>
  <c r="E49" i="2"/>
  <c r="BU48" i="2"/>
  <c r="BT48" i="2"/>
  <c r="BS48" i="2"/>
  <c r="BR48" i="2"/>
  <c r="BQ48" i="2"/>
  <c r="BP48" i="2"/>
  <c r="BO48" i="2"/>
  <c r="BJ48" i="2"/>
  <c r="BI48" i="2"/>
  <c r="BH48" i="2"/>
  <c r="BG48" i="2"/>
  <c r="BF48" i="2"/>
  <c r="BE48" i="2"/>
  <c r="BD48" i="2"/>
  <c r="BC48" i="2"/>
  <c r="BB48" i="2"/>
  <c r="AX48" i="2"/>
  <c r="AW48" i="2"/>
  <c r="AV48" i="2"/>
  <c r="AS48" i="2"/>
  <c r="AR48" i="2"/>
  <c r="AQ48" i="2"/>
  <c r="AP48" i="2"/>
  <c r="AO48" i="2"/>
  <c r="AN48" i="2"/>
  <c r="AM48" i="2"/>
  <c r="AL48" i="2"/>
  <c r="AH48" i="2"/>
  <c r="AG48" i="2"/>
  <c r="AF48" i="2"/>
  <c r="AE48" i="2"/>
  <c r="AD48" i="2"/>
  <c r="AC48" i="2"/>
  <c r="AA48" i="2"/>
  <c r="Z48" i="2"/>
  <c r="Y48" i="2"/>
  <c r="X48" i="2"/>
  <c r="W48" i="2"/>
  <c r="T48" i="2"/>
  <c r="S48" i="2"/>
  <c r="R48" i="2"/>
  <c r="Q48" i="2"/>
  <c r="P48" i="2"/>
  <c r="O48" i="2"/>
  <c r="K48" i="2"/>
  <c r="J48" i="2"/>
  <c r="I48" i="2"/>
  <c r="H48" i="2"/>
  <c r="G48" i="2"/>
  <c r="F48" i="2"/>
  <c r="E48" i="2"/>
  <c r="BU47" i="2"/>
  <c r="BT47" i="2"/>
  <c r="BS47" i="2"/>
  <c r="BR47" i="2"/>
  <c r="BQ47" i="2"/>
  <c r="BP47" i="2"/>
  <c r="BO47" i="2"/>
  <c r="BJ47" i="2"/>
  <c r="BI47" i="2"/>
  <c r="BH47" i="2"/>
  <c r="BG47" i="2"/>
  <c r="BF47" i="2"/>
  <c r="BE47" i="2"/>
  <c r="BD47" i="2"/>
  <c r="BC47" i="2"/>
  <c r="BB47" i="2"/>
  <c r="AX47" i="2"/>
  <c r="AW47" i="2"/>
  <c r="AV47" i="2"/>
  <c r="AS47" i="2"/>
  <c r="AR47" i="2"/>
  <c r="AQ47" i="2"/>
  <c r="AP47" i="2"/>
  <c r="AO47" i="2"/>
  <c r="AN47" i="2"/>
  <c r="AM47" i="2"/>
  <c r="AL47" i="2"/>
  <c r="AH47" i="2"/>
  <c r="AG47" i="2"/>
  <c r="AF47" i="2"/>
  <c r="AE47" i="2"/>
  <c r="AD47" i="2"/>
  <c r="AC47" i="2"/>
  <c r="AA47" i="2"/>
  <c r="Z47" i="2"/>
  <c r="Y47" i="2"/>
  <c r="X47" i="2"/>
  <c r="W47" i="2"/>
  <c r="T47" i="2"/>
  <c r="S47" i="2"/>
  <c r="R47" i="2"/>
  <c r="Q47" i="2"/>
  <c r="P47" i="2"/>
  <c r="O47" i="2"/>
  <c r="K47" i="2"/>
  <c r="J47" i="2"/>
  <c r="I47" i="2"/>
  <c r="H47" i="2"/>
  <c r="G47" i="2"/>
  <c r="F47" i="2"/>
  <c r="E47" i="2"/>
  <c r="BU46" i="2"/>
  <c r="BT46" i="2"/>
  <c r="BS46" i="2"/>
  <c r="BR46" i="2"/>
  <c r="BQ46" i="2"/>
  <c r="BP46" i="2"/>
  <c r="BO46" i="2"/>
  <c r="BJ46" i="2"/>
  <c r="BI46" i="2"/>
  <c r="BH46" i="2"/>
  <c r="BG46" i="2"/>
  <c r="BF46" i="2"/>
  <c r="BE46" i="2"/>
  <c r="BD46" i="2"/>
  <c r="BC46" i="2"/>
  <c r="BB46" i="2"/>
  <c r="AX46" i="2"/>
  <c r="AW46" i="2"/>
  <c r="AV46" i="2"/>
  <c r="AS46" i="2"/>
  <c r="AR46" i="2"/>
  <c r="AQ46" i="2"/>
  <c r="AP46" i="2"/>
  <c r="AO46" i="2"/>
  <c r="AN46" i="2"/>
  <c r="AM46" i="2"/>
  <c r="AL46" i="2"/>
  <c r="AH46" i="2"/>
  <c r="AG46" i="2"/>
  <c r="AF46" i="2"/>
  <c r="AE46" i="2"/>
  <c r="AD46" i="2"/>
  <c r="AC46" i="2"/>
  <c r="AA46" i="2"/>
  <c r="Z46" i="2"/>
  <c r="Y46" i="2"/>
  <c r="X46" i="2"/>
  <c r="W46" i="2"/>
  <c r="T46" i="2"/>
  <c r="S46" i="2"/>
  <c r="R46" i="2"/>
  <c r="Q46" i="2"/>
  <c r="P46" i="2"/>
  <c r="O46" i="2"/>
  <c r="K46" i="2"/>
  <c r="J46" i="2"/>
  <c r="I46" i="2"/>
  <c r="H46" i="2"/>
  <c r="G46" i="2"/>
  <c r="F46" i="2"/>
  <c r="E46" i="2"/>
  <c r="BU45" i="2"/>
  <c r="BT45" i="2"/>
  <c r="BS45" i="2"/>
  <c r="BR45" i="2"/>
  <c r="BQ45" i="2"/>
  <c r="BP45" i="2"/>
  <c r="BO45" i="2"/>
  <c r="BJ45" i="2"/>
  <c r="BI45" i="2"/>
  <c r="BH45" i="2"/>
  <c r="BG45" i="2"/>
  <c r="BF45" i="2"/>
  <c r="BE45" i="2"/>
  <c r="BD45" i="2"/>
  <c r="BC45" i="2"/>
  <c r="BB45" i="2"/>
  <c r="AX45" i="2"/>
  <c r="AW45" i="2"/>
  <c r="AV45" i="2"/>
  <c r="AS45" i="2"/>
  <c r="AR45" i="2"/>
  <c r="AQ45" i="2"/>
  <c r="AP45" i="2"/>
  <c r="AO45" i="2"/>
  <c r="AN45" i="2"/>
  <c r="AM45" i="2"/>
  <c r="AL45" i="2"/>
  <c r="AH45" i="2"/>
  <c r="AG45" i="2"/>
  <c r="AF45" i="2"/>
  <c r="AE45" i="2"/>
  <c r="AD45" i="2"/>
  <c r="AC45" i="2"/>
  <c r="AA45" i="2"/>
  <c r="Z45" i="2"/>
  <c r="Y45" i="2"/>
  <c r="X45" i="2"/>
  <c r="W45" i="2"/>
  <c r="T45" i="2"/>
  <c r="S45" i="2"/>
  <c r="R45" i="2"/>
  <c r="Q45" i="2"/>
  <c r="P45" i="2"/>
  <c r="O45" i="2"/>
  <c r="K45" i="2"/>
  <c r="J45" i="2"/>
  <c r="I45" i="2"/>
  <c r="H45" i="2"/>
  <c r="G45" i="2"/>
  <c r="F45" i="2"/>
  <c r="E45" i="2"/>
  <c r="BU44" i="2"/>
  <c r="BT44" i="2"/>
  <c r="BS44" i="2"/>
  <c r="BR44" i="2"/>
  <c r="BQ44" i="2"/>
  <c r="BP44" i="2"/>
  <c r="BO44" i="2"/>
  <c r="BJ44" i="2"/>
  <c r="BI44" i="2"/>
  <c r="BH44" i="2"/>
  <c r="BG44" i="2"/>
  <c r="BF44" i="2"/>
  <c r="BE44" i="2"/>
  <c r="BD44" i="2"/>
  <c r="BC44" i="2"/>
  <c r="BB44" i="2"/>
  <c r="AX44" i="2"/>
  <c r="AW44" i="2"/>
  <c r="AV44" i="2"/>
  <c r="AS44" i="2"/>
  <c r="AR44" i="2"/>
  <c r="AQ44" i="2"/>
  <c r="AP44" i="2"/>
  <c r="AO44" i="2"/>
  <c r="AN44" i="2"/>
  <c r="AM44" i="2"/>
  <c r="AL44" i="2"/>
  <c r="AH44" i="2"/>
  <c r="AG44" i="2"/>
  <c r="AF44" i="2"/>
  <c r="AE44" i="2"/>
  <c r="AD44" i="2"/>
  <c r="AC44" i="2"/>
  <c r="AA44" i="2"/>
  <c r="Z44" i="2"/>
  <c r="Y44" i="2"/>
  <c r="X44" i="2"/>
  <c r="W44" i="2"/>
  <c r="T44" i="2"/>
  <c r="S44" i="2"/>
  <c r="R44" i="2"/>
  <c r="Q44" i="2"/>
  <c r="P44" i="2"/>
  <c r="O44" i="2"/>
  <c r="K44" i="2"/>
  <c r="J44" i="2"/>
  <c r="I44" i="2"/>
  <c r="H44" i="2"/>
  <c r="G44" i="2"/>
  <c r="F44" i="2"/>
  <c r="E44" i="2"/>
  <c r="BU43" i="2"/>
  <c r="BT43" i="2"/>
  <c r="BS43" i="2"/>
  <c r="BR43" i="2"/>
  <c r="BQ43" i="2"/>
  <c r="BP43" i="2"/>
  <c r="BO43" i="2"/>
  <c r="BJ43" i="2"/>
  <c r="BI43" i="2"/>
  <c r="BH43" i="2"/>
  <c r="BG43" i="2"/>
  <c r="BF43" i="2"/>
  <c r="BE43" i="2"/>
  <c r="BD43" i="2"/>
  <c r="BC43" i="2"/>
  <c r="BB43" i="2"/>
  <c r="AX43" i="2"/>
  <c r="AW43" i="2"/>
  <c r="AV43" i="2"/>
  <c r="AS43" i="2"/>
  <c r="AR43" i="2"/>
  <c r="AQ43" i="2"/>
  <c r="AP43" i="2"/>
  <c r="AO43" i="2"/>
  <c r="AN43" i="2"/>
  <c r="AM43" i="2"/>
  <c r="AL43" i="2"/>
  <c r="AH43" i="2"/>
  <c r="AG43" i="2"/>
  <c r="AF43" i="2"/>
  <c r="AE43" i="2"/>
  <c r="AD43" i="2"/>
  <c r="AC43" i="2"/>
  <c r="AA43" i="2"/>
  <c r="Z43" i="2"/>
  <c r="Y43" i="2"/>
  <c r="X43" i="2"/>
  <c r="W43" i="2"/>
  <c r="T43" i="2"/>
  <c r="S43" i="2"/>
  <c r="R43" i="2"/>
  <c r="Q43" i="2"/>
  <c r="P43" i="2"/>
  <c r="O43" i="2"/>
  <c r="K43" i="2"/>
  <c r="J43" i="2"/>
  <c r="I43" i="2"/>
  <c r="H43" i="2"/>
  <c r="G43" i="2"/>
  <c r="F43" i="2"/>
  <c r="E43" i="2"/>
  <c r="BU42" i="2"/>
  <c r="BT42" i="2"/>
  <c r="BS42" i="2"/>
  <c r="BR42" i="2"/>
  <c r="BQ42" i="2"/>
  <c r="BP42" i="2"/>
  <c r="BO42" i="2"/>
  <c r="BJ42" i="2"/>
  <c r="BI42" i="2"/>
  <c r="BH42" i="2"/>
  <c r="BG42" i="2"/>
  <c r="BF42" i="2"/>
  <c r="BE42" i="2"/>
  <c r="BD42" i="2"/>
  <c r="BC42" i="2"/>
  <c r="BB42" i="2"/>
  <c r="AX42" i="2"/>
  <c r="AW42" i="2"/>
  <c r="AV42" i="2"/>
  <c r="AS42" i="2"/>
  <c r="AR42" i="2"/>
  <c r="AQ42" i="2"/>
  <c r="AP42" i="2"/>
  <c r="AO42" i="2"/>
  <c r="AN42" i="2"/>
  <c r="AM42" i="2"/>
  <c r="AL42" i="2"/>
  <c r="AH42" i="2"/>
  <c r="AG42" i="2"/>
  <c r="AF42" i="2"/>
  <c r="AE42" i="2"/>
  <c r="AD42" i="2"/>
  <c r="AC42" i="2"/>
  <c r="AA42" i="2"/>
  <c r="Z42" i="2"/>
  <c r="Y42" i="2"/>
  <c r="X42" i="2"/>
  <c r="W42" i="2"/>
  <c r="T42" i="2"/>
  <c r="S42" i="2"/>
  <c r="R42" i="2"/>
  <c r="Q42" i="2"/>
  <c r="P42" i="2"/>
  <c r="O42" i="2"/>
  <c r="K42" i="2"/>
  <c r="J42" i="2"/>
  <c r="I42" i="2"/>
  <c r="H42" i="2"/>
  <c r="G42" i="2"/>
  <c r="F42" i="2"/>
  <c r="E42" i="2"/>
  <c r="BU41" i="2"/>
  <c r="BT41" i="2"/>
  <c r="BS41" i="2"/>
  <c r="BR41" i="2"/>
  <c r="BQ41" i="2"/>
  <c r="BP41" i="2"/>
  <c r="BO41" i="2"/>
  <c r="BJ41" i="2"/>
  <c r="BI41" i="2"/>
  <c r="BH41" i="2"/>
  <c r="BG41" i="2"/>
  <c r="BF41" i="2"/>
  <c r="BE41" i="2"/>
  <c r="BD41" i="2"/>
  <c r="BC41" i="2"/>
  <c r="BB41" i="2"/>
  <c r="AX41" i="2"/>
  <c r="AW41" i="2"/>
  <c r="AV41" i="2"/>
  <c r="AS41" i="2"/>
  <c r="AR41" i="2"/>
  <c r="AQ41" i="2"/>
  <c r="AP41" i="2"/>
  <c r="AO41" i="2"/>
  <c r="AN41" i="2"/>
  <c r="AM41" i="2"/>
  <c r="AL41" i="2"/>
  <c r="AH41" i="2"/>
  <c r="AG41" i="2"/>
  <c r="AF41" i="2"/>
  <c r="AE41" i="2"/>
  <c r="AD41" i="2"/>
  <c r="AC41" i="2"/>
  <c r="AA41" i="2"/>
  <c r="Z41" i="2"/>
  <c r="Y41" i="2"/>
  <c r="X41" i="2"/>
  <c r="W41" i="2"/>
  <c r="T41" i="2"/>
  <c r="S41" i="2"/>
  <c r="R41" i="2"/>
  <c r="Q41" i="2"/>
  <c r="P41" i="2"/>
  <c r="O41" i="2"/>
  <c r="K41" i="2"/>
  <c r="J41" i="2"/>
  <c r="I41" i="2"/>
  <c r="H41" i="2"/>
  <c r="G41" i="2"/>
  <c r="F41" i="2"/>
  <c r="E41" i="2"/>
  <c r="BU40" i="2"/>
  <c r="BT40" i="2"/>
  <c r="BS40" i="2"/>
  <c r="BR40" i="2"/>
  <c r="BQ40" i="2"/>
  <c r="BP40" i="2"/>
  <c r="BO40" i="2"/>
  <c r="BJ40" i="2"/>
  <c r="BI40" i="2"/>
  <c r="BH40" i="2"/>
  <c r="BG40" i="2"/>
  <c r="BF40" i="2"/>
  <c r="BE40" i="2"/>
  <c r="BD40" i="2"/>
  <c r="BC40" i="2"/>
  <c r="BB40" i="2"/>
  <c r="AX40" i="2"/>
  <c r="AW40" i="2"/>
  <c r="AV40" i="2"/>
  <c r="AS40" i="2"/>
  <c r="AR40" i="2"/>
  <c r="AQ40" i="2"/>
  <c r="AP40" i="2"/>
  <c r="AO40" i="2"/>
  <c r="AN40" i="2"/>
  <c r="AM40" i="2"/>
  <c r="AL40" i="2"/>
  <c r="AH40" i="2"/>
  <c r="AG40" i="2"/>
  <c r="AF40" i="2"/>
  <c r="AE40" i="2"/>
  <c r="AD40" i="2"/>
  <c r="AC40" i="2"/>
  <c r="AA40" i="2"/>
  <c r="Z40" i="2"/>
  <c r="Y40" i="2"/>
  <c r="X40" i="2"/>
  <c r="W40" i="2"/>
  <c r="T40" i="2"/>
  <c r="S40" i="2"/>
  <c r="R40" i="2"/>
  <c r="Q40" i="2"/>
  <c r="P40" i="2"/>
  <c r="O40" i="2"/>
  <c r="K40" i="2"/>
  <c r="J40" i="2"/>
  <c r="I40" i="2"/>
  <c r="H40" i="2"/>
  <c r="G40" i="2"/>
  <c r="F40" i="2"/>
  <c r="E40" i="2"/>
  <c r="BU39" i="2"/>
  <c r="BT39" i="2"/>
  <c r="BS39" i="2"/>
  <c r="BR39" i="2"/>
  <c r="BQ39" i="2"/>
  <c r="BP39" i="2"/>
  <c r="BO39" i="2"/>
  <c r="BJ39" i="2"/>
  <c r="BI39" i="2"/>
  <c r="BH39" i="2"/>
  <c r="BG39" i="2"/>
  <c r="BF39" i="2"/>
  <c r="BE39" i="2"/>
  <c r="BD39" i="2"/>
  <c r="BC39" i="2"/>
  <c r="BB39" i="2"/>
  <c r="AX39" i="2"/>
  <c r="AW39" i="2"/>
  <c r="AV39" i="2"/>
  <c r="AS39" i="2"/>
  <c r="AR39" i="2"/>
  <c r="AQ39" i="2"/>
  <c r="AP39" i="2"/>
  <c r="AO39" i="2"/>
  <c r="AN39" i="2"/>
  <c r="AM39" i="2"/>
  <c r="AL39" i="2"/>
  <c r="AH39" i="2"/>
  <c r="AG39" i="2"/>
  <c r="AF39" i="2"/>
  <c r="AE39" i="2"/>
  <c r="AD39" i="2"/>
  <c r="AC39" i="2"/>
  <c r="AA39" i="2"/>
  <c r="Z39" i="2"/>
  <c r="Y39" i="2"/>
  <c r="X39" i="2"/>
  <c r="W39" i="2"/>
  <c r="T39" i="2"/>
  <c r="S39" i="2"/>
  <c r="R39" i="2"/>
  <c r="Q39" i="2"/>
  <c r="P39" i="2"/>
  <c r="O39" i="2"/>
  <c r="K39" i="2"/>
  <c r="J39" i="2"/>
  <c r="I39" i="2"/>
  <c r="H39" i="2"/>
  <c r="G39" i="2"/>
  <c r="F39" i="2"/>
  <c r="E39" i="2"/>
  <c r="BU38" i="2"/>
  <c r="BT38" i="2"/>
  <c r="BS38" i="2"/>
  <c r="BR38" i="2"/>
  <c r="BQ38" i="2"/>
  <c r="BP38" i="2"/>
  <c r="BO38" i="2"/>
  <c r="BJ38" i="2"/>
  <c r="BI38" i="2"/>
  <c r="BH38" i="2"/>
  <c r="BG38" i="2"/>
  <c r="BF38" i="2"/>
  <c r="BE38" i="2"/>
  <c r="BD38" i="2"/>
  <c r="BC38" i="2"/>
  <c r="BB38" i="2"/>
  <c r="AX38" i="2"/>
  <c r="AW38" i="2"/>
  <c r="AV38" i="2"/>
  <c r="AS38" i="2"/>
  <c r="AR38" i="2"/>
  <c r="AQ38" i="2"/>
  <c r="AP38" i="2"/>
  <c r="AO38" i="2"/>
  <c r="AN38" i="2"/>
  <c r="AM38" i="2"/>
  <c r="AL38" i="2"/>
  <c r="AH38" i="2"/>
  <c r="AG38" i="2"/>
  <c r="AF38" i="2"/>
  <c r="AE38" i="2"/>
  <c r="AD38" i="2"/>
  <c r="AC38" i="2"/>
  <c r="AA38" i="2"/>
  <c r="Z38" i="2"/>
  <c r="Y38" i="2"/>
  <c r="X38" i="2"/>
  <c r="W38" i="2"/>
  <c r="T38" i="2"/>
  <c r="S38" i="2"/>
  <c r="R38" i="2"/>
  <c r="Q38" i="2"/>
  <c r="P38" i="2"/>
  <c r="O38" i="2"/>
  <c r="K38" i="2"/>
  <c r="J38" i="2"/>
  <c r="I38" i="2"/>
  <c r="H38" i="2"/>
  <c r="G38" i="2"/>
  <c r="F38" i="2"/>
  <c r="E38" i="2"/>
  <c r="BU37" i="2"/>
  <c r="BT37" i="2"/>
  <c r="BS37" i="2"/>
  <c r="BR37" i="2"/>
  <c r="BQ37" i="2"/>
  <c r="BP37" i="2"/>
  <c r="BO37" i="2"/>
  <c r="BJ37" i="2"/>
  <c r="BI37" i="2"/>
  <c r="BH37" i="2"/>
  <c r="BG37" i="2"/>
  <c r="BF37" i="2"/>
  <c r="BE37" i="2"/>
  <c r="BD37" i="2"/>
  <c r="BC37" i="2"/>
  <c r="BB37" i="2"/>
  <c r="AX37" i="2"/>
  <c r="AW37" i="2"/>
  <c r="AV37" i="2"/>
  <c r="AS37" i="2"/>
  <c r="AR37" i="2"/>
  <c r="AQ37" i="2"/>
  <c r="AP37" i="2"/>
  <c r="AO37" i="2"/>
  <c r="AN37" i="2"/>
  <c r="AM37" i="2"/>
  <c r="AL37" i="2"/>
  <c r="AH37" i="2"/>
  <c r="AG37" i="2"/>
  <c r="AF37" i="2"/>
  <c r="AE37" i="2"/>
  <c r="AD37" i="2"/>
  <c r="AC37" i="2"/>
  <c r="AA37" i="2"/>
  <c r="Z37" i="2"/>
  <c r="Y37" i="2"/>
  <c r="X37" i="2"/>
  <c r="W37" i="2"/>
  <c r="T37" i="2"/>
  <c r="S37" i="2"/>
  <c r="R37" i="2"/>
  <c r="Q37" i="2"/>
  <c r="P37" i="2"/>
  <c r="O37" i="2"/>
  <c r="K37" i="2"/>
  <c r="J37" i="2"/>
  <c r="I37" i="2"/>
  <c r="H37" i="2"/>
  <c r="G37" i="2"/>
  <c r="F37" i="2"/>
  <c r="E37" i="2"/>
  <c r="BU36" i="2"/>
  <c r="BT36" i="2"/>
  <c r="BS36" i="2"/>
  <c r="BR36" i="2"/>
  <c r="BQ36" i="2"/>
  <c r="BP36" i="2"/>
  <c r="BO36" i="2"/>
  <c r="BJ36" i="2"/>
  <c r="BI36" i="2"/>
  <c r="BH36" i="2"/>
  <c r="BG36" i="2"/>
  <c r="BF36" i="2"/>
  <c r="BE36" i="2"/>
  <c r="BD36" i="2"/>
  <c r="BC36" i="2"/>
  <c r="BB36" i="2"/>
  <c r="AX36" i="2"/>
  <c r="AW36" i="2"/>
  <c r="AV36" i="2"/>
  <c r="AS36" i="2"/>
  <c r="AR36" i="2"/>
  <c r="AQ36" i="2"/>
  <c r="AP36" i="2"/>
  <c r="AO36" i="2"/>
  <c r="AN36" i="2"/>
  <c r="AM36" i="2"/>
  <c r="AL36" i="2"/>
  <c r="AH36" i="2"/>
  <c r="AG36" i="2"/>
  <c r="AF36" i="2"/>
  <c r="AE36" i="2"/>
  <c r="AD36" i="2"/>
  <c r="AC36" i="2"/>
  <c r="AA36" i="2"/>
  <c r="Z36" i="2"/>
  <c r="Y36" i="2"/>
  <c r="X36" i="2"/>
  <c r="W36" i="2"/>
  <c r="T36" i="2"/>
  <c r="S36" i="2"/>
  <c r="R36" i="2"/>
  <c r="Q36" i="2"/>
  <c r="P36" i="2"/>
  <c r="O36" i="2"/>
  <c r="K36" i="2"/>
  <c r="J36" i="2"/>
  <c r="I36" i="2"/>
  <c r="H36" i="2"/>
  <c r="G36" i="2"/>
  <c r="F36" i="2"/>
  <c r="E36" i="2"/>
  <c r="BU35" i="2"/>
  <c r="BT35" i="2"/>
  <c r="BS35" i="2"/>
  <c r="BR35" i="2"/>
  <c r="BQ35" i="2"/>
  <c r="BP35" i="2"/>
  <c r="BO35" i="2"/>
  <c r="BJ35" i="2"/>
  <c r="BI35" i="2"/>
  <c r="BH35" i="2"/>
  <c r="BG35" i="2"/>
  <c r="BF35" i="2"/>
  <c r="BE35" i="2"/>
  <c r="BD35" i="2"/>
  <c r="BC35" i="2"/>
  <c r="BB35" i="2"/>
  <c r="AX35" i="2"/>
  <c r="AW35" i="2"/>
  <c r="AV35" i="2"/>
  <c r="AS35" i="2"/>
  <c r="AR35" i="2"/>
  <c r="AQ35" i="2"/>
  <c r="AP35" i="2"/>
  <c r="AO35" i="2"/>
  <c r="AN35" i="2"/>
  <c r="AM35" i="2"/>
  <c r="AL35" i="2"/>
  <c r="AH35" i="2"/>
  <c r="AG35" i="2"/>
  <c r="AF35" i="2"/>
  <c r="AE35" i="2"/>
  <c r="AD35" i="2"/>
  <c r="AC35" i="2"/>
  <c r="AA35" i="2"/>
  <c r="Z35" i="2"/>
  <c r="Y35" i="2"/>
  <c r="X35" i="2"/>
  <c r="W35" i="2"/>
  <c r="T35" i="2"/>
  <c r="S35" i="2"/>
  <c r="R35" i="2"/>
  <c r="Q35" i="2"/>
  <c r="P35" i="2"/>
  <c r="O35" i="2"/>
  <c r="K35" i="2"/>
  <c r="J35" i="2"/>
  <c r="I35" i="2"/>
  <c r="H35" i="2"/>
  <c r="G35" i="2"/>
  <c r="F35" i="2"/>
  <c r="E35" i="2"/>
  <c r="BU34" i="2"/>
  <c r="BT34" i="2"/>
  <c r="BS34" i="2"/>
  <c r="BR34" i="2"/>
  <c r="BQ34" i="2"/>
  <c r="BP34" i="2"/>
  <c r="BO34" i="2"/>
  <c r="BJ34" i="2"/>
  <c r="BI34" i="2"/>
  <c r="BH34" i="2"/>
  <c r="BG34" i="2"/>
  <c r="BF34" i="2"/>
  <c r="BE34" i="2"/>
  <c r="BD34" i="2"/>
  <c r="BC34" i="2"/>
  <c r="BB34" i="2"/>
  <c r="AX34" i="2"/>
  <c r="AW34" i="2"/>
  <c r="AV34" i="2"/>
  <c r="AS34" i="2"/>
  <c r="AR34" i="2"/>
  <c r="AQ34" i="2"/>
  <c r="AP34" i="2"/>
  <c r="AO34" i="2"/>
  <c r="AN34" i="2"/>
  <c r="AM34" i="2"/>
  <c r="AL34" i="2"/>
  <c r="AH34" i="2"/>
  <c r="AG34" i="2"/>
  <c r="AF34" i="2"/>
  <c r="AE34" i="2"/>
  <c r="AD34" i="2"/>
  <c r="AC34" i="2"/>
  <c r="AA34" i="2"/>
  <c r="Z34" i="2"/>
  <c r="Y34" i="2"/>
  <c r="X34" i="2"/>
  <c r="W34" i="2"/>
  <c r="T34" i="2"/>
  <c r="S34" i="2"/>
  <c r="R34" i="2"/>
  <c r="Q34" i="2"/>
  <c r="P34" i="2"/>
  <c r="O34" i="2"/>
  <c r="K34" i="2"/>
  <c r="J34" i="2"/>
  <c r="I34" i="2"/>
  <c r="H34" i="2"/>
  <c r="G34" i="2"/>
  <c r="F34" i="2"/>
  <c r="E34" i="2"/>
  <c r="BU33" i="2"/>
  <c r="BT33" i="2"/>
  <c r="BS33" i="2"/>
  <c r="BR33" i="2"/>
  <c r="BQ33" i="2"/>
  <c r="BP33" i="2"/>
  <c r="BO33" i="2"/>
  <c r="BJ33" i="2"/>
  <c r="BI33" i="2"/>
  <c r="BH33" i="2"/>
  <c r="BG33" i="2"/>
  <c r="BF33" i="2"/>
  <c r="BE33" i="2"/>
  <c r="BD33" i="2"/>
  <c r="BC33" i="2"/>
  <c r="BB33" i="2"/>
  <c r="AX33" i="2"/>
  <c r="AW33" i="2"/>
  <c r="AV33" i="2"/>
  <c r="AS33" i="2"/>
  <c r="AR33" i="2"/>
  <c r="AQ33" i="2"/>
  <c r="AP33" i="2"/>
  <c r="AO33" i="2"/>
  <c r="AN33" i="2"/>
  <c r="AM33" i="2"/>
  <c r="AL33" i="2"/>
  <c r="AH33" i="2"/>
  <c r="AG33" i="2"/>
  <c r="AF33" i="2"/>
  <c r="AE33" i="2"/>
  <c r="AD33" i="2"/>
  <c r="AC33" i="2"/>
  <c r="AA33" i="2"/>
  <c r="Z33" i="2"/>
  <c r="Y33" i="2"/>
  <c r="X33" i="2"/>
  <c r="W33" i="2"/>
  <c r="T33" i="2"/>
  <c r="S33" i="2"/>
  <c r="R33" i="2"/>
  <c r="Q33" i="2"/>
  <c r="P33" i="2"/>
  <c r="O33" i="2"/>
  <c r="K33" i="2"/>
  <c r="J33" i="2"/>
  <c r="I33" i="2"/>
  <c r="H33" i="2"/>
  <c r="G33" i="2"/>
  <c r="F33" i="2"/>
  <c r="E33" i="2"/>
  <c r="BU32" i="2"/>
  <c r="BT32" i="2"/>
  <c r="BS32" i="2"/>
  <c r="BR32" i="2"/>
  <c r="BQ32" i="2"/>
  <c r="BP32" i="2"/>
  <c r="BO32" i="2"/>
  <c r="BJ32" i="2"/>
  <c r="BI32" i="2"/>
  <c r="BH32" i="2"/>
  <c r="BG32" i="2"/>
  <c r="BF32" i="2"/>
  <c r="BE32" i="2"/>
  <c r="BD32" i="2"/>
  <c r="BC32" i="2"/>
  <c r="BB32" i="2"/>
  <c r="AX32" i="2"/>
  <c r="AW32" i="2"/>
  <c r="AV32" i="2"/>
  <c r="AS32" i="2"/>
  <c r="AR32" i="2"/>
  <c r="AQ32" i="2"/>
  <c r="AP32" i="2"/>
  <c r="AO32" i="2"/>
  <c r="AN32" i="2"/>
  <c r="AM32" i="2"/>
  <c r="AL32" i="2"/>
  <c r="AH32" i="2"/>
  <c r="AG32" i="2"/>
  <c r="AF32" i="2"/>
  <c r="AE32" i="2"/>
  <c r="AD32" i="2"/>
  <c r="AC32" i="2"/>
  <c r="AA32" i="2"/>
  <c r="Z32" i="2"/>
  <c r="Y32" i="2"/>
  <c r="X32" i="2"/>
  <c r="W32" i="2"/>
  <c r="T32" i="2"/>
  <c r="S32" i="2"/>
  <c r="R32" i="2"/>
  <c r="Q32" i="2"/>
  <c r="P32" i="2"/>
  <c r="O32" i="2"/>
  <c r="K32" i="2"/>
  <c r="J32" i="2"/>
  <c r="I32" i="2"/>
  <c r="H32" i="2"/>
  <c r="G32" i="2"/>
  <c r="F32" i="2"/>
  <c r="E32" i="2"/>
  <c r="BU31" i="2"/>
  <c r="BT31" i="2"/>
  <c r="BS31" i="2"/>
  <c r="BR31" i="2"/>
  <c r="BQ31" i="2"/>
  <c r="BP31" i="2"/>
  <c r="BO31" i="2"/>
  <c r="BJ31" i="2"/>
  <c r="BI31" i="2"/>
  <c r="BH31" i="2"/>
  <c r="BG31" i="2"/>
  <c r="BF31" i="2"/>
  <c r="BE31" i="2"/>
  <c r="BD31" i="2"/>
  <c r="BC31" i="2"/>
  <c r="BB31" i="2"/>
  <c r="AX31" i="2"/>
  <c r="AW31" i="2"/>
  <c r="AV31" i="2"/>
  <c r="AS31" i="2"/>
  <c r="AR31" i="2"/>
  <c r="AQ31" i="2"/>
  <c r="AP31" i="2"/>
  <c r="AO31" i="2"/>
  <c r="AN31" i="2"/>
  <c r="AM31" i="2"/>
  <c r="AL31" i="2"/>
  <c r="AH31" i="2"/>
  <c r="AG31" i="2"/>
  <c r="AF31" i="2"/>
  <c r="AE31" i="2"/>
  <c r="AD31" i="2"/>
  <c r="AC31" i="2"/>
  <c r="AA31" i="2"/>
  <c r="Z31" i="2"/>
  <c r="Y31" i="2"/>
  <c r="X31" i="2"/>
  <c r="W31" i="2"/>
  <c r="T31" i="2"/>
  <c r="S31" i="2"/>
  <c r="R31" i="2"/>
  <c r="Q31" i="2"/>
  <c r="P31" i="2"/>
  <c r="O31" i="2"/>
  <c r="K31" i="2"/>
  <c r="J31" i="2"/>
  <c r="I31" i="2"/>
  <c r="H31" i="2"/>
  <c r="G31" i="2"/>
  <c r="F31" i="2"/>
  <c r="E31" i="2"/>
  <c r="BU30" i="2"/>
  <c r="BT30" i="2"/>
  <c r="BS30" i="2"/>
  <c r="BR30" i="2"/>
  <c r="BQ30" i="2"/>
  <c r="BP30" i="2"/>
  <c r="BO30" i="2"/>
  <c r="BJ30" i="2"/>
  <c r="BI30" i="2"/>
  <c r="BH30" i="2"/>
  <c r="BG30" i="2"/>
  <c r="BF30" i="2"/>
  <c r="BE30" i="2"/>
  <c r="BD30" i="2"/>
  <c r="BC30" i="2"/>
  <c r="BB30" i="2"/>
  <c r="AX30" i="2"/>
  <c r="AW30" i="2"/>
  <c r="AV30" i="2"/>
  <c r="AS30" i="2"/>
  <c r="AR30" i="2"/>
  <c r="AQ30" i="2"/>
  <c r="AP30" i="2"/>
  <c r="AO30" i="2"/>
  <c r="AN30" i="2"/>
  <c r="AM30" i="2"/>
  <c r="AL30" i="2"/>
  <c r="AH30" i="2"/>
  <c r="AG30" i="2"/>
  <c r="AF30" i="2"/>
  <c r="AE30" i="2"/>
  <c r="AD30" i="2"/>
  <c r="AC30" i="2"/>
  <c r="AA30" i="2"/>
  <c r="Z30" i="2"/>
  <c r="Y30" i="2"/>
  <c r="X30" i="2"/>
  <c r="W30" i="2"/>
  <c r="T30" i="2"/>
  <c r="S30" i="2"/>
  <c r="R30" i="2"/>
  <c r="Q30" i="2"/>
  <c r="P30" i="2"/>
  <c r="O30" i="2"/>
  <c r="K30" i="2"/>
  <c r="J30" i="2"/>
  <c r="I30" i="2"/>
  <c r="H30" i="2"/>
  <c r="G30" i="2"/>
  <c r="F30" i="2"/>
  <c r="E30" i="2"/>
  <c r="BU29" i="2"/>
  <c r="BT29" i="2"/>
  <c r="BS29" i="2"/>
  <c r="BR29" i="2"/>
  <c r="BQ29" i="2"/>
  <c r="BP29" i="2"/>
  <c r="BO29" i="2"/>
  <c r="BJ29" i="2"/>
  <c r="BI29" i="2"/>
  <c r="BH29" i="2"/>
  <c r="BG29" i="2"/>
  <c r="BF29" i="2"/>
  <c r="BE29" i="2"/>
  <c r="BD29" i="2"/>
  <c r="BC29" i="2"/>
  <c r="BB29" i="2"/>
  <c r="AX29" i="2"/>
  <c r="AW29" i="2"/>
  <c r="AV29" i="2"/>
  <c r="AS29" i="2"/>
  <c r="AR29" i="2"/>
  <c r="AQ29" i="2"/>
  <c r="AP29" i="2"/>
  <c r="AO29" i="2"/>
  <c r="AN29" i="2"/>
  <c r="AM29" i="2"/>
  <c r="AL29" i="2"/>
  <c r="AH29" i="2"/>
  <c r="AG29" i="2"/>
  <c r="AF29" i="2"/>
  <c r="AE29" i="2"/>
  <c r="AD29" i="2"/>
  <c r="AC29" i="2"/>
  <c r="AA29" i="2"/>
  <c r="Z29" i="2"/>
  <c r="Y29" i="2"/>
  <c r="X29" i="2"/>
  <c r="W29" i="2"/>
  <c r="T29" i="2"/>
  <c r="S29" i="2"/>
  <c r="R29" i="2"/>
  <c r="Q29" i="2"/>
  <c r="P29" i="2"/>
  <c r="O29" i="2"/>
  <c r="K29" i="2"/>
  <c r="J29" i="2"/>
  <c r="I29" i="2"/>
  <c r="H29" i="2"/>
  <c r="G29" i="2"/>
  <c r="F29" i="2"/>
  <c r="E29" i="2"/>
  <c r="BU28" i="2"/>
  <c r="BT28" i="2"/>
  <c r="BS28" i="2"/>
  <c r="BR28" i="2"/>
  <c r="BQ28" i="2"/>
  <c r="BP28" i="2"/>
  <c r="BO28" i="2"/>
  <c r="BJ28" i="2"/>
  <c r="BI28" i="2"/>
  <c r="BH28" i="2"/>
  <c r="BG28" i="2"/>
  <c r="BF28" i="2"/>
  <c r="BE28" i="2"/>
  <c r="BD28" i="2"/>
  <c r="BC28" i="2"/>
  <c r="BB28" i="2"/>
  <c r="AX28" i="2"/>
  <c r="AW28" i="2"/>
  <c r="AV28" i="2"/>
  <c r="AS28" i="2"/>
  <c r="AR28" i="2"/>
  <c r="AQ28" i="2"/>
  <c r="AP28" i="2"/>
  <c r="AO28" i="2"/>
  <c r="AN28" i="2"/>
  <c r="AM28" i="2"/>
  <c r="AL28" i="2"/>
  <c r="AH28" i="2"/>
  <c r="AG28" i="2"/>
  <c r="AF28" i="2"/>
  <c r="AE28" i="2"/>
  <c r="AD28" i="2"/>
  <c r="AC28" i="2"/>
  <c r="AA28" i="2"/>
  <c r="Z28" i="2"/>
  <c r="Y28" i="2"/>
  <c r="X28" i="2"/>
  <c r="W28" i="2"/>
  <c r="T28" i="2"/>
  <c r="S28" i="2"/>
  <c r="R28" i="2"/>
  <c r="Q28" i="2"/>
  <c r="P28" i="2"/>
  <c r="O28" i="2"/>
  <c r="K28" i="2"/>
  <c r="J28" i="2"/>
  <c r="I28" i="2"/>
  <c r="H28" i="2"/>
  <c r="G28" i="2"/>
  <c r="F28" i="2"/>
  <c r="E28" i="2"/>
  <c r="BU27" i="2"/>
  <c r="BT27" i="2"/>
  <c r="BS27" i="2"/>
  <c r="BR27" i="2"/>
  <c r="BQ27" i="2"/>
  <c r="BP27" i="2"/>
  <c r="BO27" i="2"/>
  <c r="BJ27" i="2"/>
  <c r="BI27" i="2"/>
  <c r="BH27" i="2"/>
  <c r="BG27" i="2"/>
  <c r="BF27" i="2"/>
  <c r="BE27" i="2"/>
  <c r="BD27" i="2"/>
  <c r="BC27" i="2"/>
  <c r="BB27" i="2"/>
  <c r="AX27" i="2"/>
  <c r="AW27" i="2"/>
  <c r="AV27" i="2"/>
  <c r="AS27" i="2"/>
  <c r="AR27" i="2"/>
  <c r="AQ27" i="2"/>
  <c r="AP27" i="2"/>
  <c r="AO27" i="2"/>
  <c r="AN27" i="2"/>
  <c r="AM27" i="2"/>
  <c r="AL27" i="2"/>
  <c r="AH27" i="2"/>
  <c r="AG27" i="2"/>
  <c r="AF27" i="2"/>
  <c r="AE27" i="2"/>
  <c r="AD27" i="2"/>
  <c r="AC27" i="2"/>
  <c r="AA27" i="2"/>
  <c r="Z27" i="2"/>
  <c r="Y27" i="2"/>
  <c r="X27" i="2"/>
  <c r="W27" i="2"/>
  <c r="T27" i="2"/>
  <c r="S27" i="2"/>
  <c r="R27" i="2"/>
  <c r="Q27" i="2"/>
  <c r="P27" i="2"/>
  <c r="O27" i="2"/>
  <c r="K27" i="2"/>
  <c r="J27" i="2"/>
  <c r="I27" i="2"/>
  <c r="H27" i="2"/>
  <c r="G27" i="2"/>
  <c r="F27" i="2"/>
  <c r="E27" i="2"/>
  <c r="BU26" i="2"/>
  <c r="BT26" i="2"/>
  <c r="BS26" i="2"/>
  <c r="BR26" i="2"/>
  <c r="BQ26" i="2"/>
  <c r="BP26" i="2"/>
  <c r="BO26" i="2"/>
  <c r="BJ26" i="2"/>
  <c r="BI26" i="2"/>
  <c r="BH26" i="2"/>
  <c r="BG26" i="2"/>
  <c r="BF26" i="2"/>
  <c r="BE26" i="2"/>
  <c r="BD26" i="2"/>
  <c r="BC26" i="2"/>
  <c r="BB26" i="2"/>
  <c r="AX26" i="2"/>
  <c r="AW26" i="2"/>
  <c r="AV26" i="2"/>
  <c r="AS26" i="2"/>
  <c r="AR26" i="2"/>
  <c r="AQ26" i="2"/>
  <c r="AP26" i="2"/>
  <c r="AO26" i="2"/>
  <c r="AN26" i="2"/>
  <c r="AM26" i="2"/>
  <c r="AL26" i="2"/>
  <c r="AH26" i="2"/>
  <c r="AG26" i="2"/>
  <c r="AF26" i="2"/>
  <c r="AE26" i="2"/>
  <c r="AD26" i="2"/>
  <c r="AC26" i="2"/>
  <c r="AA26" i="2"/>
  <c r="Z26" i="2"/>
  <c r="Y26" i="2"/>
  <c r="X26" i="2"/>
  <c r="W26" i="2"/>
  <c r="T26" i="2"/>
  <c r="S26" i="2"/>
  <c r="R26" i="2"/>
  <c r="Q26" i="2"/>
  <c r="P26" i="2"/>
  <c r="O26" i="2"/>
  <c r="K26" i="2"/>
  <c r="J26" i="2"/>
  <c r="I26" i="2"/>
  <c r="H26" i="2"/>
  <c r="G26" i="2"/>
  <c r="F26" i="2"/>
  <c r="E26" i="2"/>
  <c r="BU25" i="2"/>
  <c r="BT25" i="2"/>
  <c r="BS25" i="2"/>
  <c r="BR25" i="2"/>
  <c r="BQ25" i="2"/>
  <c r="BP25" i="2"/>
  <c r="BO25" i="2"/>
  <c r="BJ25" i="2"/>
  <c r="BI25" i="2"/>
  <c r="BH25" i="2"/>
  <c r="BG25" i="2"/>
  <c r="BF25" i="2"/>
  <c r="BE25" i="2"/>
  <c r="BD25" i="2"/>
  <c r="BC25" i="2"/>
  <c r="BB25" i="2"/>
  <c r="AX25" i="2"/>
  <c r="AW25" i="2"/>
  <c r="AV25" i="2"/>
  <c r="AS25" i="2"/>
  <c r="AR25" i="2"/>
  <c r="AQ25" i="2"/>
  <c r="AP25" i="2"/>
  <c r="AO25" i="2"/>
  <c r="AN25" i="2"/>
  <c r="AM25" i="2"/>
  <c r="AL25" i="2"/>
  <c r="AH25" i="2"/>
  <c r="AG25" i="2"/>
  <c r="AF25" i="2"/>
  <c r="AE25" i="2"/>
  <c r="AD25" i="2"/>
  <c r="AC25" i="2"/>
  <c r="AA25" i="2"/>
  <c r="Z25" i="2"/>
  <c r="Y25" i="2"/>
  <c r="X25" i="2"/>
  <c r="W25" i="2"/>
  <c r="T25" i="2"/>
  <c r="S25" i="2"/>
  <c r="R25" i="2"/>
  <c r="Q25" i="2"/>
  <c r="P25" i="2"/>
  <c r="O25" i="2"/>
  <c r="K25" i="2"/>
  <c r="J25" i="2"/>
  <c r="I25" i="2"/>
  <c r="H25" i="2"/>
  <c r="G25" i="2"/>
  <c r="F25" i="2"/>
  <c r="E25" i="2"/>
  <c r="BU24" i="2"/>
  <c r="BT24" i="2"/>
  <c r="BS24" i="2"/>
  <c r="BR24" i="2"/>
  <c r="BQ24" i="2"/>
  <c r="BP24" i="2"/>
  <c r="BO24" i="2"/>
  <c r="BJ24" i="2"/>
  <c r="BI24" i="2"/>
  <c r="BH24" i="2"/>
  <c r="BG24" i="2"/>
  <c r="BF24" i="2"/>
  <c r="BE24" i="2"/>
  <c r="BD24" i="2"/>
  <c r="BC24" i="2"/>
  <c r="BB24" i="2"/>
  <c r="AX24" i="2"/>
  <c r="AW24" i="2"/>
  <c r="AV24" i="2"/>
  <c r="AS24" i="2"/>
  <c r="AR24" i="2"/>
  <c r="AQ24" i="2"/>
  <c r="AP24" i="2"/>
  <c r="AO24" i="2"/>
  <c r="AN24" i="2"/>
  <c r="AM24" i="2"/>
  <c r="AL24" i="2"/>
  <c r="AH24" i="2"/>
  <c r="AG24" i="2"/>
  <c r="AF24" i="2"/>
  <c r="AE24" i="2"/>
  <c r="AD24" i="2"/>
  <c r="AC24" i="2"/>
  <c r="AA24" i="2"/>
  <c r="Z24" i="2"/>
  <c r="Y24" i="2"/>
  <c r="X24" i="2"/>
  <c r="W24" i="2"/>
  <c r="T24" i="2"/>
  <c r="S24" i="2"/>
  <c r="R24" i="2"/>
  <c r="Q24" i="2"/>
  <c r="P24" i="2"/>
  <c r="O24" i="2"/>
  <c r="K24" i="2"/>
  <c r="J24" i="2"/>
  <c r="I24" i="2"/>
  <c r="H24" i="2"/>
  <c r="G24" i="2"/>
  <c r="F24" i="2"/>
  <c r="E24" i="2"/>
  <c r="BU23" i="2"/>
  <c r="BT23" i="2"/>
  <c r="BS23" i="2"/>
  <c r="BR23" i="2"/>
  <c r="BQ23" i="2"/>
  <c r="BP23" i="2"/>
  <c r="BO23" i="2"/>
  <c r="BJ23" i="2"/>
  <c r="BI23" i="2"/>
  <c r="BH23" i="2"/>
  <c r="BG23" i="2"/>
  <c r="BF23" i="2"/>
  <c r="BE23" i="2"/>
  <c r="BD23" i="2"/>
  <c r="BC23" i="2"/>
  <c r="BB23" i="2"/>
  <c r="AX23" i="2"/>
  <c r="AW23" i="2"/>
  <c r="AV23" i="2"/>
  <c r="AS23" i="2"/>
  <c r="AR23" i="2"/>
  <c r="AQ23" i="2"/>
  <c r="AP23" i="2"/>
  <c r="AO23" i="2"/>
  <c r="AN23" i="2"/>
  <c r="AM23" i="2"/>
  <c r="AL23" i="2"/>
  <c r="AH23" i="2"/>
  <c r="AG23" i="2"/>
  <c r="AF23" i="2"/>
  <c r="AE23" i="2"/>
  <c r="AD23" i="2"/>
  <c r="AC23" i="2"/>
  <c r="AA23" i="2"/>
  <c r="Z23" i="2"/>
  <c r="Y23" i="2"/>
  <c r="X23" i="2"/>
  <c r="W23" i="2"/>
  <c r="T23" i="2"/>
  <c r="S23" i="2"/>
  <c r="R23" i="2"/>
  <c r="Q23" i="2"/>
  <c r="P23" i="2"/>
  <c r="O23" i="2"/>
  <c r="K23" i="2"/>
  <c r="J23" i="2"/>
  <c r="I23" i="2"/>
  <c r="H23" i="2"/>
  <c r="G23" i="2"/>
  <c r="F23" i="2"/>
  <c r="E23" i="2"/>
  <c r="BU22" i="2"/>
  <c r="BT22" i="2"/>
  <c r="BS22" i="2"/>
  <c r="BR22" i="2"/>
  <c r="BQ22" i="2"/>
  <c r="BP22" i="2"/>
  <c r="BO22" i="2"/>
  <c r="BJ22" i="2"/>
  <c r="BI22" i="2"/>
  <c r="BH22" i="2"/>
  <c r="BG22" i="2"/>
  <c r="BF22" i="2"/>
  <c r="BE22" i="2"/>
  <c r="BD22" i="2"/>
  <c r="BC22" i="2"/>
  <c r="BB22" i="2"/>
  <c r="AX22" i="2"/>
  <c r="AW22" i="2"/>
  <c r="AV22" i="2"/>
  <c r="AS22" i="2"/>
  <c r="AR22" i="2"/>
  <c r="AQ22" i="2"/>
  <c r="AP22" i="2"/>
  <c r="AO22" i="2"/>
  <c r="AN22" i="2"/>
  <c r="AM22" i="2"/>
  <c r="AL22" i="2"/>
  <c r="AH22" i="2"/>
  <c r="AG22" i="2"/>
  <c r="AF22" i="2"/>
  <c r="AE22" i="2"/>
  <c r="AD22" i="2"/>
  <c r="AC22" i="2"/>
  <c r="AA22" i="2"/>
  <c r="Z22" i="2"/>
  <c r="Y22" i="2"/>
  <c r="X22" i="2"/>
  <c r="W22" i="2"/>
  <c r="T22" i="2"/>
  <c r="S22" i="2"/>
  <c r="R22" i="2"/>
  <c r="Q22" i="2"/>
  <c r="P22" i="2"/>
  <c r="O22" i="2"/>
  <c r="K22" i="2"/>
  <c r="J22" i="2"/>
  <c r="I22" i="2"/>
  <c r="H22" i="2"/>
  <c r="G22" i="2"/>
  <c r="F22" i="2"/>
  <c r="E22" i="2"/>
  <c r="BU21" i="2"/>
  <c r="BT21" i="2"/>
  <c r="BS21" i="2"/>
  <c r="BR21" i="2"/>
  <c r="BQ21" i="2"/>
  <c r="BP21" i="2"/>
  <c r="BO21" i="2"/>
  <c r="BJ21" i="2"/>
  <c r="BI21" i="2"/>
  <c r="BH21" i="2"/>
  <c r="BG21" i="2"/>
  <c r="BF21" i="2"/>
  <c r="BE21" i="2"/>
  <c r="BD21" i="2"/>
  <c r="BC21" i="2"/>
  <c r="BB21" i="2"/>
  <c r="AX21" i="2"/>
  <c r="AW21" i="2"/>
  <c r="AV21" i="2"/>
  <c r="AS21" i="2"/>
  <c r="AR21" i="2"/>
  <c r="AQ21" i="2"/>
  <c r="AP21" i="2"/>
  <c r="AO21" i="2"/>
  <c r="AN21" i="2"/>
  <c r="AM21" i="2"/>
  <c r="AL21" i="2"/>
  <c r="AH21" i="2"/>
  <c r="AG21" i="2"/>
  <c r="AF21" i="2"/>
  <c r="AE21" i="2"/>
  <c r="AD21" i="2"/>
  <c r="AC21" i="2"/>
  <c r="AA21" i="2"/>
  <c r="Z21" i="2"/>
  <c r="Y21" i="2"/>
  <c r="X21" i="2"/>
  <c r="W21" i="2"/>
  <c r="T21" i="2"/>
  <c r="S21" i="2"/>
  <c r="R21" i="2"/>
  <c r="Q21" i="2"/>
  <c r="P21" i="2"/>
  <c r="O21" i="2"/>
  <c r="K21" i="2"/>
  <c r="J21" i="2"/>
  <c r="I21" i="2"/>
  <c r="H21" i="2"/>
  <c r="G21" i="2"/>
  <c r="F21" i="2"/>
  <c r="E21" i="2"/>
  <c r="BU20" i="2"/>
  <c r="BT20" i="2"/>
  <c r="BS20" i="2"/>
  <c r="BR20" i="2"/>
  <c r="BQ20" i="2"/>
  <c r="BP20" i="2"/>
  <c r="BO20" i="2"/>
  <c r="BJ20" i="2"/>
  <c r="BI20" i="2"/>
  <c r="BH20" i="2"/>
  <c r="BG20" i="2"/>
  <c r="BF20" i="2"/>
  <c r="BE20" i="2"/>
  <c r="BD20" i="2"/>
  <c r="BC20" i="2"/>
  <c r="BB20" i="2"/>
  <c r="AX20" i="2"/>
  <c r="AW20" i="2"/>
  <c r="AV20" i="2"/>
  <c r="AS20" i="2"/>
  <c r="AR20" i="2"/>
  <c r="AQ20" i="2"/>
  <c r="AP20" i="2"/>
  <c r="AO20" i="2"/>
  <c r="AN20" i="2"/>
  <c r="AM20" i="2"/>
  <c r="AL20" i="2"/>
  <c r="AH20" i="2"/>
  <c r="AG20" i="2"/>
  <c r="AF20" i="2"/>
  <c r="AE20" i="2"/>
  <c r="AD20" i="2"/>
  <c r="AC20" i="2"/>
  <c r="AA20" i="2"/>
  <c r="Z20" i="2"/>
  <c r="Y20" i="2"/>
  <c r="X20" i="2"/>
  <c r="W20" i="2"/>
  <c r="T20" i="2"/>
  <c r="S20" i="2"/>
  <c r="R20" i="2"/>
  <c r="Q20" i="2"/>
  <c r="P20" i="2"/>
  <c r="O20" i="2"/>
  <c r="K20" i="2"/>
  <c r="J20" i="2"/>
  <c r="I20" i="2"/>
  <c r="H20" i="2"/>
  <c r="G20" i="2"/>
  <c r="F20" i="2"/>
  <c r="E20" i="2"/>
  <c r="BU19" i="2"/>
  <c r="BT19" i="2"/>
  <c r="BS19" i="2"/>
  <c r="BR19" i="2"/>
  <c r="BQ19" i="2"/>
  <c r="BP19" i="2"/>
  <c r="BO19" i="2"/>
  <c r="BJ19" i="2"/>
  <c r="BI19" i="2"/>
  <c r="BH19" i="2"/>
  <c r="BG19" i="2"/>
  <c r="BF19" i="2"/>
  <c r="BE19" i="2"/>
  <c r="BD19" i="2"/>
  <c r="BC19" i="2"/>
  <c r="BB19" i="2"/>
  <c r="AX19" i="2"/>
  <c r="AW19" i="2"/>
  <c r="AV19" i="2"/>
  <c r="AS19" i="2"/>
  <c r="AR19" i="2"/>
  <c r="AQ19" i="2"/>
  <c r="AP19" i="2"/>
  <c r="AO19" i="2"/>
  <c r="AN19" i="2"/>
  <c r="AM19" i="2"/>
  <c r="AL19" i="2"/>
  <c r="AH19" i="2"/>
  <c r="AG19" i="2"/>
  <c r="AF19" i="2"/>
  <c r="AE19" i="2"/>
  <c r="AD19" i="2"/>
  <c r="AC19" i="2"/>
  <c r="AA19" i="2"/>
  <c r="Z19" i="2"/>
  <c r="Y19" i="2"/>
  <c r="X19" i="2"/>
  <c r="W19" i="2"/>
  <c r="T19" i="2"/>
  <c r="S19" i="2"/>
  <c r="R19" i="2"/>
  <c r="Q19" i="2"/>
  <c r="P19" i="2"/>
  <c r="O19" i="2"/>
  <c r="K19" i="2"/>
  <c r="J19" i="2"/>
  <c r="I19" i="2"/>
  <c r="H19" i="2"/>
  <c r="G19" i="2"/>
  <c r="F19" i="2"/>
  <c r="E19" i="2"/>
  <c r="BU18" i="2"/>
  <c r="BT18" i="2"/>
  <c r="BS18" i="2"/>
  <c r="BR18" i="2"/>
  <c r="BQ18" i="2"/>
  <c r="BP18" i="2"/>
  <c r="BO18" i="2"/>
  <c r="BJ18" i="2"/>
  <c r="BI18" i="2"/>
  <c r="BH18" i="2"/>
  <c r="BG18" i="2"/>
  <c r="BF18" i="2"/>
  <c r="BE18" i="2"/>
  <c r="BD18" i="2"/>
  <c r="BC18" i="2"/>
  <c r="BB18" i="2"/>
  <c r="AX18" i="2"/>
  <c r="AW18" i="2"/>
  <c r="AV18" i="2"/>
  <c r="AS18" i="2"/>
  <c r="AR18" i="2"/>
  <c r="AQ18" i="2"/>
  <c r="AP18" i="2"/>
  <c r="AO18" i="2"/>
  <c r="AN18" i="2"/>
  <c r="AM18" i="2"/>
  <c r="AL18" i="2"/>
  <c r="AH18" i="2"/>
  <c r="AG18" i="2"/>
  <c r="AF18" i="2"/>
  <c r="AE18" i="2"/>
  <c r="AD18" i="2"/>
  <c r="AC18" i="2"/>
  <c r="AA18" i="2"/>
  <c r="Z18" i="2"/>
  <c r="Y18" i="2"/>
  <c r="X18" i="2"/>
  <c r="W18" i="2"/>
  <c r="T18" i="2"/>
  <c r="S18" i="2"/>
  <c r="R18" i="2"/>
  <c r="Q18" i="2"/>
  <c r="P18" i="2"/>
  <c r="O18" i="2"/>
  <c r="K18" i="2"/>
  <c r="J18" i="2"/>
  <c r="I18" i="2"/>
  <c r="H18" i="2"/>
  <c r="G18" i="2"/>
  <c r="F18" i="2"/>
  <c r="E18" i="2"/>
  <c r="BU17" i="2"/>
  <c r="BT17" i="2"/>
  <c r="BS17" i="2"/>
  <c r="BR17" i="2"/>
  <c r="BQ17" i="2"/>
  <c r="BP17" i="2"/>
  <c r="BO17" i="2"/>
  <c r="BJ17" i="2"/>
  <c r="BI17" i="2"/>
  <c r="BH17" i="2"/>
  <c r="BG17" i="2"/>
  <c r="BF17" i="2"/>
  <c r="BE17" i="2"/>
  <c r="BD17" i="2"/>
  <c r="BC17" i="2"/>
  <c r="BB17" i="2"/>
  <c r="AX17" i="2"/>
  <c r="AW17" i="2"/>
  <c r="AV17" i="2"/>
  <c r="AS17" i="2"/>
  <c r="AR17" i="2"/>
  <c r="AQ17" i="2"/>
  <c r="AP17" i="2"/>
  <c r="AO17" i="2"/>
  <c r="AN17" i="2"/>
  <c r="AM17" i="2"/>
  <c r="AL17" i="2"/>
  <c r="AH17" i="2"/>
  <c r="AG17" i="2"/>
  <c r="AF17" i="2"/>
  <c r="AE17" i="2"/>
  <c r="AD17" i="2"/>
  <c r="AC17" i="2"/>
  <c r="AA17" i="2"/>
  <c r="Z17" i="2"/>
  <c r="Y17" i="2"/>
  <c r="X17" i="2"/>
  <c r="W17" i="2"/>
  <c r="T17" i="2"/>
  <c r="S17" i="2"/>
  <c r="R17" i="2"/>
  <c r="Q17" i="2"/>
  <c r="P17" i="2"/>
  <c r="O17" i="2"/>
  <c r="K17" i="2"/>
  <c r="J17" i="2"/>
  <c r="I17" i="2"/>
  <c r="H17" i="2"/>
  <c r="G17" i="2"/>
  <c r="F17" i="2"/>
  <c r="E17" i="2"/>
  <c r="BU16" i="2"/>
  <c r="BT16" i="2"/>
  <c r="BS16" i="2"/>
  <c r="BR16" i="2"/>
  <c r="BQ16" i="2"/>
  <c r="BP16" i="2"/>
  <c r="BO16" i="2"/>
  <c r="BJ16" i="2"/>
  <c r="BI16" i="2"/>
  <c r="BH16" i="2"/>
  <c r="BG16" i="2"/>
  <c r="BF16" i="2"/>
  <c r="BE16" i="2"/>
  <c r="BD16" i="2"/>
  <c r="BC16" i="2"/>
  <c r="BB16" i="2"/>
  <c r="AX16" i="2"/>
  <c r="AW16" i="2"/>
  <c r="AV16" i="2"/>
  <c r="AS16" i="2"/>
  <c r="AR16" i="2"/>
  <c r="AQ16" i="2"/>
  <c r="AP16" i="2"/>
  <c r="AO16" i="2"/>
  <c r="AN16" i="2"/>
  <c r="AM16" i="2"/>
  <c r="AL16" i="2"/>
  <c r="AH16" i="2"/>
  <c r="AG16" i="2"/>
  <c r="AF16" i="2"/>
  <c r="AE16" i="2"/>
  <c r="AD16" i="2"/>
  <c r="AC16" i="2"/>
  <c r="AA16" i="2"/>
  <c r="Z16" i="2"/>
  <c r="Y16" i="2"/>
  <c r="X16" i="2"/>
  <c r="W16" i="2"/>
  <c r="T16" i="2"/>
  <c r="S16" i="2"/>
  <c r="R16" i="2"/>
  <c r="Q16" i="2"/>
  <c r="P16" i="2"/>
  <c r="O16" i="2"/>
  <c r="K16" i="2"/>
  <c r="J16" i="2"/>
  <c r="I16" i="2"/>
  <c r="H16" i="2"/>
  <c r="G16" i="2"/>
  <c r="F16" i="2"/>
  <c r="E16" i="2"/>
  <c r="BU15" i="2"/>
  <c r="BT15" i="2"/>
  <c r="BS15" i="2"/>
  <c r="BR15" i="2"/>
  <c r="BQ15" i="2"/>
  <c r="BP15" i="2"/>
  <c r="BO15" i="2"/>
  <c r="BJ15" i="2"/>
  <c r="BI15" i="2"/>
  <c r="BH15" i="2"/>
  <c r="BG15" i="2"/>
  <c r="BF15" i="2"/>
  <c r="BE15" i="2"/>
  <c r="BD15" i="2"/>
  <c r="BC15" i="2"/>
  <c r="BB15" i="2"/>
  <c r="AX15" i="2"/>
  <c r="AW15" i="2"/>
  <c r="AV15" i="2"/>
  <c r="AS15" i="2"/>
  <c r="AR15" i="2"/>
  <c r="AQ15" i="2"/>
  <c r="AP15" i="2"/>
  <c r="AO15" i="2"/>
  <c r="AN15" i="2"/>
  <c r="AM15" i="2"/>
  <c r="AL15" i="2"/>
  <c r="AH15" i="2"/>
  <c r="AG15" i="2"/>
  <c r="AF15" i="2"/>
  <c r="AE15" i="2"/>
  <c r="AD15" i="2"/>
  <c r="AC15" i="2"/>
  <c r="AA15" i="2"/>
  <c r="Z15" i="2"/>
  <c r="Y15" i="2"/>
  <c r="X15" i="2"/>
  <c r="W15" i="2"/>
  <c r="T15" i="2"/>
  <c r="S15" i="2"/>
  <c r="R15" i="2"/>
  <c r="Q15" i="2"/>
  <c r="P15" i="2"/>
  <c r="O15" i="2"/>
  <c r="K15" i="2"/>
  <c r="J15" i="2"/>
  <c r="I15" i="2"/>
  <c r="H15" i="2"/>
  <c r="G15" i="2"/>
  <c r="F15" i="2"/>
  <c r="E15" i="2"/>
  <c r="BU14" i="2"/>
  <c r="BT14" i="2"/>
  <c r="BS14" i="2"/>
  <c r="BR14" i="2"/>
  <c r="BQ14" i="2"/>
  <c r="BP14" i="2"/>
  <c r="BO14" i="2"/>
  <c r="BJ14" i="2"/>
  <c r="BI14" i="2"/>
  <c r="BH14" i="2"/>
  <c r="BG14" i="2"/>
  <c r="BF14" i="2"/>
  <c r="BE14" i="2"/>
  <c r="BD14" i="2"/>
  <c r="BC14" i="2"/>
  <c r="BB14" i="2"/>
  <c r="AX14" i="2"/>
  <c r="AW14" i="2"/>
  <c r="AV14" i="2"/>
  <c r="AS14" i="2"/>
  <c r="AR14" i="2"/>
  <c r="AQ14" i="2"/>
  <c r="AP14" i="2"/>
  <c r="AO14" i="2"/>
  <c r="AN14" i="2"/>
  <c r="AM14" i="2"/>
  <c r="AL14" i="2"/>
  <c r="AH14" i="2"/>
  <c r="AG14" i="2"/>
  <c r="AF14" i="2"/>
  <c r="AE14" i="2"/>
  <c r="AD14" i="2"/>
  <c r="AC14" i="2"/>
  <c r="AA14" i="2"/>
  <c r="Z14" i="2"/>
  <c r="Y14" i="2"/>
  <c r="X14" i="2"/>
  <c r="W14" i="2"/>
  <c r="T14" i="2"/>
  <c r="S14" i="2"/>
  <c r="R14" i="2"/>
  <c r="Q14" i="2"/>
  <c r="P14" i="2"/>
  <c r="O14" i="2"/>
  <c r="K14" i="2"/>
  <c r="J14" i="2"/>
  <c r="I14" i="2"/>
  <c r="H14" i="2"/>
  <c r="G14" i="2"/>
  <c r="F14" i="2"/>
  <c r="E14" i="2"/>
  <c r="BU13" i="2"/>
  <c r="BT13" i="2"/>
  <c r="BS13" i="2"/>
  <c r="BR13" i="2"/>
  <c r="BQ13" i="2"/>
  <c r="BP13" i="2"/>
  <c r="BO13" i="2"/>
  <c r="BJ13" i="2"/>
  <c r="BI13" i="2"/>
  <c r="BH13" i="2"/>
  <c r="BG13" i="2"/>
  <c r="BF13" i="2"/>
  <c r="BE13" i="2"/>
  <c r="BD13" i="2"/>
  <c r="BC13" i="2"/>
  <c r="BB13" i="2"/>
  <c r="AX13" i="2"/>
  <c r="AW13" i="2"/>
  <c r="AV13" i="2"/>
  <c r="AS13" i="2"/>
  <c r="AR13" i="2"/>
  <c r="AQ13" i="2"/>
  <c r="AP13" i="2"/>
  <c r="AO13" i="2"/>
  <c r="AN13" i="2"/>
  <c r="AM13" i="2"/>
  <c r="AL13" i="2"/>
  <c r="AH13" i="2"/>
  <c r="AG13" i="2"/>
  <c r="AF13" i="2"/>
  <c r="AE13" i="2"/>
  <c r="AD13" i="2"/>
  <c r="AC13" i="2"/>
  <c r="AA13" i="2"/>
  <c r="Z13" i="2"/>
  <c r="Y13" i="2"/>
  <c r="X13" i="2"/>
  <c r="W13" i="2"/>
  <c r="T13" i="2"/>
  <c r="S13" i="2"/>
  <c r="R13" i="2"/>
  <c r="Q13" i="2"/>
  <c r="P13" i="2"/>
  <c r="O13" i="2"/>
  <c r="K13" i="2"/>
  <c r="J13" i="2"/>
  <c r="I13" i="2"/>
  <c r="H13" i="2"/>
  <c r="G13" i="2"/>
  <c r="F13" i="2"/>
  <c r="E13" i="2"/>
  <c r="BU12" i="2"/>
  <c r="BT12" i="2"/>
  <c r="BS12" i="2"/>
  <c r="BR12" i="2"/>
  <c r="BQ12" i="2"/>
  <c r="BP12" i="2"/>
  <c r="BO12" i="2"/>
  <c r="BJ12" i="2"/>
  <c r="BI12" i="2"/>
  <c r="BH12" i="2"/>
  <c r="BG12" i="2"/>
  <c r="BF12" i="2"/>
  <c r="BE12" i="2"/>
  <c r="BD12" i="2"/>
  <c r="BC12" i="2"/>
  <c r="BB12" i="2"/>
  <c r="AX12" i="2"/>
  <c r="AW12" i="2"/>
  <c r="AV12" i="2"/>
  <c r="AS12" i="2"/>
  <c r="AR12" i="2"/>
  <c r="AQ12" i="2"/>
  <c r="AP12" i="2"/>
  <c r="AO12" i="2"/>
  <c r="AN12" i="2"/>
  <c r="AM12" i="2"/>
  <c r="AL12" i="2"/>
  <c r="AH12" i="2"/>
  <c r="AG12" i="2"/>
  <c r="AF12" i="2"/>
  <c r="AE12" i="2"/>
  <c r="AD12" i="2"/>
  <c r="AC12" i="2"/>
  <c r="AA12" i="2"/>
  <c r="Z12" i="2"/>
  <c r="Y12" i="2"/>
  <c r="X12" i="2"/>
  <c r="W12" i="2"/>
  <c r="T12" i="2"/>
  <c r="S12" i="2"/>
  <c r="R12" i="2"/>
  <c r="Q12" i="2"/>
  <c r="P12" i="2"/>
  <c r="O12" i="2"/>
  <c r="K12" i="2"/>
  <c r="J12" i="2"/>
  <c r="I12" i="2"/>
  <c r="H12" i="2"/>
  <c r="G12" i="2"/>
  <c r="F12" i="2"/>
  <c r="E12" i="2"/>
  <c r="BU11" i="2"/>
  <c r="BT11" i="2"/>
  <c r="BS11" i="2"/>
  <c r="BR11" i="2"/>
  <c r="BQ11" i="2"/>
  <c r="BP11" i="2"/>
  <c r="BO11" i="2"/>
  <c r="BJ11" i="2"/>
  <c r="BI11" i="2"/>
  <c r="BH11" i="2"/>
  <c r="BG11" i="2"/>
  <c r="BF11" i="2"/>
  <c r="BE11" i="2"/>
  <c r="BD11" i="2"/>
  <c r="BC11" i="2"/>
  <c r="BB11" i="2"/>
  <c r="AX11" i="2"/>
  <c r="AW11" i="2"/>
  <c r="AV11" i="2"/>
  <c r="AS11" i="2"/>
  <c r="AR11" i="2"/>
  <c r="AQ11" i="2"/>
  <c r="AP11" i="2"/>
  <c r="AO11" i="2"/>
  <c r="AN11" i="2"/>
  <c r="AM11" i="2"/>
  <c r="AL11" i="2"/>
  <c r="AH11" i="2"/>
  <c r="AG11" i="2"/>
  <c r="AF11" i="2"/>
  <c r="AE11" i="2"/>
  <c r="AD11" i="2"/>
  <c r="AC11" i="2"/>
  <c r="AA11" i="2"/>
  <c r="Z11" i="2"/>
  <c r="Y11" i="2"/>
  <c r="X11" i="2"/>
  <c r="W11" i="2"/>
  <c r="T11" i="2"/>
  <c r="S11" i="2"/>
  <c r="R11" i="2"/>
  <c r="Q11" i="2"/>
  <c r="P11" i="2"/>
  <c r="O11" i="2"/>
  <c r="K11" i="2"/>
  <c r="J11" i="2"/>
  <c r="I11" i="2"/>
  <c r="H11" i="2"/>
  <c r="G11" i="2"/>
  <c r="F11" i="2"/>
  <c r="E11" i="2"/>
  <c r="BU10" i="2"/>
  <c r="BT10" i="2"/>
  <c r="BS10" i="2"/>
  <c r="BR10" i="2"/>
  <c r="BQ10" i="2"/>
  <c r="BP10" i="2"/>
  <c r="BO10" i="2"/>
  <c r="BJ10" i="2"/>
  <c r="BI10" i="2"/>
  <c r="BH10" i="2"/>
  <c r="BG10" i="2"/>
  <c r="BF10" i="2"/>
  <c r="BE10" i="2"/>
  <c r="BD10" i="2"/>
  <c r="BC10" i="2"/>
  <c r="BB10" i="2"/>
  <c r="AX10" i="2"/>
  <c r="AW10" i="2"/>
  <c r="AV10" i="2"/>
  <c r="AS10" i="2"/>
  <c r="AR10" i="2"/>
  <c r="AQ10" i="2"/>
  <c r="AP10" i="2"/>
  <c r="AO10" i="2"/>
  <c r="AN10" i="2"/>
  <c r="AM10" i="2"/>
  <c r="AL10" i="2"/>
  <c r="AH10" i="2"/>
  <c r="AG10" i="2"/>
  <c r="AF10" i="2"/>
  <c r="AE10" i="2"/>
  <c r="AD10" i="2"/>
  <c r="AC10" i="2"/>
  <c r="AA10" i="2"/>
  <c r="Z10" i="2"/>
  <c r="Y10" i="2"/>
  <c r="X10" i="2"/>
  <c r="W10" i="2"/>
  <c r="T10" i="2"/>
  <c r="S10" i="2"/>
  <c r="R10" i="2"/>
  <c r="Q10" i="2"/>
  <c r="P10" i="2"/>
  <c r="O10" i="2"/>
  <c r="K10" i="2"/>
  <c r="J10" i="2"/>
  <c r="I10" i="2"/>
  <c r="H10" i="2"/>
  <c r="G10" i="2"/>
  <c r="F10" i="2"/>
  <c r="E10" i="2"/>
  <c r="BU9" i="2"/>
  <c r="BT9" i="2"/>
  <c r="BS9" i="2"/>
  <c r="BR9" i="2"/>
  <c r="BQ9" i="2"/>
  <c r="BP9" i="2"/>
  <c r="BO9" i="2"/>
  <c r="BJ9" i="2"/>
  <c r="BI9" i="2"/>
  <c r="BH9" i="2"/>
  <c r="BG9" i="2"/>
  <c r="BF9" i="2"/>
  <c r="BE9" i="2"/>
  <c r="BD9" i="2"/>
  <c r="BC9" i="2"/>
  <c r="BB9" i="2"/>
  <c r="AX9" i="2"/>
  <c r="AW9" i="2"/>
  <c r="AV9" i="2"/>
  <c r="AS9" i="2"/>
  <c r="AR9" i="2"/>
  <c r="AQ9" i="2"/>
  <c r="AP9" i="2"/>
  <c r="AO9" i="2"/>
  <c r="AN9" i="2"/>
  <c r="AM9" i="2"/>
  <c r="AL9" i="2"/>
  <c r="AH9" i="2"/>
  <c r="AG9" i="2"/>
  <c r="AF9" i="2"/>
  <c r="AE9" i="2"/>
  <c r="AD9" i="2"/>
  <c r="AC9" i="2"/>
  <c r="AA9" i="2"/>
  <c r="Z9" i="2"/>
  <c r="Y9" i="2"/>
  <c r="X9" i="2"/>
  <c r="W9" i="2"/>
  <c r="T9" i="2"/>
  <c r="S9" i="2"/>
  <c r="R9" i="2"/>
  <c r="Q9" i="2"/>
  <c r="P9" i="2"/>
  <c r="O9" i="2"/>
  <c r="K9" i="2"/>
  <c r="J9" i="2"/>
  <c r="I9" i="2"/>
  <c r="H9" i="2"/>
  <c r="G9" i="2"/>
  <c r="F9" i="2"/>
  <c r="E9" i="2"/>
  <c r="BU8" i="2"/>
  <c r="BT8" i="2"/>
  <c r="BS8" i="2"/>
  <c r="BR8" i="2"/>
  <c r="BQ8" i="2"/>
  <c r="BP8" i="2"/>
  <c r="BO8" i="2"/>
  <c r="BJ8" i="2"/>
  <c r="BI8" i="2"/>
  <c r="BH8" i="2"/>
  <c r="BG8" i="2"/>
  <c r="BF8" i="2"/>
  <c r="BE8" i="2"/>
  <c r="BD8" i="2"/>
  <c r="BC8" i="2"/>
  <c r="BB8" i="2"/>
  <c r="AX8" i="2"/>
  <c r="AW8" i="2"/>
  <c r="AV8" i="2"/>
  <c r="AS8" i="2"/>
  <c r="AR8" i="2"/>
  <c r="AQ8" i="2"/>
  <c r="AP8" i="2"/>
  <c r="AO8" i="2"/>
  <c r="AN8" i="2"/>
  <c r="AM8" i="2"/>
  <c r="AL8" i="2"/>
  <c r="AH8" i="2"/>
  <c r="AG8" i="2"/>
  <c r="AF8" i="2"/>
  <c r="AE8" i="2"/>
  <c r="AD8" i="2"/>
  <c r="AC8" i="2"/>
  <c r="AA8" i="2"/>
  <c r="Z8" i="2"/>
  <c r="Y8" i="2"/>
  <c r="X8" i="2"/>
  <c r="W8" i="2"/>
  <c r="T8" i="2"/>
  <c r="S8" i="2"/>
  <c r="R8" i="2"/>
  <c r="Q8" i="2"/>
  <c r="P8" i="2"/>
  <c r="O8" i="2"/>
  <c r="K8" i="2"/>
  <c r="J8" i="2"/>
  <c r="I8" i="2"/>
  <c r="H8" i="2"/>
  <c r="G8" i="2"/>
  <c r="F8" i="2"/>
  <c r="E8" i="2"/>
  <c r="BU7" i="2"/>
  <c r="BT7" i="2"/>
  <c r="BS7" i="2"/>
  <c r="BR7" i="2"/>
  <c r="BQ7" i="2"/>
  <c r="BP7" i="2"/>
  <c r="BO7" i="2"/>
  <c r="BJ7" i="2"/>
  <c r="BI7" i="2"/>
  <c r="BH7" i="2"/>
  <c r="BG7" i="2"/>
  <c r="BF7" i="2"/>
  <c r="BE7" i="2"/>
  <c r="BD7" i="2"/>
  <c r="BC7" i="2"/>
  <c r="BB7" i="2"/>
  <c r="AX7" i="2"/>
  <c r="AW7" i="2"/>
  <c r="AV7" i="2"/>
  <c r="AS7" i="2"/>
  <c r="AR7" i="2"/>
  <c r="AQ7" i="2"/>
  <c r="AP7" i="2"/>
  <c r="AO7" i="2"/>
  <c r="AN7" i="2"/>
  <c r="AM7" i="2"/>
  <c r="AL7" i="2"/>
  <c r="AH7" i="2"/>
  <c r="AG7" i="2"/>
  <c r="AF7" i="2"/>
  <c r="AE7" i="2"/>
  <c r="AD7" i="2"/>
  <c r="AC7" i="2"/>
  <c r="AA7" i="2"/>
  <c r="Z7" i="2"/>
  <c r="Y7" i="2"/>
  <c r="X7" i="2"/>
  <c r="W7" i="2"/>
  <c r="T7" i="2"/>
  <c r="S7" i="2"/>
  <c r="R7" i="2"/>
  <c r="Q7" i="2"/>
  <c r="P7" i="2"/>
  <c r="O7" i="2"/>
  <c r="K7" i="2"/>
  <c r="J7" i="2"/>
  <c r="I7" i="2"/>
  <c r="H7" i="2"/>
  <c r="G7" i="2"/>
  <c r="F7" i="2"/>
  <c r="E7" i="2"/>
  <c r="BU6" i="2"/>
  <c r="BT6" i="2"/>
  <c r="BS6" i="2"/>
  <c r="BR6" i="2"/>
  <c r="BQ6" i="2"/>
  <c r="BP6" i="2"/>
  <c r="BO6" i="2"/>
  <c r="BJ6" i="2"/>
  <c r="BI6" i="2"/>
  <c r="BH6" i="2"/>
  <c r="BG6" i="2"/>
  <c r="BF6" i="2"/>
  <c r="BE6" i="2"/>
  <c r="BD6" i="2"/>
  <c r="BC6" i="2"/>
  <c r="BB6" i="2"/>
  <c r="AX6" i="2"/>
  <c r="AW6" i="2"/>
  <c r="AV6" i="2"/>
  <c r="AS6" i="2"/>
  <c r="AR6" i="2"/>
  <c r="AQ6" i="2"/>
  <c r="AP6" i="2"/>
  <c r="AO6" i="2"/>
  <c r="AN6" i="2"/>
  <c r="AM6" i="2"/>
  <c r="AL6" i="2"/>
  <c r="AH6" i="2"/>
  <c r="AG6" i="2"/>
  <c r="AF6" i="2"/>
  <c r="AE6" i="2"/>
  <c r="AD6" i="2"/>
  <c r="AC6" i="2"/>
  <c r="AA6" i="2"/>
  <c r="Z6" i="2"/>
  <c r="Y6" i="2"/>
  <c r="X6" i="2"/>
  <c r="W6" i="2"/>
  <c r="T6" i="2"/>
  <c r="S6" i="2"/>
  <c r="R6" i="2"/>
  <c r="Q6" i="2"/>
  <c r="P6" i="2"/>
  <c r="O6" i="2"/>
  <c r="K6" i="2"/>
  <c r="J6" i="2"/>
  <c r="I6" i="2"/>
  <c r="H6" i="2"/>
  <c r="G6" i="2"/>
  <c r="F6" i="2"/>
  <c r="E6" i="2"/>
  <c r="BU5" i="2"/>
  <c r="BT5" i="2"/>
  <c r="BS5" i="2"/>
  <c r="BR5" i="2"/>
  <c r="BQ5" i="2"/>
  <c r="BP5" i="2"/>
  <c r="BO5" i="2"/>
  <c r="BJ5" i="2"/>
  <c r="BI5" i="2"/>
  <c r="BH5" i="2"/>
  <c r="BG5" i="2"/>
  <c r="BF5" i="2"/>
  <c r="BE5" i="2"/>
  <c r="BD5" i="2"/>
  <c r="BC5" i="2"/>
  <c r="BB5" i="2"/>
  <c r="AX5" i="2"/>
  <c r="AW5" i="2"/>
  <c r="AV5" i="2"/>
  <c r="AS5" i="2"/>
  <c r="AR5" i="2"/>
  <c r="AQ5" i="2"/>
  <c r="AP5" i="2"/>
  <c r="AO5" i="2"/>
  <c r="AN5" i="2"/>
  <c r="AM5" i="2"/>
  <c r="AL5" i="2"/>
  <c r="AH5" i="2"/>
  <c r="AG5" i="2"/>
  <c r="AF5" i="2"/>
  <c r="AE5" i="2"/>
  <c r="AD5" i="2"/>
  <c r="AC5" i="2"/>
  <c r="AA5" i="2"/>
  <c r="Z5" i="2"/>
  <c r="Y5" i="2"/>
  <c r="X5" i="2"/>
  <c r="W5" i="2"/>
  <c r="T5" i="2"/>
  <c r="S5" i="2"/>
  <c r="R5" i="2"/>
  <c r="Q5" i="2"/>
  <c r="P5" i="2"/>
  <c r="O5" i="2"/>
  <c r="K5" i="2"/>
  <c r="J5" i="2"/>
  <c r="I5" i="2"/>
  <c r="H5" i="2"/>
  <c r="G5" i="2"/>
  <c r="F5" i="2"/>
  <c r="E5" i="2"/>
  <c r="BU4" i="2"/>
  <c r="BT4" i="2"/>
  <c r="BS4" i="2"/>
  <c r="BR4" i="2"/>
  <c r="BQ4" i="2"/>
  <c r="BP4" i="2"/>
  <c r="BO4" i="2"/>
  <c r="BJ4" i="2"/>
  <c r="BI4" i="2"/>
  <c r="BH4" i="2"/>
  <c r="BG4" i="2"/>
  <c r="BF4" i="2"/>
  <c r="BE4" i="2"/>
  <c r="BD4" i="2"/>
  <c r="BC4" i="2"/>
  <c r="BB4" i="2"/>
  <c r="AX4" i="2"/>
  <c r="AW4" i="2"/>
  <c r="AV4" i="2"/>
  <c r="AS4" i="2"/>
  <c r="AR4" i="2"/>
  <c r="AQ4" i="2"/>
  <c r="AP4" i="2"/>
  <c r="AO4" i="2"/>
  <c r="AN4" i="2"/>
  <c r="AM4" i="2"/>
  <c r="AL4" i="2"/>
  <c r="AH4" i="2"/>
  <c r="AG4" i="2"/>
  <c r="AF4" i="2"/>
  <c r="AE4" i="2"/>
  <c r="AD4" i="2"/>
  <c r="AC4" i="2"/>
  <c r="AA4" i="2"/>
  <c r="Z4" i="2"/>
  <c r="Y4" i="2"/>
  <c r="X4" i="2"/>
  <c r="W4" i="2"/>
  <c r="T4" i="2"/>
  <c r="S4" i="2"/>
  <c r="R4" i="2"/>
  <c r="Q4" i="2"/>
  <c r="P4" i="2"/>
  <c r="O4" i="2"/>
  <c r="K4" i="2"/>
  <c r="J4" i="2"/>
  <c r="I4" i="2"/>
  <c r="H4" i="2"/>
  <c r="G4" i="2"/>
  <c r="F4" i="2"/>
  <c r="E4" i="2"/>
  <c r="BU3" i="2"/>
  <c r="BT3" i="2"/>
  <c r="BS3" i="2"/>
  <c r="BR3" i="2"/>
  <c r="BQ3" i="2"/>
  <c r="BP3" i="2"/>
  <c r="BO3" i="2"/>
  <c r="BJ3" i="2"/>
  <c r="BI3" i="2"/>
  <c r="BH3" i="2"/>
  <c r="BG3" i="2"/>
  <c r="BF3" i="2"/>
  <c r="BE3" i="2"/>
  <c r="BD3" i="2"/>
  <c r="BC3" i="2"/>
  <c r="BB3" i="2"/>
  <c r="AX3" i="2"/>
  <c r="AW3" i="2"/>
  <c r="AV3" i="2"/>
  <c r="AS3" i="2"/>
  <c r="AR3" i="2"/>
  <c r="AQ3" i="2"/>
  <c r="AP3" i="2"/>
  <c r="AO3" i="2"/>
  <c r="AN3" i="2"/>
  <c r="AM3" i="2"/>
  <c r="AL3" i="2"/>
  <c r="AH3" i="2"/>
  <c r="AG3" i="2"/>
  <c r="AF3" i="2"/>
  <c r="AE3" i="2"/>
  <c r="AD3" i="2"/>
  <c r="AC3" i="2"/>
  <c r="AA3" i="2"/>
  <c r="Z3" i="2"/>
  <c r="Y3" i="2"/>
  <c r="X3" i="2"/>
  <c r="W3" i="2"/>
  <c r="T3" i="2"/>
  <c r="S3" i="2"/>
  <c r="R3" i="2"/>
  <c r="Q3" i="2"/>
  <c r="P3" i="2"/>
  <c r="O3" i="2"/>
  <c r="K3" i="2"/>
  <c r="J3" i="2"/>
  <c r="I3" i="2"/>
  <c r="H3" i="2"/>
  <c r="G3" i="2"/>
  <c r="F3" i="2"/>
  <c r="E3" i="2"/>
  <c r="BU144" i="1"/>
  <c r="BT144" i="1"/>
  <c r="BS144" i="1"/>
  <c r="BR144" i="1"/>
  <c r="BQ144" i="1"/>
  <c r="BP144" i="1"/>
  <c r="BO144" i="1"/>
  <c r="BJ144" i="1"/>
  <c r="BI144" i="1"/>
  <c r="BH144" i="1"/>
  <c r="BG144" i="1"/>
  <c r="BF144" i="1"/>
  <c r="BE144" i="1"/>
  <c r="BD144" i="1"/>
  <c r="BC144" i="1"/>
  <c r="BB144" i="1"/>
  <c r="AX144" i="1"/>
  <c r="AW144" i="1"/>
  <c r="AV144" i="1"/>
  <c r="AS144" i="1"/>
  <c r="AR144" i="1"/>
  <c r="AQ144" i="1"/>
  <c r="AP144" i="1"/>
  <c r="AO144" i="1"/>
  <c r="AN144" i="1"/>
  <c r="AM144" i="1"/>
  <c r="AL144" i="1"/>
  <c r="AH144" i="1"/>
  <c r="AG144" i="1"/>
  <c r="AF144" i="1"/>
  <c r="AE144" i="1"/>
  <c r="AD144" i="1"/>
  <c r="AC144" i="1"/>
  <c r="AA144" i="1"/>
  <c r="Z144" i="1"/>
  <c r="Y144" i="1"/>
  <c r="X144" i="1"/>
  <c r="W144" i="1"/>
  <c r="T144" i="1"/>
  <c r="S144" i="1"/>
  <c r="R144" i="1"/>
  <c r="Q144" i="1"/>
  <c r="P144" i="1"/>
  <c r="O144" i="1"/>
  <c r="K144" i="1"/>
  <c r="J144" i="1"/>
  <c r="I144" i="1"/>
  <c r="H144" i="1"/>
  <c r="G144" i="1"/>
  <c r="F144" i="1"/>
  <c r="E144" i="1"/>
  <c r="BU143" i="1"/>
  <c r="BT143" i="1"/>
  <c r="BS143" i="1"/>
  <c r="BR143" i="1"/>
  <c r="BQ143" i="1"/>
  <c r="BP143" i="1"/>
  <c r="BO143" i="1"/>
  <c r="BJ143" i="1"/>
  <c r="BI143" i="1"/>
  <c r="BH143" i="1"/>
  <c r="BG143" i="1"/>
  <c r="BF143" i="1"/>
  <c r="BE143" i="1"/>
  <c r="BD143" i="1"/>
  <c r="BC143" i="1"/>
  <c r="BB143" i="1"/>
  <c r="AX143" i="1"/>
  <c r="AW143" i="1"/>
  <c r="AV143" i="1"/>
  <c r="AS143" i="1"/>
  <c r="AR143" i="1"/>
  <c r="AQ143" i="1"/>
  <c r="AP143" i="1"/>
  <c r="AO143" i="1"/>
  <c r="AN143" i="1"/>
  <c r="AM143" i="1"/>
  <c r="AL143" i="1"/>
  <c r="AH143" i="1"/>
  <c r="AG143" i="1"/>
  <c r="AF143" i="1"/>
  <c r="AE143" i="1"/>
  <c r="AD143" i="1"/>
  <c r="AC143" i="1"/>
  <c r="AA143" i="1"/>
  <c r="Z143" i="1"/>
  <c r="Y143" i="1"/>
  <c r="X143" i="1"/>
  <c r="W143" i="1"/>
  <c r="T143" i="1"/>
  <c r="S143" i="1"/>
  <c r="R143" i="1"/>
  <c r="Q143" i="1"/>
  <c r="P143" i="1"/>
  <c r="O143" i="1"/>
  <c r="K143" i="1"/>
  <c r="J143" i="1"/>
  <c r="I143" i="1"/>
  <c r="H143" i="1"/>
  <c r="G143" i="1"/>
  <c r="F143" i="1"/>
  <c r="E143" i="1"/>
  <c r="BU142" i="1"/>
  <c r="BT142" i="1"/>
  <c r="BS142" i="1"/>
  <c r="BR142" i="1"/>
  <c r="BQ142" i="1"/>
  <c r="BP142" i="1"/>
  <c r="BO142" i="1"/>
  <c r="BJ142" i="1"/>
  <c r="BI142" i="1"/>
  <c r="BH142" i="1"/>
  <c r="BG142" i="1"/>
  <c r="BF142" i="1"/>
  <c r="BE142" i="1"/>
  <c r="BD142" i="1"/>
  <c r="BC142" i="1"/>
  <c r="BB142" i="1"/>
  <c r="AX142" i="1"/>
  <c r="AW142" i="1"/>
  <c r="AV142" i="1"/>
  <c r="AS142" i="1"/>
  <c r="AR142" i="1"/>
  <c r="AQ142" i="1"/>
  <c r="AP142" i="1"/>
  <c r="AO142" i="1"/>
  <c r="AN142" i="1"/>
  <c r="AM142" i="1"/>
  <c r="AL142" i="1"/>
  <c r="AH142" i="1"/>
  <c r="AG142" i="1"/>
  <c r="AF142" i="1"/>
  <c r="AE142" i="1"/>
  <c r="AD142" i="1"/>
  <c r="AC142" i="1"/>
  <c r="AA142" i="1"/>
  <c r="Z142" i="1"/>
  <c r="Y142" i="1"/>
  <c r="X142" i="1"/>
  <c r="W142" i="1"/>
  <c r="T142" i="1"/>
  <c r="S142" i="1"/>
  <c r="R142" i="1"/>
  <c r="Q142" i="1"/>
  <c r="P142" i="1"/>
  <c r="O142" i="1"/>
  <c r="K142" i="1"/>
  <c r="J142" i="1"/>
  <c r="I142" i="1"/>
  <c r="H142" i="1"/>
  <c r="G142" i="1"/>
  <c r="F142" i="1"/>
  <c r="E142" i="1"/>
  <c r="BU141" i="1"/>
  <c r="BT141" i="1"/>
  <c r="BS141" i="1"/>
  <c r="BR141" i="1"/>
  <c r="BQ141" i="1"/>
  <c r="BP141" i="1"/>
  <c r="BO141" i="1"/>
  <c r="BJ141" i="1"/>
  <c r="BI141" i="1"/>
  <c r="BH141" i="1"/>
  <c r="BG141" i="1"/>
  <c r="BF141" i="1"/>
  <c r="BE141" i="1"/>
  <c r="BD141" i="1"/>
  <c r="BC141" i="1"/>
  <c r="BB141" i="1"/>
  <c r="AX141" i="1"/>
  <c r="AW141" i="1"/>
  <c r="AV141" i="1"/>
  <c r="AS141" i="1"/>
  <c r="AR141" i="1"/>
  <c r="AQ141" i="1"/>
  <c r="AP141" i="1"/>
  <c r="AO141" i="1"/>
  <c r="AN141" i="1"/>
  <c r="AM141" i="1"/>
  <c r="AL141" i="1"/>
  <c r="AH141" i="1"/>
  <c r="AG141" i="1"/>
  <c r="AF141" i="1"/>
  <c r="AE141" i="1"/>
  <c r="AD141" i="1"/>
  <c r="AC141" i="1"/>
  <c r="AA141" i="1"/>
  <c r="Z141" i="1"/>
  <c r="Y141" i="1"/>
  <c r="X141" i="1"/>
  <c r="W141" i="1"/>
  <c r="T141" i="1"/>
  <c r="S141" i="1"/>
  <c r="R141" i="1"/>
  <c r="Q141" i="1"/>
  <c r="P141" i="1"/>
  <c r="O141" i="1"/>
  <c r="K141" i="1"/>
  <c r="J141" i="1"/>
  <c r="I141" i="1"/>
  <c r="H141" i="1"/>
  <c r="G141" i="1"/>
  <c r="F141" i="1"/>
  <c r="E141" i="1"/>
  <c r="BU140" i="1"/>
  <c r="BT140" i="1"/>
  <c r="BS140" i="1"/>
  <c r="BR140" i="1"/>
  <c r="BQ140" i="1"/>
  <c r="BP140" i="1"/>
  <c r="BO140" i="1"/>
  <c r="BJ140" i="1"/>
  <c r="BI140" i="1"/>
  <c r="BH140" i="1"/>
  <c r="BG140" i="1"/>
  <c r="BF140" i="1"/>
  <c r="BE140" i="1"/>
  <c r="BD140" i="1"/>
  <c r="BC140" i="1"/>
  <c r="BB140" i="1"/>
  <c r="AX140" i="1"/>
  <c r="AW140" i="1"/>
  <c r="AV140" i="1"/>
  <c r="AS140" i="1"/>
  <c r="AR140" i="1"/>
  <c r="AQ140" i="1"/>
  <c r="AP140" i="1"/>
  <c r="AO140" i="1"/>
  <c r="AN140" i="1"/>
  <c r="AM140" i="1"/>
  <c r="AL140" i="1"/>
  <c r="AH140" i="1"/>
  <c r="AG140" i="1"/>
  <c r="AF140" i="1"/>
  <c r="AE140" i="1"/>
  <c r="AD140" i="1"/>
  <c r="AC140" i="1"/>
  <c r="AA140" i="1"/>
  <c r="Z140" i="1"/>
  <c r="Y140" i="1"/>
  <c r="X140" i="1"/>
  <c r="W140" i="1"/>
  <c r="T140" i="1"/>
  <c r="S140" i="1"/>
  <c r="R140" i="1"/>
  <c r="Q140" i="1"/>
  <c r="P140" i="1"/>
  <c r="O140" i="1"/>
  <c r="K140" i="1"/>
  <c r="J140" i="1"/>
  <c r="I140" i="1"/>
  <c r="H140" i="1"/>
  <c r="G140" i="1"/>
  <c r="F140" i="1"/>
  <c r="E140" i="1"/>
  <c r="BU139" i="1"/>
  <c r="BT139" i="1"/>
  <c r="BS139" i="1"/>
  <c r="BR139" i="1"/>
  <c r="BQ139" i="1"/>
  <c r="BP139" i="1"/>
  <c r="BO139" i="1"/>
  <c r="BJ139" i="1"/>
  <c r="BI139" i="1"/>
  <c r="BH139" i="1"/>
  <c r="BG139" i="1"/>
  <c r="BF139" i="1"/>
  <c r="BE139" i="1"/>
  <c r="BD139" i="1"/>
  <c r="BC139" i="1"/>
  <c r="BB139" i="1"/>
  <c r="AX139" i="1"/>
  <c r="AW139" i="1"/>
  <c r="AV139" i="1"/>
  <c r="AS139" i="1"/>
  <c r="AR139" i="1"/>
  <c r="AQ139" i="1"/>
  <c r="AP139" i="1"/>
  <c r="AO139" i="1"/>
  <c r="AN139" i="1"/>
  <c r="AM139" i="1"/>
  <c r="AL139" i="1"/>
  <c r="AH139" i="1"/>
  <c r="AG139" i="1"/>
  <c r="AF139" i="1"/>
  <c r="AE139" i="1"/>
  <c r="AD139" i="1"/>
  <c r="AC139" i="1"/>
  <c r="AA139" i="1"/>
  <c r="Z139" i="1"/>
  <c r="Y139" i="1"/>
  <c r="X139" i="1"/>
  <c r="W139" i="1"/>
  <c r="T139" i="1"/>
  <c r="S139" i="1"/>
  <c r="R139" i="1"/>
  <c r="Q139" i="1"/>
  <c r="P139" i="1"/>
  <c r="O139" i="1"/>
  <c r="K139" i="1"/>
  <c r="J139" i="1"/>
  <c r="I139" i="1"/>
  <c r="H139" i="1"/>
  <c r="G139" i="1"/>
  <c r="F139" i="1"/>
  <c r="E139" i="1"/>
  <c r="BU138" i="1"/>
  <c r="BT138" i="1"/>
  <c r="BS138" i="1"/>
  <c r="BR138" i="1"/>
  <c r="BQ138" i="1"/>
  <c r="BP138" i="1"/>
  <c r="BO138" i="1"/>
  <c r="BJ138" i="1"/>
  <c r="BI138" i="1"/>
  <c r="BH138" i="1"/>
  <c r="BG138" i="1"/>
  <c r="BF138" i="1"/>
  <c r="BE138" i="1"/>
  <c r="BD138" i="1"/>
  <c r="BC138" i="1"/>
  <c r="BB138" i="1"/>
  <c r="AX138" i="1"/>
  <c r="AW138" i="1"/>
  <c r="AV138" i="1"/>
  <c r="AS138" i="1"/>
  <c r="AR138" i="1"/>
  <c r="AQ138" i="1"/>
  <c r="AP138" i="1"/>
  <c r="AO138" i="1"/>
  <c r="AN138" i="1"/>
  <c r="AM138" i="1"/>
  <c r="AL138" i="1"/>
  <c r="AH138" i="1"/>
  <c r="AG138" i="1"/>
  <c r="AF138" i="1"/>
  <c r="AE138" i="1"/>
  <c r="AD138" i="1"/>
  <c r="AC138" i="1"/>
  <c r="AA138" i="1"/>
  <c r="Z138" i="1"/>
  <c r="Y138" i="1"/>
  <c r="X138" i="1"/>
  <c r="W138" i="1"/>
  <c r="T138" i="1"/>
  <c r="S138" i="1"/>
  <c r="R138" i="1"/>
  <c r="Q138" i="1"/>
  <c r="P138" i="1"/>
  <c r="O138" i="1"/>
  <c r="K138" i="1"/>
  <c r="J138" i="1"/>
  <c r="I138" i="1"/>
  <c r="H138" i="1"/>
  <c r="G138" i="1"/>
  <c r="F138" i="1"/>
  <c r="E138" i="1"/>
  <c r="BU137" i="1"/>
  <c r="BT137" i="1"/>
  <c r="BS137" i="1"/>
  <c r="BR137" i="1"/>
  <c r="BQ137" i="1"/>
  <c r="BP137" i="1"/>
  <c r="BO137" i="1"/>
  <c r="BJ137" i="1"/>
  <c r="BI137" i="1"/>
  <c r="BH137" i="1"/>
  <c r="BG137" i="1"/>
  <c r="BF137" i="1"/>
  <c r="BE137" i="1"/>
  <c r="BD137" i="1"/>
  <c r="BC137" i="1"/>
  <c r="BB137" i="1"/>
  <c r="AX137" i="1"/>
  <c r="AW137" i="1"/>
  <c r="AV137" i="1"/>
  <c r="AS137" i="1"/>
  <c r="AR137" i="1"/>
  <c r="AQ137" i="1"/>
  <c r="AP137" i="1"/>
  <c r="AO137" i="1"/>
  <c r="AN137" i="1"/>
  <c r="AM137" i="1"/>
  <c r="AL137" i="1"/>
  <c r="AH137" i="1"/>
  <c r="AG137" i="1"/>
  <c r="AF137" i="1"/>
  <c r="AE137" i="1"/>
  <c r="AD137" i="1"/>
  <c r="AC137" i="1"/>
  <c r="AA137" i="1"/>
  <c r="Z137" i="1"/>
  <c r="Y137" i="1"/>
  <c r="X137" i="1"/>
  <c r="W137" i="1"/>
  <c r="T137" i="1"/>
  <c r="S137" i="1"/>
  <c r="R137" i="1"/>
  <c r="Q137" i="1"/>
  <c r="P137" i="1"/>
  <c r="O137" i="1"/>
  <c r="K137" i="1"/>
  <c r="J137" i="1"/>
  <c r="I137" i="1"/>
  <c r="H137" i="1"/>
  <c r="G137" i="1"/>
  <c r="F137" i="1"/>
  <c r="E137" i="1"/>
  <c r="BU136" i="1"/>
  <c r="BT136" i="1"/>
  <c r="BS136" i="1"/>
  <c r="BR136" i="1"/>
  <c r="BQ136" i="1"/>
  <c r="BP136" i="1"/>
  <c r="BO136" i="1"/>
  <c r="BJ136" i="1"/>
  <c r="BI136" i="1"/>
  <c r="BH136" i="1"/>
  <c r="BG136" i="1"/>
  <c r="BF136" i="1"/>
  <c r="BE136" i="1"/>
  <c r="BD136" i="1"/>
  <c r="BC136" i="1"/>
  <c r="BB136" i="1"/>
  <c r="AX136" i="1"/>
  <c r="AW136" i="1"/>
  <c r="AV136" i="1"/>
  <c r="AS136" i="1"/>
  <c r="AR136" i="1"/>
  <c r="AQ136" i="1"/>
  <c r="AP136" i="1"/>
  <c r="AO136" i="1"/>
  <c r="AN136" i="1"/>
  <c r="AM136" i="1"/>
  <c r="AL136" i="1"/>
  <c r="AH136" i="1"/>
  <c r="AG136" i="1"/>
  <c r="AF136" i="1"/>
  <c r="AE136" i="1"/>
  <c r="AD136" i="1"/>
  <c r="AC136" i="1"/>
  <c r="AA136" i="1"/>
  <c r="Z136" i="1"/>
  <c r="Y136" i="1"/>
  <c r="X136" i="1"/>
  <c r="W136" i="1"/>
  <c r="T136" i="1"/>
  <c r="S136" i="1"/>
  <c r="R136" i="1"/>
  <c r="Q136" i="1"/>
  <c r="P136" i="1"/>
  <c r="O136" i="1"/>
  <c r="K136" i="1"/>
  <c r="J136" i="1"/>
  <c r="I136" i="1"/>
  <c r="H136" i="1"/>
  <c r="G136" i="1"/>
  <c r="F136" i="1"/>
  <c r="E136" i="1"/>
  <c r="BU135" i="1"/>
  <c r="BT135" i="1"/>
  <c r="BS135" i="1"/>
  <c r="BR135" i="1"/>
  <c r="BQ135" i="1"/>
  <c r="BP135" i="1"/>
  <c r="BO135" i="1"/>
  <c r="BJ135" i="1"/>
  <c r="BI135" i="1"/>
  <c r="BH135" i="1"/>
  <c r="BG135" i="1"/>
  <c r="BF135" i="1"/>
  <c r="BE135" i="1"/>
  <c r="BD135" i="1"/>
  <c r="BC135" i="1"/>
  <c r="BB135" i="1"/>
  <c r="AX135" i="1"/>
  <c r="AW135" i="1"/>
  <c r="AV135" i="1"/>
  <c r="AS135" i="1"/>
  <c r="AR135" i="1"/>
  <c r="AQ135" i="1"/>
  <c r="AP135" i="1"/>
  <c r="AO135" i="1"/>
  <c r="AN135" i="1"/>
  <c r="AM135" i="1"/>
  <c r="AL135" i="1"/>
  <c r="AH135" i="1"/>
  <c r="AG135" i="1"/>
  <c r="AF135" i="1"/>
  <c r="AE135" i="1"/>
  <c r="AD135" i="1"/>
  <c r="AC135" i="1"/>
  <c r="AA135" i="1"/>
  <c r="Z135" i="1"/>
  <c r="Y135" i="1"/>
  <c r="X135" i="1"/>
  <c r="W135" i="1"/>
  <c r="T135" i="1"/>
  <c r="S135" i="1"/>
  <c r="R135" i="1"/>
  <c r="Q135" i="1"/>
  <c r="P135" i="1"/>
  <c r="O135" i="1"/>
  <c r="K135" i="1"/>
  <c r="J135" i="1"/>
  <c r="I135" i="1"/>
  <c r="H135" i="1"/>
  <c r="G135" i="1"/>
  <c r="F135" i="1"/>
  <c r="E135" i="1"/>
  <c r="BU134" i="1"/>
  <c r="BT134" i="1"/>
  <c r="BS134" i="1"/>
  <c r="BR134" i="1"/>
  <c r="BQ134" i="1"/>
  <c r="BP134" i="1"/>
  <c r="BO134" i="1"/>
  <c r="BJ134" i="1"/>
  <c r="BI134" i="1"/>
  <c r="BH134" i="1"/>
  <c r="BG134" i="1"/>
  <c r="BF134" i="1"/>
  <c r="BE134" i="1"/>
  <c r="BD134" i="1"/>
  <c r="BC134" i="1"/>
  <c r="BB134" i="1"/>
  <c r="AX134" i="1"/>
  <c r="AW134" i="1"/>
  <c r="AV134" i="1"/>
  <c r="AS134" i="1"/>
  <c r="AR134" i="1"/>
  <c r="AQ134" i="1"/>
  <c r="AP134" i="1"/>
  <c r="AO134" i="1"/>
  <c r="AN134" i="1"/>
  <c r="AM134" i="1"/>
  <c r="AL134" i="1"/>
  <c r="AH134" i="1"/>
  <c r="AG134" i="1"/>
  <c r="AF134" i="1"/>
  <c r="AE134" i="1"/>
  <c r="AD134" i="1"/>
  <c r="AC134" i="1"/>
  <c r="AA134" i="1"/>
  <c r="Z134" i="1"/>
  <c r="Y134" i="1"/>
  <c r="X134" i="1"/>
  <c r="W134" i="1"/>
  <c r="T134" i="1"/>
  <c r="S134" i="1"/>
  <c r="R134" i="1"/>
  <c r="Q134" i="1"/>
  <c r="P134" i="1"/>
  <c r="O134" i="1"/>
  <c r="K134" i="1"/>
  <c r="J134" i="1"/>
  <c r="I134" i="1"/>
  <c r="H134" i="1"/>
  <c r="G134" i="1"/>
  <c r="F134" i="1"/>
  <c r="E134" i="1"/>
  <c r="BU133" i="1"/>
  <c r="BT133" i="1"/>
  <c r="BS133" i="1"/>
  <c r="BR133" i="1"/>
  <c r="BQ133" i="1"/>
  <c r="BP133" i="1"/>
  <c r="BO133" i="1"/>
  <c r="BJ133" i="1"/>
  <c r="BI133" i="1"/>
  <c r="BH133" i="1"/>
  <c r="BG133" i="1"/>
  <c r="BF133" i="1"/>
  <c r="BE133" i="1"/>
  <c r="BD133" i="1"/>
  <c r="BC133" i="1"/>
  <c r="BB133" i="1"/>
  <c r="AX133" i="1"/>
  <c r="AW133" i="1"/>
  <c r="AV133" i="1"/>
  <c r="AS133" i="1"/>
  <c r="AR133" i="1"/>
  <c r="AQ133" i="1"/>
  <c r="AP133" i="1"/>
  <c r="AO133" i="1"/>
  <c r="AN133" i="1"/>
  <c r="AM133" i="1"/>
  <c r="AL133" i="1"/>
  <c r="AH133" i="1"/>
  <c r="AG133" i="1"/>
  <c r="AF133" i="1"/>
  <c r="AE133" i="1"/>
  <c r="AD133" i="1"/>
  <c r="AC133" i="1"/>
  <c r="AA133" i="1"/>
  <c r="Z133" i="1"/>
  <c r="Y133" i="1"/>
  <c r="X133" i="1"/>
  <c r="W133" i="1"/>
  <c r="T133" i="1"/>
  <c r="S133" i="1"/>
  <c r="R133" i="1"/>
  <c r="Q133" i="1"/>
  <c r="P133" i="1"/>
  <c r="O133" i="1"/>
  <c r="K133" i="1"/>
  <c r="J133" i="1"/>
  <c r="I133" i="1"/>
  <c r="H133" i="1"/>
  <c r="G133" i="1"/>
  <c r="F133" i="1"/>
  <c r="E133" i="1"/>
  <c r="BU132" i="1"/>
  <c r="BT132" i="1"/>
  <c r="BS132" i="1"/>
  <c r="BR132" i="1"/>
  <c r="BQ132" i="1"/>
  <c r="BP132" i="1"/>
  <c r="BO132" i="1"/>
  <c r="BJ132" i="1"/>
  <c r="BI132" i="1"/>
  <c r="BH132" i="1"/>
  <c r="BG132" i="1"/>
  <c r="BF132" i="1"/>
  <c r="BE132" i="1"/>
  <c r="BD132" i="1"/>
  <c r="BC132" i="1"/>
  <c r="BB132" i="1"/>
  <c r="AX132" i="1"/>
  <c r="AW132" i="1"/>
  <c r="AV132" i="1"/>
  <c r="AS132" i="1"/>
  <c r="AR132" i="1"/>
  <c r="AQ132" i="1"/>
  <c r="AP132" i="1"/>
  <c r="AO132" i="1"/>
  <c r="AN132" i="1"/>
  <c r="AM132" i="1"/>
  <c r="AL132" i="1"/>
  <c r="AH132" i="1"/>
  <c r="AG132" i="1"/>
  <c r="AF132" i="1"/>
  <c r="AE132" i="1"/>
  <c r="AD132" i="1"/>
  <c r="AC132" i="1"/>
  <c r="AA132" i="1"/>
  <c r="Z132" i="1"/>
  <c r="Y132" i="1"/>
  <c r="X132" i="1"/>
  <c r="W132" i="1"/>
  <c r="T132" i="1"/>
  <c r="S132" i="1"/>
  <c r="R132" i="1"/>
  <c r="Q132" i="1"/>
  <c r="P132" i="1"/>
  <c r="O132" i="1"/>
  <c r="K132" i="1"/>
  <c r="J132" i="1"/>
  <c r="I132" i="1"/>
  <c r="H132" i="1"/>
  <c r="G132" i="1"/>
  <c r="F132" i="1"/>
  <c r="E132" i="1"/>
  <c r="BU131" i="1"/>
  <c r="BT131" i="1"/>
  <c r="BS131" i="1"/>
  <c r="BR131" i="1"/>
  <c r="BQ131" i="1"/>
  <c r="BP131" i="1"/>
  <c r="BO131" i="1"/>
  <c r="BJ131" i="1"/>
  <c r="BI131" i="1"/>
  <c r="BH131" i="1"/>
  <c r="BG131" i="1"/>
  <c r="BF131" i="1"/>
  <c r="BE131" i="1"/>
  <c r="BD131" i="1"/>
  <c r="BC131" i="1"/>
  <c r="BB131" i="1"/>
  <c r="AX131" i="1"/>
  <c r="AW131" i="1"/>
  <c r="AV131" i="1"/>
  <c r="AS131" i="1"/>
  <c r="AR131" i="1"/>
  <c r="AQ131" i="1"/>
  <c r="AP131" i="1"/>
  <c r="AO131" i="1"/>
  <c r="AN131" i="1"/>
  <c r="AM131" i="1"/>
  <c r="AL131" i="1"/>
  <c r="AH131" i="1"/>
  <c r="AG131" i="1"/>
  <c r="AF131" i="1"/>
  <c r="AE131" i="1"/>
  <c r="AD131" i="1"/>
  <c r="AC131" i="1"/>
  <c r="AA131" i="1"/>
  <c r="Z131" i="1"/>
  <c r="Y131" i="1"/>
  <c r="X131" i="1"/>
  <c r="W131" i="1"/>
  <c r="T131" i="1"/>
  <c r="S131" i="1"/>
  <c r="R131" i="1"/>
  <c r="Q131" i="1"/>
  <c r="P131" i="1"/>
  <c r="O131" i="1"/>
  <c r="K131" i="1"/>
  <c r="J131" i="1"/>
  <c r="I131" i="1"/>
  <c r="H131" i="1"/>
  <c r="G131" i="1"/>
  <c r="F131" i="1"/>
  <c r="E131" i="1"/>
  <c r="BU130" i="1"/>
  <c r="BT130" i="1"/>
  <c r="BS130" i="1"/>
  <c r="BR130" i="1"/>
  <c r="BQ130" i="1"/>
  <c r="BP130" i="1"/>
  <c r="BO130" i="1"/>
  <c r="BJ130" i="1"/>
  <c r="BI130" i="1"/>
  <c r="BH130" i="1"/>
  <c r="BG130" i="1"/>
  <c r="BF130" i="1"/>
  <c r="BE130" i="1"/>
  <c r="BD130" i="1"/>
  <c r="BC130" i="1"/>
  <c r="BB130" i="1"/>
  <c r="AX130" i="1"/>
  <c r="AW130" i="1"/>
  <c r="AV130" i="1"/>
  <c r="AS130" i="1"/>
  <c r="AR130" i="1"/>
  <c r="AQ130" i="1"/>
  <c r="AP130" i="1"/>
  <c r="AO130" i="1"/>
  <c r="AN130" i="1"/>
  <c r="AM130" i="1"/>
  <c r="AL130" i="1"/>
  <c r="AH130" i="1"/>
  <c r="AG130" i="1"/>
  <c r="AF130" i="1"/>
  <c r="AE130" i="1"/>
  <c r="AD130" i="1"/>
  <c r="AC130" i="1"/>
  <c r="AA130" i="1"/>
  <c r="Z130" i="1"/>
  <c r="Y130" i="1"/>
  <c r="X130" i="1"/>
  <c r="W130" i="1"/>
  <c r="T130" i="1"/>
  <c r="S130" i="1"/>
  <c r="R130" i="1"/>
  <c r="Q130" i="1"/>
  <c r="P130" i="1"/>
  <c r="O130" i="1"/>
  <c r="K130" i="1"/>
  <c r="J130" i="1"/>
  <c r="I130" i="1"/>
  <c r="H130" i="1"/>
  <c r="G130" i="1"/>
  <c r="F130" i="1"/>
  <c r="E130" i="1"/>
  <c r="BU129" i="1"/>
  <c r="BT129" i="1"/>
  <c r="BS129" i="1"/>
  <c r="BR129" i="1"/>
  <c r="BQ129" i="1"/>
  <c r="BP129" i="1"/>
  <c r="BO129" i="1"/>
  <c r="BJ129" i="1"/>
  <c r="BI129" i="1"/>
  <c r="BH129" i="1"/>
  <c r="BG129" i="1"/>
  <c r="BF129" i="1"/>
  <c r="BE129" i="1"/>
  <c r="BD129" i="1"/>
  <c r="BC129" i="1"/>
  <c r="BB129" i="1"/>
  <c r="AX129" i="1"/>
  <c r="AW129" i="1"/>
  <c r="AV129" i="1"/>
  <c r="AS129" i="1"/>
  <c r="AR129" i="1"/>
  <c r="AQ129" i="1"/>
  <c r="AP129" i="1"/>
  <c r="AO129" i="1"/>
  <c r="AN129" i="1"/>
  <c r="AM129" i="1"/>
  <c r="AL129" i="1"/>
  <c r="AH129" i="1"/>
  <c r="AG129" i="1"/>
  <c r="AF129" i="1"/>
  <c r="AE129" i="1"/>
  <c r="AD129" i="1"/>
  <c r="AC129" i="1"/>
  <c r="AA129" i="1"/>
  <c r="Z129" i="1"/>
  <c r="Y129" i="1"/>
  <c r="X129" i="1"/>
  <c r="W129" i="1"/>
  <c r="T129" i="1"/>
  <c r="S129" i="1"/>
  <c r="R129" i="1"/>
  <c r="Q129" i="1"/>
  <c r="P129" i="1"/>
  <c r="O129" i="1"/>
  <c r="K129" i="1"/>
  <c r="J129" i="1"/>
  <c r="I129" i="1"/>
  <c r="H129" i="1"/>
  <c r="G129" i="1"/>
  <c r="F129" i="1"/>
  <c r="E129" i="1"/>
  <c r="BU128" i="1"/>
  <c r="BT128" i="1"/>
  <c r="BS128" i="1"/>
  <c r="BR128" i="1"/>
  <c r="BQ128" i="1"/>
  <c r="BP128" i="1"/>
  <c r="BO128" i="1"/>
  <c r="BJ128" i="1"/>
  <c r="BI128" i="1"/>
  <c r="BH128" i="1"/>
  <c r="BG128" i="1"/>
  <c r="BF128" i="1"/>
  <c r="BE128" i="1"/>
  <c r="BD128" i="1"/>
  <c r="BC128" i="1"/>
  <c r="BB128" i="1"/>
  <c r="AX128" i="1"/>
  <c r="AW128" i="1"/>
  <c r="AV128" i="1"/>
  <c r="AS128" i="1"/>
  <c r="AR128" i="1"/>
  <c r="AQ128" i="1"/>
  <c r="AP128" i="1"/>
  <c r="AO128" i="1"/>
  <c r="AN128" i="1"/>
  <c r="AM128" i="1"/>
  <c r="AL128" i="1"/>
  <c r="AH128" i="1"/>
  <c r="AG128" i="1"/>
  <c r="AF128" i="1"/>
  <c r="AE128" i="1"/>
  <c r="AD128" i="1"/>
  <c r="AC128" i="1"/>
  <c r="AA128" i="1"/>
  <c r="Z128" i="1"/>
  <c r="Y128" i="1"/>
  <c r="X128" i="1"/>
  <c r="W128" i="1"/>
  <c r="T128" i="1"/>
  <c r="S128" i="1"/>
  <c r="R128" i="1"/>
  <c r="Q128" i="1"/>
  <c r="P128" i="1"/>
  <c r="O128" i="1"/>
  <c r="K128" i="1"/>
  <c r="J128" i="1"/>
  <c r="I128" i="1"/>
  <c r="H128" i="1"/>
  <c r="G128" i="1"/>
  <c r="F128" i="1"/>
  <c r="E128" i="1"/>
  <c r="BU127" i="1"/>
  <c r="BT127" i="1"/>
  <c r="BS127" i="1"/>
  <c r="BR127" i="1"/>
  <c r="BQ127" i="1"/>
  <c r="BP127" i="1"/>
  <c r="BO127" i="1"/>
  <c r="BJ127" i="1"/>
  <c r="BI127" i="1"/>
  <c r="BH127" i="1"/>
  <c r="BG127" i="1"/>
  <c r="BF127" i="1"/>
  <c r="BE127" i="1"/>
  <c r="BD127" i="1"/>
  <c r="BC127" i="1"/>
  <c r="BB127" i="1"/>
  <c r="AX127" i="1"/>
  <c r="AW127" i="1"/>
  <c r="AV127" i="1"/>
  <c r="AS127" i="1"/>
  <c r="AR127" i="1"/>
  <c r="AQ127" i="1"/>
  <c r="AP127" i="1"/>
  <c r="AO127" i="1"/>
  <c r="AN127" i="1"/>
  <c r="AM127" i="1"/>
  <c r="AL127" i="1"/>
  <c r="AH127" i="1"/>
  <c r="AG127" i="1"/>
  <c r="AF127" i="1"/>
  <c r="AE127" i="1"/>
  <c r="AD127" i="1"/>
  <c r="AC127" i="1"/>
  <c r="AA127" i="1"/>
  <c r="Z127" i="1"/>
  <c r="Y127" i="1"/>
  <c r="X127" i="1"/>
  <c r="W127" i="1"/>
  <c r="T127" i="1"/>
  <c r="S127" i="1"/>
  <c r="R127" i="1"/>
  <c r="Q127" i="1"/>
  <c r="P127" i="1"/>
  <c r="O127" i="1"/>
  <c r="K127" i="1"/>
  <c r="J127" i="1"/>
  <c r="I127" i="1"/>
  <c r="H127" i="1"/>
  <c r="G127" i="1"/>
  <c r="F127" i="1"/>
  <c r="E127" i="1"/>
  <c r="BU126" i="1"/>
  <c r="BT126" i="1"/>
  <c r="BS126" i="1"/>
  <c r="BR126" i="1"/>
  <c r="BQ126" i="1"/>
  <c r="BP126" i="1"/>
  <c r="BO126" i="1"/>
  <c r="BJ126" i="1"/>
  <c r="BI126" i="1"/>
  <c r="BH126" i="1"/>
  <c r="BG126" i="1"/>
  <c r="BF126" i="1"/>
  <c r="BE126" i="1"/>
  <c r="BD126" i="1"/>
  <c r="BC126" i="1"/>
  <c r="BB126" i="1"/>
  <c r="AX126" i="1"/>
  <c r="AW126" i="1"/>
  <c r="AV126" i="1"/>
  <c r="AS126" i="1"/>
  <c r="AR126" i="1"/>
  <c r="AQ126" i="1"/>
  <c r="AP126" i="1"/>
  <c r="AO126" i="1"/>
  <c r="AN126" i="1"/>
  <c r="AM126" i="1"/>
  <c r="AL126" i="1"/>
  <c r="AH126" i="1"/>
  <c r="AG126" i="1"/>
  <c r="AF126" i="1"/>
  <c r="AE126" i="1"/>
  <c r="AD126" i="1"/>
  <c r="AC126" i="1"/>
  <c r="AA126" i="1"/>
  <c r="Z126" i="1"/>
  <c r="Y126" i="1"/>
  <c r="X126" i="1"/>
  <c r="W126" i="1"/>
  <c r="T126" i="1"/>
  <c r="S126" i="1"/>
  <c r="R126" i="1"/>
  <c r="Q126" i="1"/>
  <c r="P126" i="1"/>
  <c r="O126" i="1"/>
  <c r="K126" i="1"/>
  <c r="J126" i="1"/>
  <c r="I126" i="1"/>
  <c r="H126" i="1"/>
  <c r="G126" i="1"/>
  <c r="F126" i="1"/>
  <c r="E126" i="1"/>
  <c r="BU125" i="1"/>
  <c r="BT125" i="1"/>
  <c r="BS125" i="1"/>
  <c r="BR125" i="1"/>
  <c r="BQ125" i="1"/>
  <c r="BP125" i="1"/>
  <c r="BO125" i="1"/>
  <c r="BJ125" i="1"/>
  <c r="BI125" i="1"/>
  <c r="BH125" i="1"/>
  <c r="BG125" i="1"/>
  <c r="BF125" i="1"/>
  <c r="BE125" i="1"/>
  <c r="BD125" i="1"/>
  <c r="BC125" i="1"/>
  <c r="BB125" i="1"/>
  <c r="AX125" i="1"/>
  <c r="AW125" i="1"/>
  <c r="AV125" i="1"/>
  <c r="AS125" i="1"/>
  <c r="AR125" i="1"/>
  <c r="AQ125" i="1"/>
  <c r="AP125" i="1"/>
  <c r="AO125" i="1"/>
  <c r="AN125" i="1"/>
  <c r="AM125" i="1"/>
  <c r="AL125" i="1"/>
  <c r="AH125" i="1"/>
  <c r="AG125" i="1"/>
  <c r="AF125" i="1"/>
  <c r="AE125" i="1"/>
  <c r="AD125" i="1"/>
  <c r="AC125" i="1"/>
  <c r="AA125" i="1"/>
  <c r="Z125" i="1"/>
  <c r="Y125" i="1"/>
  <c r="X125" i="1"/>
  <c r="W125" i="1"/>
  <c r="T125" i="1"/>
  <c r="S125" i="1"/>
  <c r="R125" i="1"/>
  <c r="Q125" i="1"/>
  <c r="P125" i="1"/>
  <c r="O125" i="1"/>
  <c r="K125" i="1"/>
  <c r="J125" i="1"/>
  <c r="I125" i="1"/>
  <c r="H125" i="1"/>
  <c r="G125" i="1"/>
  <c r="F125" i="1"/>
  <c r="E125" i="1"/>
  <c r="BU124" i="1"/>
  <c r="BT124" i="1"/>
  <c r="BS124" i="1"/>
  <c r="BR124" i="1"/>
  <c r="BQ124" i="1"/>
  <c r="BP124" i="1"/>
  <c r="BO124" i="1"/>
  <c r="BJ124" i="1"/>
  <c r="BI124" i="1"/>
  <c r="BH124" i="1"/>
  <c r="BG124" i="1"/>
  <c r="BF124" i="1"/>
  <c r="BE124" i="1"/>
  <c r="BD124" i="1"/>
  <c r="BC124" i="1"/>
  <c r="BB124" i="1"/>
  <c r="AX124" i="1"/>
  <c r="AW124" i="1"/>
  <c r="AV124" i="1"/>
  <c r="AS124" i="1"/>
  <c r="AR124" i="1"/>
  <c r="AQ124" i="1"/>
  <c r="AP124" i="1"/>
  <c r="AO124" i="1"/>
  <c r="AN124" i="1"/>
  <c r="AM124" i="1"/>
  <c r="AL124" i="1"/>
  <c r="AH124" i="1"/>
  <c r="AG124" i="1"/>
  <c r="AF124" i="1"/>
  <c r="AE124" i="1"/>
  <c r="AD124" i="1"/>
  <c r="AC124" i="1"/>
  <c r="AA124" i="1"/>
  <c r="Z124" i="1"/>
  <c r="Y124" i="1"/>
  <c r="X124" i="1"/>
  <c r="W124" i="1"/>
  <c r="T124" i="1"/>
  <c r="S124" i="1"/>
  <c r="R124" i="1"/>
  <c r="Q124" i="1"/>
  <c r="P124" i="1"/>
  <c r="O124" i="1"/>
  <c r="K124" i="1"/>
  <c r="J124" i="1"/>
  <c r="I124" i="1"/>
  <c r="H124" i="1"/>
  <c r="G124" i="1"/>
  <c r="F124" i="1"/>
  <c r="E124" i="1"/>
  <c r="BU123" i="1"/>
  <c r="BT123" i="1"/>
  <c r="BS123" i="1"/>
  <c r="BR123" i="1"/>
  <c r="BQ123" i="1"/>
  <c r="BP123" i="1"/>
  <c r="BO123" i="1"/>
  <c r="BJ123" i="1"/>
  <c r="BI123" i="1"/>
  <c r="BH123" i="1"/>
  <c r="BG123" i="1"/>
  <c r="BF123" i="1"/>
  <c r="BE123" i="1"/>
  <c r="BD123" i="1"/>
  <c r="BC123" i="1"/>
  <c r="BB123" i="1"/>
  <c r="AX123" i="1"/>
  <c r="AW123" i="1"/>
  <c r="AV123" i="1"/>
  <c r="AS123" i="1"/>
  <c r="AR123" i="1"/>
  <c r="AQ123" i="1"/>
  <c r="AP123" i="1"/>
  <c r="AO123" i="1"/>
  <c r="AN123" i="1"/>
  <c r="AM123" i="1"/>
  <c r="AL123" i="1"/>
  <c r="AH123" i="1"/>
  <c r="AG123" i="1"/>
  <c r="AF123" i="1"/>
  <c r="AE123" i="1"/>
  <c r="AD123" i="1"/>
  <c r="AC123" i="1"/>
  <c r="AA123" i="1"/>
  <c r="Z123" i="1"/>
  <c r="Y123" i="1"/>
  <c r="X123" i="1"/>
  <c r="W123" i="1"/>
  <c r="T123" i="1"/>
  <c r="S123" i="1"/>
  <c r="R123" i="1"/>
  <c r="Q123" i="1"/>
  <c r="P123" i="1"/>
  <c r="O123" i="1"/>
  <c r="K123" i="1"/>
  <c r="J123" i="1"/>
  <c r="I123" i="1"/>
  <c r="H123" i="1"/>
  <c r="G123" i="1"/>
  <c r="F123" i="1"/>
  <c r="E123" i="1"/>
  <c r="BU122" i="1"/>
  <c r="BT122" i="1"/>
  <c r="BS122" i="1"/>
  <c r="BR122" i="1"/>
  <c r="BQ122" i="1"/>
  <c r="BP122" i="1"/>
  <c r="BO122" i="1"/>
  <c r="BJ122" i="1"/>
  <c r="BI122" i="1"/>
  <c r="BH122" i="1"/>
  <c r="BG122" i="1"/>
  <c r="BF122" i="1"/>
  <c r="BE122" i="1"/>
  <c r="BD122" i="1"/>
  <c r="BC122" i="1"/>
  <c r="BB122" i="1"/>
  <c r="AX122" i="1"/>
  <c r="AW122" i="1"/>
  <c r="AV122" i="1"/>
  <c r="AS122" i="1"/>
  <c r="AR122" i="1"/>
  <c r="AQ122" i="1"/>
  <c r="AP122" i="1"/>
  <c r="AO122" i="1"/>
  <c r="AN122" i="1"/>
  <c r="AM122" i="1"/>
  <c r="AL122" i="1"/>
  <c r="AH122" i="1"/>
  <c r="AG122" i="1"/>
  <c r="AF122" i="1"/>
  <c r="AE122" i="1"/>
  <c r="AD122" i="1"/>
  <c r="AC122" i="1"/>
  <c r="AA122" i="1"/>
  <c r="Z122" i="1"/>
  <c r="Y122" i="1"/>
  <c r="X122" i="1"/>
  <c r="W122" i="1"/>
  <c r="T122" i="1"/>
  <c r="S122" i="1"/>
  <c r="R122" i="1"/>
  <c r="Q122" i="1"/>
  <c r="P122" i="1"/>
  <c r="O122" i="1"/>
  <c r="K122" i="1"/>
  <c r="J122" i="1"/>
  <c r="I122" i="1"/>
  <c r="H122" i="1"/>
  <c r="G122" i="1"/>
  <c r="F122" i="1"/>
  <c r="E122" i="1"/>
  <c r="BU121" i="1"/>
  <c r="BT121" i="1"/>
  <c r="BS121" i="1"/>
  <c r="BR121" i="1"/>
  <c r="BQ121" i="1"/>
  <c r="BP121" i="1"/>
  <c r="BO121" i="1"/>
  <c r="BJ121" i="1"/>
  <c r="BI121" i="1"/>
  <c r="BH121" i="1"/>
  <c r="BG121" i="1"/>
  <c r="BF121" i="1"/>
  <c r="BE121" i="1"/>
  <c r="BD121" i="1"/>
  <c r="BC121" i="1"/>
  <c r="BB121" i="1"/>
  <c r="AX121" i="1"/>
  <c r="AW121" i="1"/>
  <c r="AV121" i="1"/>
  <c r="AS121" i="1"/>
  <c r="AR121" i="1"/>
  <c r="AQ121" i="1"/>
  <c r="AP121" i="1"/>
  <c r="AO121" i="1"/>
  <c r="AN121" i="1"/>
  <c r="AM121" i="1"/>
  <c r="AL121" i="1"/>
  <c r="AH121" i="1"/>
  <c r="AG121" i="1"/>
  <c r="AF121" i="1"/>
  <c r="AE121" i="1"/>
  <c r="AD121" i="1"/>
  <c r="AC121" i="1"/>
  <c r="AA121" i="1"/>
  <c r="Z121" i="1"/>
  <c r="Y121" i="1"/>
  <c r="X121" i="1"/>
  <c r="W121" i="1"/>
  <c r="T121" i="1"/>
  <c r="S121" i="1"/>
  <c r="R121" i="1"/>
  <c r="Q121" i="1"/>
  <c r="P121" i="1"/>
  <c r="O121" i="1"/>
  <c r="K121" i="1"/>
  <c r="J121" i="1"/>
  <c r="I121" i="1"/>
  <c r="H121" i="1"/>
  <c r="G121" i="1"/>
  <c r="F121" i="1"/>
  <c r="E121" i="1"/>
  <c r="BU120" i="1"/>
  <c r="BT120" i="1"/>
  <c r="BS120" i="1"/>
  <c r="BR120" i="1"/>
  <c r="BQ120" i="1"/>
  <c r="BP120" i="1"/>
  <c r="BO120" i="1"/>
  <c r="BJ120" i="1"/>
  <c r="BI120" i="1"/>
  <c r="BH120" i="1"/>
  <c r="BG120" i="1"/>
  <c r="BF120" i="1"/>
  <c r="BE120" i="1"/>
  <c r="BD120" i="1"/>
  <c r="BC120" i="1"/>
  <c r="BB120" i="1"/>
  <c r="AX120" i="1"/>
  <c r="AW120" i="1"/>
  <c r="AV120" i="1"/>
  <c r="AS120" i="1"/>
  <c r="AR120" i="1"/>
  <c r="AQ120" i="1"/>
  <c r="AP120" i="1"/>
  <c r="AO120" i="1"/>
  <c r="AN120" i="1"/>
  <c r="AM120" i="1"/>
  <c r="AL120" i="1"/>
  <c r="AH120" i="1"/>
  <c r="AG120" i="1"/>
  <c r="AF120" i="1"/>
  <c r="AE120" i="1"/>
  <c r="AD120" i="1"/>
  <c r="AC120" i="1"/>
  <c r="AA120" i="1"/>
  <c r="Z120" i="1"/>
  <c r="Y120" i="1"/>
  <c r="X120" i="1"/>
  <c r="W120" i="1"/>
  <c r="T120" i="1"/>
  <c r="S120" i="1"/>
  <c r="R120" i="1"/>
  <c r="Q120" i="1"/>
  <c r="P120" i="1"/>
  <c r="O120" i="1"/>
  <c r="K120" i="1"/>
  <c r="J120" i="1"/>
  <c r="I120" i="1"/>
  <c r="H120" i="1"/>
  <c r="G120" i="1"/>
  <c r="F120" i="1"/>
  <c r="E120" i="1"/>
  <c r="BU119" i="1"/>
  <c r="BT119" i="1"/>
  <c r="BS119" i="1"/>
  <c r="BR119" i="1"/>
  <c r="BQ119" i="1"/>
  <c r="BP119" i="1"/>
  <c r="BO119" i="1"/>
  <c r="BJ119" i="1"/>
  <c r="BI119" i="1"/>
  <c r="BH119" i="1"/>
  <c r="BG119" i="1"/>
  <c r="BF119" i="1"/>
  <c r="BE119" i="1"/>
  <c r="BD119" i="1"/>
  <c r="BC119" i="1"/>
  <c r="BB119" i="1"/>
  <c r="AX119" i="1"/>
  <c r="AW119" i="1"/>
  <c r="AV119" i="1"/>
  <c r="AS119" i="1"/>
  <c r="AR119" i="1"/>
  <c r="AQ119" i="1"/>
  <c r="AP119" i="1"/>
  <c r="AO119" i="1"/>
  <c r="AN119" i="1"/>
  <c r="AM119" i="1"/>
  <c r="AL119" i="1"/>
  <c r="AH119" i="1"/>
  <c r="AG119" i="1"/>
  <c r="AF119" i="1"/>
  <c r="AE119" i="1"/>
  <c r="AD119" i="1"/>
  <c r="AC119" i="1"/>
  <c r="AA119" i="1"/>
  <c r="Z119" i="1"/>
  <c r="Y119" i="1"/>
  <c r="X119" i="1"/>
  <c r="W119" i="1"/>
  <c r="T119" i="1"/>
  <c r="S119" i="1"/>
  <c r="R119" i="1"/>
  <c r="Q119" i="1"/>
  <c r="P119" i="1"/>
  <c r="O119" i="1"/>
  <c r="K119" i="1"/>
  <c r="J119" i="1"/>
  <c r="I119" i="1"/>
  <c r="H119" i="1"/>
  <c r="G119" i="1"/>
  <c r="F119" i="1"/>
  <c r="E119" i="1"/>
  <c r="BU118" i="1"/>
  <c r="BT118" i="1"/>
  <c r="BS118" i="1"/>
  <c r="BR118" i="1"/>
  <c r="BQ118" i="1"/>
  <c r="BP118" i="1"/>
  <c r="BO118" i="1"/>
  <c r="BJ118" i="1"/>
  <c r="BI118" i="1"/>
  <c r="BH118" i="1"/>
  <c r="BG118" i="1"/>
  <c r="BF118" i="1"/>
  <c r="BE118" i="1"/>
  <c r="BD118" i="1"/>
  <c r="BC118" i="1"/>
  <c r="BB118" i="1"/>
  <c r="AX118" i="1"/>
  <c r="AW118" i="1"/>
  <c r="AV118" i="1"/>
  <c r="AS118" i="1"/>
  <c r="AR118" i="1"/>
  <c r="AQ118" i="1"/>
  <c r="AP118" i="1"/>
  <c r="AO118" i="1"/>
  <c r="AN118" i="1"/>
  <c r="AM118" i="1"/>
  <c r="AL118" i="1"/>
  <c r="AH118" i="1"/>
  <c r="AG118" i="1"/>
  <c r="AF118" i="1"/>
  <c r="AE118" i="1"/>
  <c r="AD118" i="1"/>
  <c r="AC118" i="1"/>
  <c r="AA118" i="1"/>
  <c r="Z118" i="1"/>
  <c r="Y118" i="1"/>
  <c r="X118" i="1"/>
  <c r="W118" i="1"/>
  <c r="T118" i="1"/>
  <c r="S118" i="1"/>
  <c r="R118" i="1"/>
  <c r="Q118" i="1"/>
  <c r="P118" i="1"/>
  <c r="O118" i="1"/>
  <c r="K118" i="1"/>
  <c r="J118" i="1"/>
  <c r="I118" i="1"/>
  <c r="H118" i="1"/>
  <c r="G118" i="1"/>
  <c r="F118" i="1"/>
  <c r="E118" i="1"/>
  <c r="BU117" i="1"/>
  <c r="BT117" i="1"/>
  <c r="BS117" i="1"/>
  <c r="BR117" i="1"/>
  <c r="BQ117" i="1"/>
  <c r="BP117" i="1"/>
  <c r="BO117" i="1"/>
  <c r="BJ117" i="1"/>
  <c r="BI117" i="1"/>
  <c r="BH117" i="1"/>
  <c r="BG117" i="1"/>
  <c r="BF117" i="1"/>
  <c r="BE117" i="1"/>
  <c r="BD117" i="1"/>
  <c r="BC117" i="1"/>
  <c r="BB117" i="1"/>
  <c r="AX117" i="1"/>
  <c r="AW117" i="1"/>
  <c r="AV117" i="1"/>
  <c r="AS117" i="1"/>
  <c r="AR117" i="1"/>
  <c r="AQ117" i="1"/>
  <c r="AP117" i="1"/>
  <c r="AO117" i="1"/>
  <c r="AN117" i="1"/>
  <c r="AM117" i="1"/>
  <c r="AL117" i="1"/>
  <c r="AH117" i="1"/>
  <c r="AG117" i="1"/>
  <c r="AF117" i="1"/>
  <c r="AE117" i="1"/>
  <c r="AD117" i="1"/>
  <c r="AC117" i="1"/>
  <c r="AA117" i="1"/>
  <c r="Z117" i="1"/>
  <c r="Y117" i="1"/>
  <c r="X117" i="1"/>
  <c r="W117" i="1"/>
  <c r="T117" i="1"/>
  <c r="S117" i="1"/>
  <c r="R117" i="1"/>
  <c r="Q117" i="1"/>
  <c r="P117" i="1"/>
  <c r="O117" i="1"/>
  <c r="K117" i="1"/>
  <c r="J117" i="1"/>
  <c r="I117" i="1"/>
  <c r="H117" i="1"/>
  <c r="G117" i="1"/>
  <c r="F117" i="1"/>
  <c r="E117" i="1"/>
  <c r="BU116" i="1"/>
  <c r="BT116" i="1"/>
  <c r="BS116" i="1"/>
  <c r="BR116" i="1"/>
  <c r="BQ116" i="1"/>
  <c r="BP116" i="1"/>
  <c r="BO116" i="1"/>
  <c r="BJ116" i="1"/>
  <c r="BI116" i="1"/>
  <c r="BH116" i="1"/>
  <c r="BG116" i="1"/>
  <c r="BF116" i="1"/>
  <c r="BE116" i="1"/>
  <c r="BD116" i="1"/>
  <c r="BC116" i="1"/>
  <c r="BB116" i="1"/>
  <c r="AX116" i="1"/>
  <c r="AW116" i="1"/>
  <c r="AV116" i="1"/>
  <c r="AS116" i="1"/>
  <c r="AR116" i="1"/>
  <c r="AQ116" i="1"/>
  <c r="AP116" i="1"/>
  <c r="AO116" i="1"/>
  <c r="AN116" i="1"/>
  <c r="AM116" i="1"/>
  <c r="AL116" i="1"/>
  <c r="AH116" i="1"/>
  <c r="AG116" i="1"/>
  <c r="AF116" i="1"/>
  <c r="AE116" i="1"/>
  <c r="AD116" i="1"/>
  <c r="AC116" i="1"/>
  <c r="AA116" i="1"/>
  <c r="Z116" i="1"/>
  <c r="Y116" i="1"/>
  <c r="X116" i="1"/>
  <c r="W116" i="1"/>
  <c r="T116" i="1"/>
  <c r="S116" i="1"/>
  <c r="R116" i="1"/>
  <c r="Q116" i="1"/>
  <c r="P116" i="1"/>
  <c r="O116" i="1"/>
  <c r="K116" i="1"/>
  <c r="J116" i="1"/>
  <c r="I116" i="1"/>
  <c r="H116" i="1"/>
  <c r="G116" i="1"/>
  <c r="F116" i="1"/>
  <c r="E116" i="1"/>
  <c r="BU115" i="1"/>
  <c r="BT115" i="1"/>
  <c r="BS115" i="1"/>
  <c r="BR115" i="1"/>
  <c r="BQ115" i="1"/>
  <c r="BP115" i="1"/>
  <c r="BO115" i="1"/>
  <c r="BJ115" i="1"/>
  <c r="BI115" i="1"/>
  <c r="BH115" i="1"/>
  <c r="BG115" i="1"/>
  <c r="BF115" i="1"/>
  <c r="BE115" i="1"/>
  <c r="BD115" i="1"/>
  <c r="BC115" i="1"/>
  <c r="BB115" i="1"/>
  <c r="AX115" i="1"/>
  <c r="AW115" i="1"/>
  <c r="AV115" i="1"/>
  <c r="AS115" i="1"/>
  <c r="AR115" i="1"/>
  <c r="AQ115" i="1"/>
  <c r="AP115" i="1"/>
  <c r="AO115" i="1"/>
  <c r="AN115" i="1"/>
  <c r="AM115" i="1"/>
  <c r="AL115" i="1"/>
  <c r="AH115" i="1"/>
  <c r="AG115" i="1"/>
  <c r="AF115" i="1"/>
  <c r="AE115" i="1"/>
  <c r="AD115" i="1"/>
  <c r="AC115" i="1"/>
  <c r="AA115" i="1"/>
  <c r="Z115" i="1"/>
  <c r="Y115" i="1"/>
  <c r="X115" i="1"/>
  <c r="W115" i="1"/>
  <c r="T115" i="1"/>
  <c r="S115" i="1"/>
  <c r="R115" i="1"/>
  <c r="Q115" i="1"/>
  <c r="P115" i="1"/>
  <c r="O115" i="1"/>
  <c r="K115" i="1"/>
  <c r="J115" i="1"/>
  <c r="I115" i="1"/>
  <c r="H115" i="1"/>
  <c r="G115" i="1"/>
  <c r="F115" i="1"/>
  <c r="E115" i="1"/>
  <c r="BU114" i="1"/>
  <c r="BT114" i="1"/>
  <c r="BS114" i="1"/>
  <c r="BR114" i="1"/>
  <c r="BQ114" i="1"/>
  <c r="BP114" i="1"/>
  <c r="BO114" i="1"/>
  <c r="BJ114" i="1"/>
  <c r="BI114" i="1"/>
  <c r="BH114" i="1"/>
  <c r="BG114" i="1"/>
  <c r="BF114" i="1"/>
  <c r="BE114" i="1"/>
  <c r="BD114" i="1"/>
  <c r="BC114" i="1"/>
  <c r="BB114" i="1"/>
  <c r="AX114" i="1"/>
  <c r="AW114" i="1"/>
  <c r="AV114" i="1"/>
  <c r="AS114" i="1"/>
  <c r="AR114" i="1"/>
  <c r="AQ114" i="1"/>
  <c r="AP114" i="1"/>
  <c r="AO114" i="1"/>
  <c r="AN114" i="1"/>
  <c r="AM114" i="1"/>
  <c r="AL114" i="1"/>
  <c r="AH114" i="1"/>
  <c r="AG114" i="1"/>
  <c r="AF114" i="1"/>
  <c r="AE114" i="1"/>
  <c r="AD114" i="1"/>
  <c r="AC114" i="1"/>
  <c r="AA114" i="1"/>
  <c r="Z114" i="1"/>
  <c r="Y114" i="1"/>
  <c r="X114" i="1"/>
  <c r="W114" i="1"/>
  <c r="T114" i="1"/>
  <c r="S114" i="1"/>
  <c r="R114" i="1"/>
  <c r="Q114" i="1"/>
  <c r="P114" i="1"/>
  <c r="O114" i="1"/>
  <c r="K114" i="1"/>
  <c r="J114" i="1"/>
  <c r="I114" i="1"/>
  <c r="H114" i="1"/>
  <c r="G114" i="1"/>
  <c r="F114" i="1"/>
  <c r="E114" i="1"/>
  <c r="BU113" i="1"/>
  <c r="BT113" i="1"/>
  <c r="BS113" i="1"/>
  <c r="BR113" i="1"/>
  <c r="BQ113" i="1"/>
  <c r="BP113" i="1"/>
  <c r="BO113" i="1"/>
  <c r="BJ113" i="1"/>
  <c r="BI113" i="1"/>
  <c r="BH113" i="1"/>
  <c r="BG113" i="1"/>
  <c r="BF113" i="1"/>
  <c r="BE113" i="1"/>
  <c r="BD113" i="1"/>
  <c r="BC113" i="1"/>
  <c r="BB113" i="1"/>
  <c r="AX113" i="1"/>
  <c r="AW113" i="1"/>
  <c r="AV113" i="1"/>
  <c r="AS113" i="1"/>
  <c r="AR113" i="1"/>
  <c r="AQ113" i="1"/>
  <c r="AP113" i="1"/>
  <c r="AO113" i="1"/>
  <c r="AN113" i="1"/>
  <c r="AM113" i="1"/>
  <c r="AL113" i="1"/>
  <c r="AH113" i="1"/>
  <c r="AG113" i="1"/>
  <c r="AF113" i="1"/>
  <c r="AE113" i="1"/>
  <c r="AD113" i="1"/>
  <c r="AC113" i="1"/>
  <c r="AA113" i="1"/>
  <c r="Z113" i="1"/>
  <c r="Y113" i="1"/>
  <c r="X113" i="1"/>
  <c r="W113" i="1"/>
  <c r="T113" i="1"/>
  <c r="S113" i="1"/>
  <c r="R113" i="1"/>
  <c r="Q113" i="1"/>
  <c r="P113" i="1"/>
  <c r="O113" i="1"/>
  <c r="K113" i="1"/>
  <c r="J113" i="1"/>
  <c r="I113" i="1"/>
  <c r="H113" i="1"/>
  <c r="G113" i="1"/>
  <c r="F113" i="1"/>
  <c r="E113" i="1"/>
  <c r="BU112" i="1"/>
  <c r="BT112" i="1"/>
  <c r="BS112" i="1"/>
  <c r="BR112" i="1"/>
  <c r="BQ112" i="1"/>
  <c r="BP112" i="1"/>
  <c r="BO112" i="1"/>
  <c r="BJ112" i="1"/>
  <c r="BI112" i="1"/>
  <c r="BH112" i="1"/>
  <c r="BG112" i="1"/>
  <c r="BF112" i="1"/>
  <c r="BE112" i="1"/>
  <c r="BD112" i="1"/>
  <c r="BC112" i="1"/>
  <c r="BB112" i="1"/>
  <c r="AX112" i="1"/>
  <c r="AW112" i="1"/>
  <c r="AV112" i="1"/>
  <c r="AS112" i="1"/>
  <c r="AR112" i="1"/>
  <c r="AQ112" i="1"/>
  <c r="AP112" i="1"/>
  <c r="AO112" i="1"/>
  <c r="AN112" i="1"/>
  <c r="AM112" i="1"/>
  <c r="AL112" i="1"/>
  <c r="AH112" i="1"/>
  <c r="AG112" i="1"/>
  <c r="AF112" i="1"/>
  <c r="AE112" i="1"/>
  <c r="AD112" i="1"/>
  <c r="AC112" i="1"/>
  <c r="AA112" i="1"/>
  <c r="Z112" i="1"/>
  <c r="Y112" i="1"/>
  <c r="X112" i="1"/>
  <c r="W112" i="1"/>
  <c r="T112" i="1"/>
  <c r="S112" i="1"/>
  <c r="R112" i="1"/>
  <c r="Q112" i="1"/>
  <c r="P112" i="1"/>
  <c r="O112" i="1"/>
  <c r="K112" i="1"/>
  <c r="J112" i="1"/>
  <c r="I112" i="1"/>
  <c r="H112" i="1"/>
  <c r="G112" i="1"/>
  <c r="F112" i="1"/>
  <c r="E112" i="1"/>
  <c r="BU111" i="1"/>
  <c r="BT111" i="1"/>
  <c r="BS111" i="1"/>
  <c r="BR111" i="1"/>
  <c r="BQ111" i="1"/>
  <c r="BP111" i="1"/>
  <c r="BO111" i="1"/>
  <c r="BJ111" i="1"/>
  <c r="BI111" i="1"/>
  <c r="BH111" i="1"/>
  <c r="BG111" i="1"/>
  <c r="BF111" i="1"/>
  <c r="BE111" i="1"/>
  <c r="BD111" i="1"/>
  <c r="BC111" i="1"/>
  <c r="BB111" i="1"/>
  <c r="AX111" i="1"/>
  <c r="AW111" i="1"/>
  <c r="AV111" i="1"/>
  <c r="AS111" i="1"/>
  <c r="AR111" i="1"/>
  <c r="AQ111" i="1"/>
  <c r="AP111" i="1"/>
  <c r="AO111" i="1"/>
  <c r="AN111" i="1"/>
  <c r="AM111" i="1"/>
  <c r="AL111" i="1"/>
  <c r="AH111" i="1"/>
  <c r="AG111" i="1"/>
  <c r="AF111" i="1"/>
  <c r="AE111" i="1"/>
  <c r="AD111" i="1"/>
  <c r="AC111" i="1"/>
  <c r="AA111" i="1"/>
  <c r="Z111" i="1"/>
  <c r="Y111" i="1"/>
  <c r="X111" i="1"/>
  <c r="W111" i="1"/>
  <c r="T111" i="1"/>
  <c r="S111" i="1"/>
  <c r="R111" i="1"/>
  <c r="Q111" i="1"/>
  <c r="P111" i="1"/>
  <c r="O111" i="1"/>
  <c r="K111" i="1"/>
  <c r="J111" i="1"/>
  <c r="I111" i="1"/>
  <c r="H111" i="1"/>
  <c r="G111" i="1"/>
  <c r="F111" i="1"/>
  <c r="E111" i="1"/>
  <c r="BU110" i="1"/>
  <c r="BT110" i="1"/>
  <c r="BS110" i="1"/>
  <c r="BR110" i="1"/>
  <c r="BQ110" i="1"/>
  <c r="BP110" i="1"/>
  <c r="BO110" i="1"/>
  <c r="BJ110" i="1"/>
  <c r="BI110" i="1"/>
  <c r="BH110" i="1"/>
  <c r="BG110" i="1"/>
  <c r="BF110" i="1"/>
  <c r="BE110" i="1"/>
  <c r="BD110" i="1"/>
  <c r="BC110" i="1"/>
  <c r="BB110" i="1"/>
  <c r="AX110" i="1"/>
  <c r="AW110" i="1"/>
  <c r="AV110" i="1"/>
  <c r="AS110" i="1"/>
  <c r="AR110" i="1"/>
  <c r="AQ110" i="1"/>
  <c r="AP110" i="1"/>
  <c r="AO110" i="1"/>
  <c r="AN110" i="1"/>
  <c r="AM110" i="1"/>
  <c r="AL110" i="1"/>
  <c r="AH110" i="1"/>
  <c r="AG110" i="1"/>
  <c r="AF110" i="1"/>
  <c r="AE110" i="1"/>
  <c r="AD110" i="1"/>
  <c r="AC110" i="1"/>
  <c r="AA110" i="1"/>
  <c r="Z110" i="1"/>
  <c r="Y110" i="1"/>
  <c r="X110" i="1"/>
  <c r="W110" i="1"/>
  <c r="T110" i="1"/>
  <c r="S110" i="1"/>
  <c r="R110" i="1"/>
  <c r="Q110" i="1"/>
  <c r="P110" i="1"/>
  <c r="O110" i="1"/>
  <c r="K110" i="1"/>
  <c r="J110" i="1"/>
  <c r="I110" i="1"/>
  <c r="H110" i="1"/>
  <c r="G110" i="1"/>
  <c r="F110" i="1"/>
  <c r="E110" i="1"/>
  <c r="BU109" i="1"/>
  <c r="BT109" i="1"/>
  <c r="BS109" i="1"/>
  <c r="BR109" i="1"/>
  <c r="BQ109" i="1"/>
  <c r="BP109" i="1"/>
  <c r="BO109" i="1"/>
  <c r="BJ109" i="1"/>
  <c r="BI109" i="1"/>
  <c r="BH109" i="1"/>
  <c r="BG109" i="1"/>
  <c r="BF109" i="1"/>
  <c r="BE109" i="1"/>
  <c r="BD109" i="1"/>
  <c r="BC109" i="1"/>
  <c r="BB109" i="1"/>
  <c r="AX109" i="1"/>
  <c r="AW109" i="1"/>
  <c r="AV109" i="1"/>
  <c r="AS109" i="1"/>
  <c r="AR109" i="1"/>
  <c r="AQ109" i="1"/>
  <c r="AP109" i="1"/>
  <c r="AO109" i="1"/>
  <c r="AN109" i="1"/>
  <c r="AM109" i="1"/>
  <c r="AL109" i="1"/>
  <c r="AH109" i="1"/>
  <c r="AG109" i="1"/>
  <c r="AF109" i="1"/>
  <c r="AE109" i="1"/>
  <c r="AD109" i="1"/>
  <c r="AC109" i="1"/>
  <c r="AA109" i="1"/>
  <c r="Z109" i="1"/>
  <c r="Y109" i="1"/>
  <c r="X109" i="1"/>
  <c r="W109" i="1"/>
  <c r="T109" i="1"/>
  <c r="S109" i="1"/>
  <c r="R109" i="1"/>
  <c r="Q109" i="1"/>
  <c r="P109" i="1"/>
  <c r="O109" i="1"/>
  <c r="K109" i="1"/>
  <c r="J109" i="1"/>
  <c r="I109" i="1"/>
  <c r="H109" i="1"/>
  <c r="G109" i="1"/>
  <c r="F109" i="1"/>
  <c r="E109" i="1"/>
  <c r="BU108" i="1"/>
  <c r="BT108" i="1"/>
  <c r="BS108" i="1"/>
  <c r="BR108" i="1"/>
  <c r="BQ108" i="1"/>
  <c r="BP108" i="1"/>
  <c r="BO108" i="1"/>
  <c r="BJ108" i="1"/>
  <c r="BI108" i="1"/>
  <c r="BH108" i="1"/>
  <c r="BG108" i="1"/>
  <c r="BF108" i="1"/>
  <c r="BE108" i="1"/>
  <c r="BD108" i="1"/>
  <c r="BC108" i="1"/>
  <c r="BB108" i="1"/>
  <c r="AX108" i="1"/>
  <c r="AW108" i="1"/>
  <c r="AV108" i="1"/>
  <c r="AS108" i="1"/>
  <c r="AR108" i="1"/>
  <c r="AQ108" i="1"/>
  <c r="AP108" i="1"/>
  <c r="AO108" i="1"/>
  <c r="AN108" i="1"/>
  <c r="AM108" i="1"/>
  <c r="AL108" i="1"/>
  <c r="AH108" i="1"/>
  <c r="AG108" i="1"/>
  <c r="AF108" i="1"/>
  <c r="AE108" i="1"/>
  <c r="AD108" i="1"/>
  <c r="AC108" i="1"/>
  <c r="AA108" i="1"/>
  <c r="Z108" i="1"/>
  <c r="Y108" i="1"/>
  <c r="X108" i="1"/>
  <c r="W108" i="1"/>
  <c r="T108" i="1"/>
  <c r="S108" i="1"/>
  <c r="R108" i="1"/>
  <c r="Q108" i="1"/>
  <c r="P108" i="1"/>
  <c r="O108" i="1"/>
  <c r="K108" i="1"/>
  <c r="J108" i="1"/>
  <c r="I108" i="1"/>
  <c r="H108" i="1"/>
  <c r="G108" i="1"/>
  <c r="F108" i="1"/>
  <c r="E108" i="1"/>
  <c r="BU107" i="1"/>
  <c r="BT107" i="1"/>
  <c r="BS107" i="1"/>
  <c r="BR107" i="1"/>
  <c r="BQ107" i="1"/>
  <c r="BP107" i="1"/>
  <c r="BO107" i="1"/>
  <c r="BJ107" i="1"/>
  <c r="BI107" i="1"/>
  <c r="BH107" i="1"/>
  <c r="BG107" i="1"/>
  <c r="BF107" i="1"/>
  <c r="BE107" i="1"/>
  <c r="BD107" i="1"/>
  <c r="BC107" i="1"/>
  <c r="BB107" i="1"/>
  <c r="AX107" i="1"/>
  <c r="AW107" i="1"/>
  <c r="AV107" i="1"/>
  <c r="AS107" i="1"/>
  <c r="AR107" i="1"/>
  <c r="AQ107" i="1"/>
  <c r="AP107" i="1"/>
  <c r="AO107" i="1"/>
  <c r="AN107" i="1"/>
  <c r="AM107" i="1"/>
  <c r="AL107" i="1"/>
  <c r="AH107" i="1"/>
  <c r="AG107" i="1"/>
  <c r="AF107" i="1"/>
  <c r="AE107" i="1"/>
  <c r="AD107" i="1"/>
  <c r="AC107" i="1"/>
  <c r="AA107" i="1"/>
  <c r="Z107" i="1"/>
  <c r="Y107" i="1"/>
  <c r="X107" i="1"/>
  <c r="W107" i="1"/>
  <c r="T107" i="1"/>
  <c r="S107" i="1"/>
  <c r="R107" i="1"/>
  <c r="Q107" i="1"/>
  <c r="P107" i="1"/>
  <c r="O107" i="1"/>
  <c r="K107" i="1"/>
  <c r="J107" i="1"/>
  <c r="I107" i="1"/>
  <c r="H107" i="1"/>
  <c r="G107" i="1"/>
  <c r="F107" i="1"/>
  <c r="E107" i="1"/>
  <c r="BU106" i="1"/>
  <c r="BT106" i="1"/>
  <c r="BS106" i="1"/>
  <c r="BR106" i="1"/>
  <c r="BQ106" i="1"/>
  <c r="BP106" i="1"/>
  <c r="BO106" i="1"/>
  <c r="BJ106" i="1"/>
  <c r="BI106" i="1"/>
  <c r="BH106" i="1"/>
  <c r="BG106" i="1"/>
  <c r="BF106" i="1"/>
  <c r="BE106" i="1"/>
  <c r="BD106" i="1"/>
  <c r="BC106" i="1"/>
  <c r="BB106" i="1"/>
  <c r="AX106" i="1"/>
  <c r="AW106" i="1"/>
  <c r="AV106" i="1"/>
  <c r="AS106" i="1"/>
  <c r="AR106" i="1"/>
  <c r="AQ106" i="1"/>
  <c r="AP106" i="1"/>
  <c r="AO106" i="1"/>
  <c r="AN106" i="1"/>
  <c r="AM106" i="1"/>
  <c r="AL106" i="1"/>
  <c r="AH106" i="1"/>
  <c r="AG106" i="1"/>
  <c r="AF106" i="1"/>
  <c r="AE106" i="1"/>
  <c r="AD106" i="1"/>
  <c r="AC106" i="1"/>
  <c r="AA106" i="1"/>
  <c r="Z106" i="1"/>
  <c r="Y106" i="1"/>
  <c r="X106" i="1"/>
  <c r="W106" i="1"/>
  <c r="T106" i="1"/>
  <c r="S106" i="1"/>
  <c r="R106" i="1"/>
  <c r="Q106" i="1"/>
  <c r="P106" i="1"/>
  <c r="O106" i="1"/>
  <c r="K106" i="1"/>
  <c r="J106" i="1"/>
  <c r="I106" i="1"/>
  <c r="H106" i="1"/>
  <c r="G106" i="1"/>
  <c r="F106" i="1"/>
  <c r="E106" i="1"/>
  <c r="BU105" i="1"/>
  <c r="BT105" i="1"/>
  <c r="BS105" i="1"/>
  <c r="BR105" i="1"/>
  <c r="BQ105" i="1"/>
  <c r="BP105" i="1"/>
  <c r="BO105" i="1"/>
  <c r="BJ105" i="1"/>
  <c r="BI105" i="1"/>
  <c r="BH105" i="1"/>
  <c r="BG105" i="1"/>
  <c r="BF105" i="1"/>
  <c r="BE105" i="1"/>
  <c r="BD105" i="1"/>
  <c r="BC105" i="1"/>
  <c r="BB105" i="1"/>
  <c r="AX105" i="1"/>
  <c r="AW105" i="1"/>
  <c r="AV105" i="1"/>
  <c r="AS105" i="1"/>
  <c r="AR105" i="1"/>
  <c r="AQ105" i="1"/>
  <c r="AP105" i="1"/>
  <c r="AO105" i="1"/>
  <c r="AN105" i="1"/>
  <c r="AM105" i="1"/>
  <c r="AL105" i="1"/>
  <c r="AH105" i="1"/>
  <c r="AG105" i="1"/>
  <c r="AF105" i="1"/>
  <c r="AE105" i="1"/>
  <c r="AD105" i="1"/>
  <c r="AC105" i="1"/>
  <c r="AA105" i="1"/>
  <c r="Z105" i="1"/>
  <c r="Y105" i="1"/>
  <c r="X105" i="1"/>
  <c r="W105" i="1"/>
  <c r="T105" i="1"/>
  <c r="S105" i="1"/>
  <c r="R105" i="1"/>
  <c r="Q105" i="1"/>
  <c r="P105" i="1"/>
  <c r="O105" i="1"/>
  <c r="K105" i="1"/>
  <c r="J105" i="1"/>
  <c r="I105" i="1"/>
  <c r="H105" i="1"/>
  <c r="G105" i="1"/>
  <c r="F105" i="1"/>
  <c r="E105" i="1"/>
  <c r="BU104" i="1"/>
  <c r="BT104" i="1"/>
  <c r="BS104" i="1"/>
  <c r="BR104" i="1"/>
  <c r="BQ104" i="1"/>
  <c r="BP104" i="1"/>
  <c r="BO104" i="1"/>
  <c r="BJ104" i="1"/>
  <c r="BI104" i="1"/>
  <c r="BH104" i="1"/>
  <c r="BG104" i="1"/>
  <c r="BF104" i="1"/>
  <c r="BE104" i="1"/>
  <c r="BD104" i="1"/>
  <c r="BC104" i="1"/>
  <c r="BB104" i="1"/>
  <c r="AX104" i="1"/>
  <c r="AW104" i="1"/>
  <c r="AV104" i="1"/>
  <c r="AS104" i="1"/>
  <c r="AR104" i="1"/>
  <c r="AQ104" i="1"/>
  <c r="AP104" i="1"/>
  <c r="AO104" i="1"/>
  <c r="AN104" i="1"/>
  <c r="AM104" i="1"/>
  <c r="AL104" i="1"/>
  <c r="AH104" i="1"/>
  <c r="AG104" i="1"/>
  <c r="AF104" i="1"/>
  <c r="AE104" i="1"/>
  <c r="AD104" i="1"/>
  <c r="AC104" i="1"/>
  <c r="AA104" i="1"/>
  <c r="Z104" i="1"/>
  <c r="Y104" i="1"/>
  <c r="X104" i="1"/>
  <c r="W104" i="1"/>
  <c r="T104" i="1"/>
  <c r="S104" i="1"/>
  <c r="R104" i="1"/>
  <c r="Q104" i="1"/>
  <c r="P104" i="1"/>
  <c r="O104" i="1"/>
  <c r="K104" i="1"/>
  <c r="J104" i="1"/>
  <c r="I104" i="1"/>
  <c r="H104" i="1"/>
  <c r="G104" i="1"/>
  <c r="F104" i="1"/>
  <c r="E104" i="1"/>
  <c r="BU103" i="1"/>
  <c r="BT103" i="1"/>
  <c r="BS103" i="1"/>
  <c r="BR103" i="1"/>
  <c r="BQ103" i="1"/>
  <c r="BP103" i="1"/>
  <c r="BO103" i="1"/>
  <c r="BJ103" i="1"/>
  <c r="BI103" i="1"/>
  <c r="BH103" i="1"/>
  <c r="BG103" i="1"/>
  <c r="BF103" i="1"/>
  <c r="BE103" i="1"/>
  <c r="BD103" i="1"/>
  <c r="BC103" i="1"/>
  <c r="BB103" i="1"/>
  <c r="AX103" i="1"/>
  <c r="AW103" i="1"/>
  <c r="AV103" i="1"/>
  <c r="AS103" i="1"/>
  <c r="AR103" i="1"/>
  <c r="AQ103" i="1"/>
  <c r="AP103" i="1"/>
  <c r="AO103" i="1"/>
  <c r="AN103" i="1"/>
  <c r="AM103" i="1"/>
  <c r="AL103" i="1"/>
  <c r="AH103" i="1"/>
  <c r="AG103" i="1"/>
  <c r="AF103" i="1"/>
  <c r="AE103" i="1"/>
  <c r="AD103" i="1"/>
  <c r="AC103" i="1"/>
  <c r="AA103" i="1"/>
  <c r="Z103" i="1"/>
  <c r="Y103" i="1"/>
  <c r="X103" i="1"/>
  <c r="W103" i="1"/>
  <c r="T103" i="1"/>
  <c r="S103" i="1"/>
  <c r="R103" i="1"/>
  <c r="Q103" i="1"/>
  <c r="P103" i="1"/>
  <c r="O103" i="1"/>
  <c r="K103" i="1"/>
  <c r="J103" i="1"/>
  <c r="I103" i="1"/>
  <c r="H103" i="1"/>
  <c r="G103" i="1"/>
  <c r="F103" i="1"/>
  <c r="E103" i="1"/>
  <c r="BU102" i="1"/>
  <c r="BT102" i="1"/>
  <c r="BS102" i="1"/>
  <c r="BR102" i="1"/>
  <c r="BQ102" i="1"/>
  <c r="BP102" i="1"/>
  <c r="BO102" i="1"/>
  <c r="BJ102" i="1"/>
  <c r="BI102" i="1"/>
  <c r="BH102" i="1"/>
  <c r="BG102" i="1"/>
  <c r="BF102" i="1"/>
  <c r="BE102" i="1"/>
  <c r="BD102" i="1"/>
  <c r="BC102" i="1"/>
  <c r="BB102" i="1"/>
  <c r="AX102" i="1"/>
  <c r="AW102" i="1"/>
  <c r="AV102" i="1"/>
  <c r="AS102" i="1"/>
  <c r="AR102" i="1"/>
  <c r="AQ102" i="1"/>
  <c r="AP102" i="1"/>
  <c r="AO102" i="1"/>
  <c r="AN102" i="1"/>
  <c r="AM102" i="1"/>
  <c r="AL102" i="1"/>
  <c r="AH102" i="1"/>
  <c r="AG102" i="1"/>
  <c r="AF102" i="1"/>
  <c r="AE102" i="1"/>
  <c r="AD102" i="1"/>
  <c r="AC102" i="1"/>
  <c r="AA102" i="1"/>
  <c r="Z102" i="1"/>
  <c r="Y102" i="1"/>
  <c r="X102" i="1"/>
  <c r="W102" i="1"/>
  <c r="T102" i="1"/>
  <c r="S102" i="1"/>
  <c r="R102" i="1"/>
  <c r="Q102" i="1"/>
  <c r="P102" i="1"/>
  <c r="O102" i="1"/>
  <c r="K102" i="1"/>
  <c r="J102" i="1"/>
  <c r="I102" i="1"/>
  <c r="H102" i="1"/>
  <c r="G102" i="1"/>
  <c r="F102" i="1"/>
  <c r="E102" i="1"/>
  <c r="BU101" i="1"/>
  <c r="BT101" i="1"/>
  <c r="BS101" i="1"/>
  <c r="BR101" i="1"/>
  <c r="BQ101" i="1"/>
  <c r="BP101" i="1"/>
  <c r="BO101" i="1"/>
  <c r="BJ101" i="1"/>
  <c r="BI101" i="1"/>
  <c r="BH101" i="1"/>
  <c r="BG101" i="1"/>
  <c r="BF101" i="1"/>
  <c r="BE101" i="1"/>
  <c r="BD101" i="1"/>
  <c r="BC101" i="1"/>
  <c r="BB101" i="1"/>
  <c r="AX101" i="1"/>
  <c r="AW101" i="1"/>
  <c r="AV101" i="1"/>
  <c r="AS101" i="1"/>
  <c r="AR101" i="1"/>
  <c r="AQ101" i="1"/>
  <c r="AP101" i="1"/>
  <c r="AO101" i="1"/>
  <c r="AN101" i="1"/>
  <c r="AM101" i="1"/>
  <c r="AL101" i="1"/>
  <c r="AH101" i="1"/>
  <c r="AG101" i="1"/>
  <c r="AF101" i="1"/>
  <c r="AE101" i="1"/>
  <c r="AD101" i="1"/>
  <c r="AC101" i="1"/>
  <c r="AA101" i="1"/>
  <c r="Z101" i="1"/>
  <c r="Y101" i="1"/>
  <c r="X101" i="1"/>
  <c r="W101" i="1"/>
  <c r="T101" i="1"/>
  <c r="S101" i="1"/>
  <c r="R101" i="1"/>
  <c r="Q101" i="1"/>
  <c r="P101" i="1"/>
  <c r="O101" i="1"/>
  <c r="K101" i="1"/>
  <c r="J101" i="1"/>
  <c r="I101" i="1"/>
  <c r="H101" i="1"/>
  <c r="G101" i="1"/>
  <c r="F101" i="1"/>
  <c r="E101" i="1"/>
  <c r="BU100" i="1"/>
  <c r="BT100" i="1"/>
  <c r="BS100" i="1"/>
  <c r="BR100" i="1"/>
  <c r="BQ100" i="1"/>
  <c r="BP100" i="1"/>
  <c r="BO100" i="1"/>
  <c r="BJ100" i="1"/>
  <c r="BI100" i="1"/>
  <c r="BH100" i="1"/>
  <c r="BG100" i="1"/>
  <c r="BF100" i="1"/>
  <c r="BE100" i="1"/>
  <c r="BD100" i="1"/>
  <c r="BC100" i="1"/>
  <c r="BB100" i="1"/>
  <c r="AX100" i="1"/>
  <c r="AW100" i="1"/>
  <c r="AV100" i="1"/>
  <c r="AS100" i="1"/>
  <c r="AR100" i="1"/>
  <c r="AQ100" i="1"/>
  <c r="AP100" i="1"/>
  <c r="AO100" i="1"/>
  <c r="AN100" i="1"/>
  <c r="AM100" i="1"/>
  <c r="AL100" i="1"/>
  <c r="AH100" i="1"/>
  <c r="AG100" i="1"/>
  <c r="AF100" i="1"/>
  <c r="AE100" i="1"/>
  <c r="AD100" i="1"/>
  <c r="AC100" i="1"/>
  <c r="AA100" i="1"/>
  <c r="Z100" i="1"/>
  <c r="Y100" i="1"/>
  <c r="X100" i="1"/>
  <c r="W100" i="1"/>
  <c r="T100" i="1"/>
  <c r="S100" i="1"/>
  <c r="R100" i="1"/>
  <c r="Q100" i="1"/>
  <c r="P100" i="1"/>
  <c r="O100" i="1"/>
  <c r="K100" i="1"/>
  <c r="J100" i="1"/>
  <c r="I100" i="1"/>
  <c r="H100" i="1"/>
  <c r="G100" i="1"/>
  <c r="F100" i="1"/>
  <c r="E100" i="1"/>
  <c r="BU99" i="1"/>
  <c r="BT99" i="1"/>
  <c r="BS99" i="1"/>
  <c r="BR99" i="1"/>
  <c r="BQ99" i="1"/>
  <c r="BP99" i="1"/>
  <c r="BO99" i="1"/>
  <c r="BJ99" i="1"/>
  <c r="BI99" i="1"/>
  <c r="BH99" i="1"/>
  <c r="BG99" i="1"/>
  <c r="BF99" i="1"/>
  <c r="BE99" i="1"/>
  <c r="BD99" i="1"/>
  <c r="BC99" i="1"/>
  <c r="BB99" i="1"/>
  <c r="AX99" i="1"/>
  <c r="AW99" i="1"/>
  <c r="AV99" i="1"/>
  <c r="AS99" i="1"/>
  <c r="AR99" i="1"/>
  <c r="AQ99" i="1"/>
  <c r="AP99" i="1"/>
  <c r="AO99" i="1"/>
  <c r="AN99" i="1"/>
  <c r="AM99" i="1"/>
  <c r="AL99" i="1"/>
  <c r="AH99" i="1"/>
  <c r="AG99" i="1"/>
  <c r="AF99" i="1"/>
  <c r="AE99" i="1"/>
  <c r="AD99" i="1"/>
  <c r="AC99" i="1"/>
  <c r="AA99" i="1"/>
  <c r="Z99" i="1"/>
  <c r="Y99" i="1"/>
  <c r="X99" i="1"/>
  <c r="W99" i="1"/>
  <c r="T99" i="1"/>
  <c r="S99" i="1"/>
  <c r="R99" i="1"/>
  <c r="Q99" i="1"/>
  <c r="P99" i="1"/>
  <c r="O99" i="1"/>
  <c r="K99" i="1"/>
  <c r="J99" i="1"/>
  <c r="I99" i="1"/>
  <c r="H99" i="1"/>
  <c r="G99" i="1"/>
  <c r="F99" i="1"/>
  <c r="E99" i="1"/>
  <c r="BU98" i="1"/>
  <c r="BT98" i="1"/>
  <c r="BS98" i="1"/>
  <c r="BR98" i="1"/>
  <c r="BQ98" i="1"/>
  <c r="BP98" i="1"/>
  <c r="BO98" i="1"/>
  <c r="BJ98" i="1"/>
  <c r="BI98" i="1"/>
  <c r="BH98" i="1"/>
  <c r="BG98" i="1"/>
  <c r="BF98" i="1"/>
  <c r="BE98" i="1"/>
  <c r="BD98" i="1"/>
  <c r="BC98" i="1"/>
  <c r="BB98" i="1"/>
  <c r="AX98" i="1"/>
  <c r="AW98" i="1"/>
  <c r="AV98" i="1"/>
  <c r="AS98" i="1"/>
  <c r="AR98" i="1"/>
  <c r="AQ98" i="1"/>
  <c r="AP98" i="1"/>
  <c r="AO98" i="1"/>
  <c r="AN98" i="1"/>
  <c r="AM98" i="1"/>
  <c r="AL98" i="1"/>
  <c r="AH98" i="1"/>
  <c r="AG98" i="1"/>
  <c r="AF98" i="1"/>
  <c r="AE98" i="1"/>
  <c r="AD98" i="1"/>
  <c r="AC98" i="1"/>
  <c r="AA98" i="1"/>
  <c r="Z98" i="1"/>
  <c r="Y98" i="1"/>
  <c r="X98" i="1"/>
  <c r="W98" i="1"/>
  <c r="T98" i="1"/>
  <c r="S98" i="1"/>
  <c r="R98" i="1"/>
  <c r="Q98" i="1"/>
  <c r="P98" i="1"/>
  <c r="O98" i="1"/>
  <c r="K98" i="1"/>
  <c r="J98" i="1"/>
  <c r="I98" i="1"/>
  <c r="H98" i="1"/>
  <c r="G98" i="1"/>
  <c r="F98" i="1"/>
  <c r="E98" i="1"/>
  <c r="BU97" i="1"/>
  <c r="BT97" i="1"/>
  <c r="BS97" i="1"/>
  <c r="BR97" i="1"/>
  <c r="BQ97" i="1"/>
  <c r="BP97" i="1"/>
  <c r="BO97" i="1"/>
  <c r="BJ97" i="1"/>
  <c r="BI97" i="1"/>
  <c r="BH97" i="1"/>
  <c r="BG97" i="1"/>
  <c r="BF97" i="1"/>
  <c r="BE97" i="1"/>
  <c r="BD97" i="1"/>
  <c r="BC97" i="1"/>
  <c r="BB97" i="1"/>
  <c r="AX97" i="1"/>
  <c r="AW97" i="1"/>
  <c r="AV97" i="1"/>
  <c r="AS97" i="1"/>
  <c r="AR97" i="1"/>
  <c r="AQ97" i="1"/>
  <c r="AP97" i="1"/>
  <c r="AO97" i="1"/>
  <c r="AN97" i="1"/>
  <c r="AM97" i="1"/>
  <c r="AL97" i="1"/>
  <c r="AH97" i="1"/>
  <c r="AG97" i="1"/>
  <c r="AF97" i="1"/>
  <c r="AE97" i="1"/>
  <c r="AD97" i="1"/>
  <c r="AC97" i="1"/>
  <c r="AA97" i="1"/>
  <c r="Z97" i="1"/>
  <c r="Y97" i="1"/>
  <c r="X97" i="1"/>
  <c r="W97" i="1"/>
  <c r="T97" i="1"/>
  <c r="S97" i="1"/>
  <c r="R97" i="1"/>
  <c r="Q97" i="1"/>
  <c r="P97" i="1"/>
  <c r="O97" i="1"/>
  <c r="K97" i="1"/>
  <c r="J97" i="1"/>
  <c r="I97" i="1"/>
  <c r="H97" i="1"/>
  <c r="G97" i="1"/>
  <c r="F97" i="1"/>
  <c r="E97" i="1"/>
  <c r="BU96" i="1"/>
  <c r="BT96" i="1"/>
  <c r="BS96" i="1"/>
  <c r="BR96" i="1"/>
  <c r="BQ96" i="1"/>
  <c r="BP96" i="1"/>
  <c r="BO96" i="1"/>
  <c r="BJ96" i="1"/>
  <c r="BI96" i="1"/>
  <c r="BH96" i="1"/>
  <c r="BG96" i="1"/>
  <c r="BF96" i="1"/>
  <c r="BE96" i="1"/>
  <c r="BD96" i="1"/>
  <c r="BC96" i="1"/>
  <c r="BB96" i="1"/>
  <c r="AX96" i="1"/>
  <c r="AW96" i="1"/>
  <c r="AV96" i="1"/>
  <c r="AS96" i="1"/>
  <c r="AR96" i="1"/>
  <c r="AQ96" i="1"/>
  <c r="AP96" i="1"/>
  <c r="AO96" i="1"/>
  <c r="AN96" i="1"/>
  <c r="AM96" i="1"/>
  <c r="AL96" i="1"/>
  <c r="AH96" i="1"/>
  <c r="AG96" i="1"/>
  <c r="AF96" i="1"/>
  <c r="AE96" i="1"/>
  <c r="AD96" i="1"/>
  <c r="AC96" i="1"/>
  <c r="AA96" i="1"/>
  <c r="Z96" i="1"/>
  <c r="Y96" i="1"/>
  <c r="X96" i="1"/>
  <c r="W96" i="1"/>
  <c r="T96" i="1"/>
  <c r="S96" i="1"/>
  <c r="R96" i="1"/>
  <c r="Q96" i="1"/>
  <c r="P96" i="1"/>
  <c r="O96" i="1"/>
  <c r="K96" i="1"/>
  <c r="J96" i="1"/>
  <c r="I96" i="1"/>
  <c r="H96" i="1"/>
  <c r="G96" i="1"/>
  <c r="F96" i="1"/>
  <c r="E96" i="1"/>
  <c r="BU95" i="1"/>
  <c r="BT95" i="1"/>
  <c r="BS95" i="1"/>
  <c r="BR95" i="1"/>
  <c r="BQ95" i="1"/>
  <c r="BP95" i="1"/>
  <c r="BO95" i="1"/>
  <c r="BJ95" i="1"/>
  <c r="BI95" i="1"/>
  <c r="BH95" i="1"/>
  <c r="BG95" i="1"/>
  <c r="BF95" i="1"/>
  <c r="BE95" i="1"/>
  <c r="BD95" i="1"/>
  <c r="BC95" i="1"/>
  <c r="BB95" i="1"/>
  <c r="AX95" i="1"/>
  <c r="AW95" i="1"/>
  <c r="AV95" i="1"/>
  <c r="AS95" i="1"/>
  <c r="AR95" i="1"/>
  <c r="AQ95" i="1"/>
  <c r="AP95" i="1"/>
  <c r="AO95" i="1"/>
  <c r="AN95" i="1"/>
  <c r="AM95" i="1"/>
  <c r="AL95" i="1"/>
  <c r="AH95" i="1"/>
  <c r="AG95" i="1"/>
  <c r="AF95" i="1"/>
  <c r="AE95" i="1"/>
  <c r="AD95" i="1"/>
  <c r="AC95" i="1"/>
  <c r="AA95" i="1"/>
  <c r="Z95" i="1"/>
  <c r="Y95" i="1"/>
  <c r="X95" i="1"/>
  <c r="W95" i="1"/>
  <c r="T95" i="1"/>
  <c r="S95" i="1"/>
  <c r="R95" i="1"/>
  <c r="Q95" i="1"/>
  <c r="P95" i="1"/>
  <c r="O95" i="1"/>
  <c r="K95" i="1"/>
  <c r="J95" i="1"/>
  <c r="I95" i="1"/>
  <c r="H95" i="1"/>
  <c r="G95" i="1"/>
  <c r="F95" i="1"/>
  <c r="E95" i="1"/>
  <c r="BU94" i="1"/>
  <c r="BT94" i="1"/>
  <c r="BS94" i="1"/>
  <c r="BR94" i="1"/>
  <c r="BQ94" i="1"/>
  <c r="BP94" i="1"/>
  <c r="BO94" i="1"/>
  <c r="BJ94" i="1"/>
  <c r="BI94" i="1"/>
  <c r="BH94" i="1"/>
  <c r="BG94" i="1"/>
  <c r="BF94" i="1"/>
  <c r="BE94" i="1"/>
  <c r="BD94" i="1"/>
  <c r="BC94" i="1"/>
  <c r="BB94" i="1"/>
  <c r="AX94" i="1"/>
  <c r="AW94" i="1"/>
  <c r="AV94" i="1"/>
  <c r="AS94" i="1"/>
  <c r="AR94" i="1"/>
  <c r="AQ94" i="1"/>
  <c r="AP94" i="1"/>
  <c r="AO94" i="1"/>
  <c r="AN94" i="1"/>
  <c r="AM94" i="1"/>
  <c r="AL94" i="1"/>
  <c r="AH94" i="1"/>
  <c r="AG94" i="1"/>
  <c r="AF94" i="1"/>
  <c r="AE94" i="1"/>
  <c r="AD94" i="1"/>
  <c r="AC94" i="1"/>
  <c r="AA94" i="1"/>
  <c r="Z94" i="1"/>
  <c r="Y94" i="1"/>
  <c r="X94" i="1"/>
  <c r="W94" i="1"/>
  <c r="T94" i="1"/>
  <c r="S94" i="1"/>
  <c r="R94" i="1"/>
  <c r="Q94" i="1"/>
  <c r="P94" i="1"/>
  <c r="O94" i="1"/>
  <c r="K94" i="1"/>
  <c r="J94" i="1"/>
  <c r="I94" i="1"/>
  <c r="H94" i="1"/>
  <c r="G94" i="1"/>
  <c r="F94" i="1"/>
  <c r="E94" i="1"/>
  <c r="BU93" i="1"/>
  <c r="BT93" i="1"/>
  <c r="BS93" i="1"/>
  <c r="BR93" i="1"/>
  <c r="BQ93" i="1"/>
  <c r="BP93" i="1"/>
  <c r="BO93" i="1"/>
  <c r="BJ93" i="1"/>
  <c r="BI93" i="1"/>
  <c r="BH93" i="1"/>
  <c r="BG93" i="1"/>
  <c r="BF93" i="1"/>
  <c r="BE93" i="1"/>
  <c r="BD93" i="1"/>
  <c r="BC93" i="1"/>
  <c r="BB93" i="1"/>
  <c r="AX93" i="1"/>
  <c r="AW93" i="1"/>
  <c r="AV93" i="1"/>
  <c r="AS93" i="1"/>
  <c r="AR93" i="1"/>
  <c r="AQ93" i="1"/>
  <c r="AP93" i="1"/>
  <c r="AO93" i="1"/>
  <c r="AN93" i="1"/>
  <c r="AM93" i="1"/>
  <c r="AL93" i="1"/>
  <c r="AH93" i="1"/>
  <c r="AG93" i="1"/>
  <c r="AF93" i="1"/>
  <c r="AE93" i="1"/>
  <c r="AD93" i="1"/>
  <c r="AC93" i="1"/>
  <c r="AA93" i="1"/>
  <c r="Z93" i="1"/>
  <c r="Y93" i="1"/>
  <c r="X93" i="1"/>
  <c r="W93" i="1"/>
  <c r="T93" i="1"/>
  <c r="S93" i="1"/>
  <c r="R93" i="1"/>
  <c r="Q93" i="1"/>
  <c r="P93" i="1"/>
  <c r="O93" i="1"/>
  <c r="K93" i="1"/>
  <c r="J93" i="1"/>
  <c r="I93" i="1"/>
  <c r="H93" i="1"/>
  <c r="G93" i="1"/>
  <c r="F93" i="1"/>
  <c r="E93" i="1"/>
  <c r="BU92" i="1"/>
  <c r="BT92" i="1"/>
  <c r="BS92" i="1"/>
  <c r="BR92" i="1"/>
  <c r="BQ92" i="1"/>
  <c r="BP92" i="1"/>
  <c r="BO92" i="1"/>
  <c r="BJ92" i="1"/>
  <c r="BI92" i="1"/>
  <c r="BH92" i="1"/>
  <c r="BG92" i="1"/>
  <c r="BF92" i="1"/>
  <c r="BE92" i="1"/>
  <c r="BD92" i="1"/>
  <c r="BC92" i="1"/>
  <c r="BB92" i="1"/>
  <c r="AX92" i="1"/>
  <c r="AW92" i="1"/>
  <c r="AV92" i="1"/>
  <c r="AS92" i="1"/>
  <c r="AR92" i="1"/>
  <c r="AQ92" i="1"/>
  <c r="AP92" i="1"/>
  <c r="AO92" i="1"/>
  <c r="AN92" i="1"/>
  <c r="AM92" i="1"/>
  <c r="AL92" i="1"/>
  <c r="AH92" i="1"/>
  <c r="AG92" i="1"/>
  <c r="AF92" i="1"/>
  <c r="AE92" i="1"/>
  <c r="AD92" i="1"/>
  <c r="AC92" i="1"/>
  <c r="AA92" i="1"/>
  <c r="Z92" i="1"/>
  <c r="Y92" i="1"/>
  <c r="X92" i="1"/>
  <c r="W92" i="1"/>
  <c r="T92" i="1"/>
  <c r="S92" i="1"/>
  <c r="R92" i="1"/>
  <c r="Q92" i="1"/>
  <c r="P92" i="1"/>
  <c r="O92" i="1"/>
  <c r="K92" i="1"/>
  <c r="J92" i="1"/>
  <c r="I92" i="1"/>
  <c r="H92" i="1"/>
  <c r="G92" i="1"/>
  <c r="F92" i="1"/>
  <c r="E92" i="1"/>
  <c r="BU91" i="1"/>
  <c r="BT91" i="1"/>
  <c r="BS91" i="1"/>
  <c r="BR91" i="1"/>
  <c r="BQ91" i="1"/>
  <c r="BP91" i="1"/>
  <c r="BO91" i="1"/>
  <c r="BJ91" i="1"/>
  <c r="BI91" i="1"/>
  <c r="BH91" i="1"/>
  <c r="BG91" i="1"/>
  <c r="BF91" i="1"/>
  <c r="BE91" i="1"/>
  <c r="BD91" i="1"/>
  <c r="BC91" i="1"/>
  <c r="BB91" i="1"/>
  <c r="AX91" i="1"/>
  <c r="AW91" i="1"/>
  <c r="AV91" i="1"/>
  <c r="AS91" i="1"/>
  <c r="AR91" i="1"/>
  <c r="AQ91" i="1"/>
  <c r="AP91" i="1"/>
  <c r="AO91" i="1"/>
  <c r="AN91" i="1"/>
  <c r="AM91" i="1"/>
  <c r="AL91" i="1"/>
  <c r="AH91" i="1"/>
  <c r="AG91" i="1"/>
  <c r="AF91" i="1"/>
  <c r="AE91" i="1"/>
  <c r="AD91" i="1"/>
  <c r="AC91" i="1"/>
  <c r="AA91" i="1"/>
  <c r="Z91" i="1"/>
  <c r="Y91" i="1"/>
  <c r="X91" i="1"/>
  <c r="W91" i="1"/>
  <c r="T91" i="1"/>
  <c r="S91" i="1"/>
  <c r="R91" i="1"/>
  <c r="Q91" i="1"/>
  <c r="P91" i="1"/>
  <c r="O91" i="1"/>
  <c r="K91" i="1"/>
  <c r="J91" i="1"/>
  <c r="I91" i="1"/>
  <c r="H91" i="1"/>
  <c r="G91" i="1"/>
  <c r="F91" i="1"/>
  <c r="E91" i="1"/>
  <c r="BU90" i="1"/>
  <c r="BT90" i="1"/>
  <c r="BS90" i="1"/>
  <c r="BR90" i="1"/>
  <c r="BQ90" i="1"/>
  <c r="BP90" i="1"/>
  <c r="BO90" i="1"/>
  <c r="BJ90" i="1"/>
  <c r="BI90" i="1"/>
  <c r="BH90" i="1"/>
  <c r="BG90" i="1"/>
  <c r="BF90" i="1"/>
  <c r="BE90" i="1"/>
  <c r="BD90" i="1"/>
  <c r="BC90" i="1"/>
  <c r="BB90" i="1"/>
  <c r="AX90" i="1"/>
  <c r="AW90" i="1"/>
  <c r="AV90" i="1"/>
  <c r="AS90" i="1"/>
  <c r="AR90" i="1"/>
  <c r="AQ90" i="1"/>
  <c r="AP90" i="1"/>
  <c r="AO90" i="1"/>
  <c r="AN90" i="1"/>
  <c r="AM90" i="1"/>
  <c r="AL90" i="1"/>
  <c r="AH90" i="1"/>
  <c r="AG90" i="1"/>
  <c r="AF90" i="1"/>
  <c r="AE90" i="1"/>
  <c r="AD90" i="1"/>
  <c r="AC90" i="1"/>
  <c r="AA90" i="1"/>
  <c r="Z90" i="1"/>
  <c r="Y90" i="1"/>
  <c r="X90" i="1"/>
  <c r="W90" i="1"/>
  <c r="T90" i="1"/>
  <c r="S90" i="1"/>
  <c r="R90" i="1"/>
  <c r="Q90" i="1"/>
  <c r="P90" i="1"/>
  <c r="O90" i="1"/>
  <c r="K90" i="1"/>
  <c r="J90" i="1"/>
  <c r="I90" i="1"/>
  <c r="H90" i="1"/>
  <c r="G90" i="1"/>
  <c r="F90" i="1"/>
  <c r="E90" i="1"/>
  <c r="BU89" i="1"/>
  <c r="BT89" i="1"/>
  <c r="BS89" i="1"/>
  <c r="BR89" i="1"/>
  <c r="BQ89" i="1"/>
  <c r="BP89" i="1"/>
  <c r="BO89" i="1"/>
  <c r="BJ89" i="1"/>
  <c r="BI89" i="1"/>
  <c r="BH89" i="1"/>
  <c r="BG89" i="1"/>
  <c r="BF89" i="1"/>
  <c r="BE89" i="1"/>
  <c r="BD89" i="1"/>
  <c r="BC89" i="1"/>
  <c r="BB89" i="1"/>
  <c r="AX89" i="1"/>
  <c r="AW89" i="1"/>
  <c r="AV89" i="1"/>
  <c r="AS89" i="1"/>
  <c r="AR89" i="1"/>
  <c r="AQ89" i="1"/>
  <c r="AP89" i="1"/>
  <c r="AO89" i="1"/>
  <c r="AN89" i="1"/>
  <c r="AM89" i="1"/>
  <c r="AL89" i="1"/>
  <c r="AH89" i="1"/>
  <c r="AG89" i="1"/>
  <c r="AF89" i="1"/>
  <c r="AE89" i="1"/>
  <c r="AD89" i="1"/>
  <c r="AC89" i="1"/>
  <c r="AA89" i="1"/>
  <c r="Z89" i="1"/>
  <c r="Y89" i="1"/>
  <c r="X89" i="1"/>
  <c r="W89" i="1"/>
  <c r="T89" i="1"/>
  <c r="S89" i="1"/>
  <c r="R89" i="1"/>
  <c r="Q89" i="1"/>
  <c r="P89" i="1"/>
  <c r="O89" i="1"/>
  <c r="K89" i="1"/>
  <c r="J89" i="1"/>
  <c r="I89" i="1"/>
  <c r="H89" i="1"/>
  <c r="G89" i="1"/>
  <c r="F89" i="1"/>
  <c r="E89" i="1"/>
  <c r="BU88" i="1"/>
  <c r="BT88" i="1"/>
  <c r="BS88" i="1"/>
  <c r="BR88" i="1"/>
  <c r="BQ88" i="1"/>
  <c r="BP88" i="1"/>
  <c r="BO88" i="1"/>
  <c r="BJ88" i="1"/>
  <c r="BI88" i="1"/>
  <c r="BH88" i="1"/>
  <c r="BG88" i="1"/>
  <c r="BF88" i="1"/>
  <c r="BE88" i="1"/>
  <c r="BD88" i="1"/>
  <c r="BC88" i="1"/>
  <c r="BB88" i="1"/>
  <c r="AX88" i="1"/>
  <c r="AW88" i="1"/>
  <c r="AV88" i="1"/>
  <c r="AS88" i="1"/>
  <c r="AR88" i="1"/>
  <c r="AQ88" i="1"/>
  <c r="AP88" i="1"/>
  <c r="AO88" i="1"/>
  <c r="AN88" i="1"/>
  <c r="AM88" i="1"/>
  <c r="AL88" i="1"/>
  <c r="AH88" i="1"/>
  <c r="AG88" i="1"/>
  <c r="AF88" i="1"/>
  <c r="AE88" i="1"/>
  <c r="AD88" i="1"/>
  <c r="AC88" i="1"/>
  <c r="AA88" i="1"/>
  <c r="Z88" i="1"/>
  <c r="Y88" i="1"/>
  <c r="X88" i="1"/>
  <c r="W88" i="1"/>
  <c r="T88" i="1"/>
  <c r="S88" i="1"/>
  <c r="R88" i="1"/>
  <c r="Q88" i="1"/>
  <c r="P88" i="1"/>
  <c r="O88" i="1"/>
  <c r="K88" i="1"/>
  <c r="J88" i="1"/>
  <c r="I88" i="1"/>
  <c r="H88" i="1"/>
  <c r="G88" i="1"/>
  <c r="F88" i="1"/>
  <c r="E88" i="1"/>
  <c r="BU87" i="1"/>
  <c r="BT87" i="1"/>
  <c r="BS87" i="1"/>
  <c r="BR87" i="1"/>
  <c r="BQ87" i="1"/>
  <c r="BP87" i="1"/>
  <c r="BO87" i="1"/>
  <c r="BJ87" i="1"/>
  <c r="BI87" i="1"/>
  <c r="BH87" i="1"/>
  <c r="BG87" i="1"/>
  <c r="BF87" i="1"/>
  <c r="BE87" i="1"/>
  <c r="BD87" i="1"/>
  <c r="BC87" i="1"/>
  <c r="BB87" i="1"/>
  <c r="AX87" i="1"/>
  <c r="AW87" i="1"/>
  <c r="AV87" i="1"/>
  <c r="AS87" i="1"/>
  <c r="AR87" i="1"/>
  <c r="AQ87" i="1"/>
  <c r="AP87" i="1"/>
  <c r="AO87" i="1"/>
  <c r="AN87" i="1"/>
  <c r="AM87" i="1"/>
  <c r="AL87" i="1"/>
  <c r="AH87" i="1"/>
  <c r="AG87" i="1"/>
  <c r="AF87" i="1"/>
  <c r="AE87" i="1"/>
  <c r="AD87" i="1"/>
  <c r="AC87" i="1"/>
  <c r="AA87" i="1"/>
  <c r="Z87" i="1"/>
  <c r="Y87" i="1"/>
  <c r="X87" i="1"/>
  <c r="W87" i="1"/>
  <c r="T87" i="1"/>
  <c r="S87" i="1"/>
  <c r="R87" i="1"/>
  <c r="Q87" i="1"/>
  <c r="P87" i="1"/>
  <c r="O87" i="1"/>
  <c r="K87" i="1"/>
  <c r="J87" i="1"/>
  <c r="I87" i="1"/>
  <c r="H87" i="1"/>
  <c r="G87" i="1"/>
  <c r="F87" i="1"/>
  <c r="E87" i="1"/>
  <c r="BU86" i="1"/>
  <c r="BT86" i="1"/>
  <c r="BS86" i="1"/>
  <c r="BR86" i="1"/>
  <c r="BQ86" i="1"/>
  <c r="BP86" i="1"/>
  <c r="BO86" i="1"/>
  <c r="BJ86" i="1"/>
  <c r="BI86" i="1"/>
  <c r="BH86" i="1"/>
  <c r="BG86" i="1"/>
  <c r="BF86" i="1"/>
  <c r="BE86" i="1"/>
  <c r="BD86" i="1"/>
  <c r="BC86" i="1"/>
  <c r="BB86" i="1"/>
  <c r="AX86" i="1"/>
  <c r="AW86" i="1"/>
  <c r="AV86" i="1"/>
  <c r="AS86" i="1"/>
  <c r="AR86" i="1"/>
  <c r="AQ86" i="1"/>
  <c r="AP86" i="1"/>
  <c r="AO86" i="1"/>
  <c r="AN86" i="1"/>
  <c r="AM86" i="1"/>
  <c r="AL86" i="1"/>
  <c r="AH86" i="1"/>
  <c r="AG86" i="1"/>
  <c r="AF86" i="1"/>
  <c r="AE86" i="1"/>
  <c r="AD86" i="1"/>
  <c r="AC86" i="1"/>
  <c r="AA86" i="1"/>
  <c r="Z86" i="1"/>
  <c r="Y86" i="1"/>
  <c r="X86" i="1"/>
  <c r="W86" i="1"/>
  <c r="T86" i="1"/>
  <c r="S86" i="1"/>
  <c r="R86" i="1"/>
  <c r="Q86" i="1"/>
  <c r="P86" i="1"/>
  <c r="O86" i="1"/>
  <c r="K86" i="1"/>
  <c r="J86" i="1"/>
  <c r="I86" i="1"/>
  <c r="H86" i="1"/>
  <c r="G86" i="1"/>
  <c r="F86" i="1"/>
  <c r="E86" i="1"/>
  <c r="BU85" i="1"/>
  <c r="BT85" i="1"/>
  <c r="BS85" i="1"/>
  <c r="BR85" i="1"/>
  <c r="BQ85" i="1"/>
  <c r="BP85" i="1"/>
  <c r="BO85" i="1"/>
  <c r="BJ85" i="1"/>
  <c r="BI85" i="1"/>
  <c r="BH85" i="1"/>
  <c r="BG85" i="1"/>
  <c r="BF85" i="1"/>
  <c r="BE85" i="1"/>
  <c r="BD85" i="1"/>
  <c r="BC85" i="1"/>
  <c r="BB85" i="1"/>
  <c r="AX85" i="1"/>
  <c r="AW85" i="1"/>
  <c r="AV85" i="1"/>
  <c r="AS85" i="1"/>
  <c r="AR85" i="1"/>
  <c r="AQ85" i="1"/>
  <c r="AP85" i="1"/>
  <c r="AO85" i="1"/>
  <c r="AN85" i="1"/>
  <c r="AM85" i="1"/>
  <c r="AL85" i="1"/>
  <c r="AH85" i="1"/>
  <c r="AG85" i="1"/>
  <c r="AF85" i="1"/>
  <c r="AE85" i="1"/>
  <c r="AD85" i="1"/>
  <c r="AC85" i="1"/>
  <c r="AA85" i="1"/>
  <c r="Z85" i="1"/>
  <c r="Y85" i="1"/>
  <c r="X85" i="1"/>
  <c r="W85" i="1"/>
  <c r="T85" i="1"/>
  <c r="S85" i="1"/>
  <c r="R85" i="1"/>
  <c r="Q85" i="1"/>
  <c r="P85" i="1"/>
  <c r="O85" i="1"/>
  <c r="K85" i="1"/>
  <c r="J85" i="1"/>
  <c r="I85" i="1"/>
  <c r="H85" i="1"/>
  <c r="G85" i="1"/>
  <c r="F85" i="1"/>
  <c r="E85" i="1"/>
  <c r="BU84" i="1"/>
  <c r="BT84" i="1"/>
  <c r="BS84" i="1"/>
  <c r="BR84" i="1"/>
  <c r="BQ84" i="1"/>
  <c r="BP84" i="1"/>
  <c r="BO84" i="1"/>
  <c r="BJ84" i="1"/>
  <c r="BI84" i="1"/>
  <c r="BH84" i="1"/>
  <c r="BG84" i="1"/>
  <c r="BF84" i="1"/>
  <c r="BE84" i="1"/>
  <c r="BD84" i="1"/>
  <c r="BC84" i="1"/>
  <c r="BB84" i="1"/>
  <c r="AX84" i="1"/>
  <c r="AW84" i="1"/>
  <c r="AV84" i="1"/>
  <c r="AS84" i="1"/>
  <c r="AR84" i="1"/>
  <c r="AQ84" i="1"/>
  <c r="AP84" i="1"/>
  <c r="AO84" i="1"/>
  <c r="AN84" i="1"/>
  <c r="AM84" i="1"/>
  <c r="AL84" i="1"/>
  <c r="AH84" i="1"/>
  <c r="AG84" i="1"/>
  <c r="AF84" i="1"/>
  <c r="AE84" i="1"/>
  <c r="AD84" i="1"/>
  <c r="AC84" i="1"/>
  <c r="AA84" i="1"/>
  <c r="Z84" i="1"/>
  <c r="Y84" i="1"/>
  <c r="X84" i="1"/>
  <c r="W84" i="1"/>
  <c r="T84" i="1"/>
  <c r="S84" i="1"/>
  <c r="R84" i="1"/>
  <c r="Q84" i="1"/>
  <c r="P84" i="1"/>
  <c r="O84" i="1"/>
  <c r="K84" i="1"/>
  <c r="J84" i="1"/>
  <c r="I84" i="1"/>
  <c r="H84" i="1"/>
  <c r="G84" i="1"/>
  <c r="F84" i="1"/>
  <c r="E84" i="1"/>
  <c r="BU83" i="1"/>
  <c r="BT83" i="1"/>
  <c r="BS83" i="1"/>
  <c r="BR83" i="1"/>
  <c r="BQ83" i="1"/>
  <c r="BP83" i="1"/>
  <c r="BO83" i="1"/>
  <c r="BJ83" i="1"/>
  <c r="BI83" i="1"/>
  <c r="BH83" i="1"/>
  <c r="BG83" i="1"/>
  <c r="BF83" i="1"/>
  <c r="BE83" i="1"/>
  <c r="BD83" i="1"/>
  <c r="BC83" i="1"/>
  <c r="BB83" i="1"/>
  <c r="AX83" i="1"/>
  <c r="AW83" i="1"/>
  <c r="AV83" i="1"/>
  <c r="AS83" i="1"/>
  <c r="AR83" i="1"/>
  <c r="AQ83" i="1"/>
  <c r="AP83" i="1"/>
  <c r="AO83" i="1"/>
  <c r="AN83" i="1"/>
  <c r="AM83" i="1"/>
  <c r="AL83" i="1"/>
  <c r="AH83" i="1"/>
  <c r="AG83" i="1"/>
  <c r="AF83" i="1"/>
  <c r="AE83" i="1"/>
  <c r="AD83" i="1"/>
  <c r="AC83" i="1"/>
  <c r="AA83" i="1"/>
  <c r="Z83" i="1"/>
  <c r="Y83" i="1"/>
  <c r="X83" i="1"/>
  <c r="W83" i="1"/>
  <c r="T83" i="1"/>
  <c r="S83" i="1"/>
  <c r="R83" i="1"/>
  <c r="Q83" i="1"/>
  <c r="P83" i="1"/>
  <c r="O83" i="1"/>
  <c r="K83" i="1"/>
  <c r="J83" i="1"/>
  <c r="I83" i="1"/>
  <c r="H83" i="1"/>
  <c r="G83" i="1"/>
  <c r="F83" i="1"/>
  <c r="E83" i="1"/>
  <c r="BU82" i="1"/>
  <c r="BT82" i="1"/>
  <c r="BS82" i="1"/>
  <c r="BR82" i="1"/>
  <c r="BQ82" i="1"/>
  <c r="BP82" i="1"/>
  <c r="BO82" i="1"/>
  <c r="BJ82" i="1"/>
  <c r="BI82" i="1"/>
  <c r="BH82" i="1"/>
  <c r="BG82" i="1"/>
  <c r="BF82" i="1"/>
  <c r="BE82" i="1"/>
  <c r="BD82" i="1"/>
  <c r="BC82" i="1"/>
  <c r="BB82" i="1"/>
  <c r="AX82" i="1"/>
  <c r="AW82" i="1"/>
  <c r="AV82" i="1"/>
  <c r="AS82" i="1"/>
  <c r="AR82" i="1"/>
  <c r="AQ82" i="1"/>
  <c r="AP82" i="1"/>
  <c r="AO82" i="1"/>
  <c r="AN82" i="1"/>
  <c r="AM82" i="1"/>
  <c r="AL82" i="1"/>
  <c r="AH82" i="1"/>
  <c r="AG82" i="1"/>
  <c r="AF82" i="1"/>
  <c r="AE82" i="1"/>
  <c r="AD82" i="1"/>
  <c r="AC82" i="1"/>
  <c r="AA82" i="1"/>
  <c r="Z82" i="1"/>
  <c r="Y82" i="1"/>
  <c r="X82" i="1"/>
  <c r="W82" i="1"/>
  <c r="T82" i="1"/>
  <c r="S82" i="1"/>
  <c r="R82" i="1"/>
  <c r="Q82" i="1"/>
  <c r="P82" i="1"/>
  <c r="O82" i="1"/>
  <c r="K82" i="1"/>
  <c r="J82" i="1"/>
  <c r="I82" i="1"/>
  <c r="H82" i="1"/>
  <c r="G82" i="1"/>
  <c r="F82" i="1"/>
  <c r="E82" i="1"/>
  <c r="BU81" i="1"/>
  <c r="BT81" i="1"/>
  <c r="BS81" i="1"/>
  <c r="BR81" i="1"/>
  <c r="BQ81" i="1"/>
  <c r="BP81" i="1"/>
  <c r="BO81" i="1"/>
  <c r="BJ81" i="1"/>
  <c r="BI81" i="1"/>
  <c r="BH81" i="1"/>
  <c r="BG81" i="1"/>
  <c r="BF81" i="1"/>
  <c r="BE81" i="1"/>
  <c r="BD81" i="1"/>
  <c r="BC81" i="1"/>
  <c r="BB81" i="1"/>
  <c r="AX81" i="1"/>
  <c r="AW81" i="1"/>
  <c r="AV81" i="1"/>
  <c r="AS81" i="1"/>
  <c r="AR81" i="1"/>
  <c r="AQ81" i="1"/>
  <c r="AP81" i="1"/>
  <c r="AO81" i="1"/>
  <c r="AN81" i="1"/>
  <c r="AM81" i="1"/>
  <c r="AL81" i="1"/>
  <c r="AH81" i="1"/>
  <c r="AG81" i="1"/>
  <c r="AF81" i="1"/>
  <c r="AE81" i="1"/>
  <c r="AD81" i="1"/>
  <c r="AC81" i="1"/>
  <c r="AA81" i="1"/>
  <c r="Z81" i="1"/>
  <c r="Y81" i="1"/>
  <c r="X81" i="1"/>
  <c r="W81" i="1"/>
  <c r="T81" i="1"/>
  <c r="S81" i="1"/>
  <c r="R81" i="1"/>
  <c r="Q81" i="1"/>
  <c r="P81" i="1"/>
  <c r="O81" i="1"/>
  <c r="K81" i="1"/>
  <c r="J81" i="1"/>
  <c r="I81" i="1"/>
  <c r="H81" i="1"/>
  <c r="G81" i="1"/>
  <c r="F81" i="1"/>
  <c r="E81" i="1"/>
  <c r="BU80" i="1"/>
  <c r="BT80" i="1"/>
  <c r="BS80" i="1"/>
  <c r="BR80" i="1"/>
  <c r="BQ80" i="1"/>
  <c r="BP80" i="1"/>
  <c r="BO80" i="1"/>
  <c r="BJ80" i="1"/>
  <c r="BI80" i="1"/>
  <c r="BH80" i="1"/>
  <c r="BG80" i="1"/>
  <c r="BF80" i="1"/>
  <c r="BE80" i="1"/>
  <c r="BD80" i="1"/>
  <c r="BC80" i="1"/>
  <c r="BB80" i="1"/>
  <c r="AX80" i="1"/>
  <c r="AW80" i="1"/>
  <c r="AV80" i="1"/>
  <c r="AS80" i="1"/>
  <c r="AR80" i="1"/>
  <c r="AQ80" i="1"/>
  <c r="AP80" i="1"/>
  <c r="AO80" i="1"/>
  <c r="AN80" i="1"/>
  <c r="AM80" i="1"/>
  <c r="AL80" i="1"/>
  <c r="AH80" i="1"/>
  <c r="AG80" i="1"/>
  <c r="AF80" i="1"/>
  <c r="AE80" i="1"/>
  <c r="AD80" i="1"/>
  <c r="AC80" i="1"/>
  <c r="AA80" i="1"/>
  <c r="Z80" i="1"/>
  <c r="Y80" i="1"/>
  <c r="X80" i="1"/>
  <c r="W80" i="1"/>
  <c r="T80" i="1"/>
  <c r="S80" i="1"/>
  <c r="R80" i="1"/>
  <c r="Q80" i="1"/>
  <c r="P80" i="1"/>
  <c r="O80" i="1"/>
  <c r="K80" i="1"/>
  <c r="J80" i="1"/>
  <c r="I80" i="1"/>
  <c r="H80" i="1"/>
  <c r="G80" i="1"/>
  <c r="F80" i="1"/>
  <c r="E80" i="1"/>
  <c r="BU79" i="1"/>
  <c r="BT79" i="1"/>
  <c r="BS79" i="1"/>
  <c r="BR79" i="1"/>
  <c r="BQ79" i="1"/>
  <c r="BP79" i="1"/>
  <c r="BO79" i="1"/>
  <c r="BJ79" i="1"/>
  <c r="BI79" i="1"/>
  <c r="BH79" i="1"/>
  <c r="BG79" i="1"/>
  <c r="BF79" i="1"/>
  <c r="BE79" i="1"/>
  <c r="BD79" i="1"/>
  <c r="BC79" i="1"/>
  <c r="BB79" i="1"/>
  <c r="AX79" i="1"/>
  <c r="AW79" i="1"/>
  <c r="AV79" i="1"/>
  <c r="AS79" i="1"/>
  <c r="AR79" i="1"/>
  <c r="AQ79" i="1"/>
  <c r="AP79" i="1"/>
  <c r="AO79" i="1"/>
  <c r="AN79" i="1"/>
  <c r="AM79" i="1"/>
  <c r="AL79" i="1"/>
  <c r="AH79" i="1"/>
  <c r="AG79" i="1"/>
  <c r="AF79" i="1"/>
  <c r="AE79" i="1"/>
  <c r="AD79" i="1"/>
  <c r="AC79" i="1"/>
  <c r="AA79" i="1"/>
  <c r="Z79" i="1"/>
  <c r="Y79" i="1"/>
  <c r="X79" i="1"/>
  <c r="W79" i="1"/>
  <c r="T79" i="1"/>
  <c r="S79" i="1"/>
  <c r="R79" i="1"/>
  <c r="Q79" i="1"/>
  <c r="P79" i="1"/>
  <c r="O79" i="1"/>
  <c r="K79" i="1"/>
  <c r="J79" i="1"/>
  <c r="I79" i="1"/>
  <c r="H79" i="1"/>
  <c r="G79" i="1"/>
  <c r="F79" i="1"/>
  <c r="E79" i="1"/>
  <c r="BU78" i="1"/>
  <c r="BT78" i="1"/>
  <c r="BS78" i="1"/>
  <c r="BR78" i="1"/>
  <c r="BQ78" i="1"/>
  <c r="BP78" i="1"/>
  <c r="BO78" i="1"/>
  <c r="BJ78" i="1"/>
  <c r="BI78" i="1"/>
  <c r="BH78" i="1"/>
  <c r="BG78" i="1"/>
  <c r="BF78" i="1"/>
  <c r="BE78" i="1"/>
  <c r="BD78" i="1"/>
  <c r="BC78" i="1"/>
  <c r="BB78" i="1"/>
  <c r="AX78" i="1"/>
  <c r="AW78" i="1"/>
  <c r="AV78" i="1"/>
  <c r="AS78" i="1"/>
  <c r="AR78" i="1"/>
  <c r="AQ78" i="1"/>
  <c r="AP78" i="1"/>
  <c r="AO78" i="1"/>
  <c r="AN78" i="1"/>
  <c r="AM78" i="1"/>
  <c r="AL78" i="1"/>
  <c r="AH78" i="1"/>
  <c r="AG78" i="1"/>
  <c r="AF78" i="1"/>
  <c r="AE78" i="1"/>
  <c r="AD78" i="1"/>
  <c r="AC78" i="1"/>
  <c r="AA78" i="1"/>
  <c r="Z78" i="1"/>
  <c r="Y78" i="1"/>
  <c r="X78" i="1"/>
  <c r="W78" i="1"/>
  <c r="T78" i="1"/>
  <c r="S78" i="1"/>
  <c r="R78" i="1"/>
  <c r="Q78" i="1"/>
  <c r="P78" i="1"/>
  <c r="O78" i="1"/>
  <c r="K78" i="1"/>
  <c r="J78" i="1"/>
  <c r="I78" i="1"/>
  <c r="H78" i="1"/>
  <c r="G78" i="1"/>
  <c r="F78" i="1"/>
  <c r="E78" i="1"/>
  <c r="BU77" i="1"/>
  <c r="BT77" i="1"/>
  <c r="BS77" i="1"/>
  <c r="BR77" i="1"/>
  <c r="BQ77" i="1"/>
  <c r="BP77" i="1"/>
  <c r="BO77" i="1"/>
  <c r="BJ77" i="1"/>
  <c r="BI77" i="1"/>
  <c r="BH77" i="1"/>
  <c r="BG77" i="1"/>
  <c r="BF77" i="1"/>
  <c r="BE77" i="1"/>
  <c r="BD77" i="1"/>
  <c r="BC77" i="1"/>
  <c r="BB77" i="1"/>
  <c r="AX77" i="1"/>
  <c r="AW77" i="1"/>
  <c r="AV77" i="1"/>
  <c r="AS77" i="1"/>
  <c r="AR77" i="1"/>
  <c r="AQ77" i="1"/>
  <c r="AP77" i="1"/>
  <c r="AO77" i="1"/>
  <c r="AN77" i="1"/>
  <c r="AM77" i="1"/>
  <c r="AL77" i="1"/>
  <c r="AH77" i="1"/>
  <c r="AG77" i="1"/>
  <c r="AF77" i="1"/>
  <c r="AE77" i="1"/>
  <c r="AD77" i="1"/>
  <c r="AC77" i="1"/>
  <c r="AA77" i="1"/>
  <c r="Z77" i="1"/>
  <c r="Y77" i="1"/>
  <c r="X77" i="1"/>
  <c r="W77" i="1"/>
  <c r="T77" i="1"/>
  <c r="S77" i="1"/>
  <c r="R77" i="1"/>
  <c r="Q77" i="1"/>
  <c r="P77" i="1"/>
  <c r="O77" i="1"/>
  <c r="K77" i="1"/>
  <c r="J77" i="1"/>
  <c r="I77" i="1"/>
  <c r="H77" i="1"/>
  <c r="G77" i="1"/>
  <c r="F77" i="1"/>
  <c r="E77" i="1"/>
  <c r="BU76" i="1"/>
  <c r="BT76" i="1"/>
  <c r="BS76" i="1"/>
  <c r="BR76" i="1"/>
  <c r="BQ76" i="1"/>
  <c r="BP76" i="1"/>
  <c r="BO76" i="1"/>
  <c r="BJ76" i="1"/>
  <c r="BI76" i="1"/>
  <c r="BH76" i="1"/>
  <c r="BG76" i="1"/>
  <c r="BF76" i="1"/>
  <c r="BE76" i="1"/>
  <c r="BD76" i="1"/>
  <c r="BC76" i="1"/>
  <c r="BB76" i="1"/>
  <c r="AX76" i="1"/>
  <c r="AW76" i="1"/>
  <c r="AV76" i="1"/>
  <c r="AS76" i="1"/>
  <c r="AR76" i="1"/>
  <c r="AQ76" i="1"/>
  <c r="AP76" i="1"/>
  <c r="AO76" i="1"/>
  <c r="AN76" i="1"/>
  <c r="AM76" i="1"/>
  <c r="AL76" i="1"/>
  <c r="AH76" i="1"/>
  <c r="AG76" i="1"/>
  <c r="AF76" i="1"/>
  <c r="AE76" i="1"/>
  <c r="AD76" i="1"/>
  <c r="AC76" i="1"/>
  <c r="AA76" i="1"/>
  <c r="Z76" i="1"/>
  <c r="Y76" i="1"/>
  <c r="X76" i="1"/>
  <c r="W76" i="1"/>
  <c r="T76" i="1"/>
  <c r="S76" i="1"/>
  <c r="R76" i="1"/>
  <c r="Q76" i="1"/>
  <c r="P76" i="1"/>
  <c r="O76" i="1"/>
  <c r="K76" i="1"/>
  <c r="J76" i="1"/>
  <c r="I76" i="1"/>
  <c r="H76" i="1"/>
  <c r="G76" i="1"/>
  <c r="F76" i="1"/>
  <c r="E76" i="1"/>
  <c r="BU75" i="1"/>
  <c r="BT75" i="1"/>
  <c r="BS75" i="1"/>
  <c r="BR75" i="1"/>
  <c r="BQ75" i="1"/>
  <c r="BP75" i="1"/>
  <c r="BO75" i="1"/>
  <c r="BJ75" i="1"/>
  <c r="BI75" i="1"/>
  <c r="BH75" i="1"/>
  <c r="BG75" i="1"/>
  <c r="BF75" i="1"/>
  <c r="BE75" i="1"/>
  <c r="BD75" i="1"/>
  <c r="BC75" i="1"/>
  <c r="BB75" i="1"/>
  <c r="AX75" i="1"/>
  <c r="AW75" i="1"/>
  <c r="AV75" i="1"/>
  <c r="AS75" i="1"/>
  <c r="AR75" i="1"/>
  <c r="AQ75" i="1"/>
  <c r="AP75" i="1"/>
  <c r="AO75" i="1"/>
  <c r="AN75" i="1"/>
  <c r="AM75" i="1"/>
  <c r="AL75" i="1"/>
  <c r="AH75" i="1"/>
  <c r="AG75" i="1"/>
  <c r="AF75" i="1"/>
  <c r="AE75" i="1"/>
  <c r="AD75" i="1"/>
  <c r="AC75" i="1"/>
  <c r="AA75" i="1"/>
  <c r="Z75" i="1"/>
  <c r="Y75" i="1"/>
  <c r="X75" i="1"/>
  <c r="W75" i="1"/>
  <c r="T75" i="1"/>
  <c r="S75" i="1"/>
  <c r="R75" i="1"/>
  <c r="Q75" i="1"/>
  <c r="P75" i="1"/>
  <c r="O75" i="1"/>
  <c r="K75" i="1"/>
  <c r="J75" i="1"/>
  <c r="I75" i="1"/>
  <c r="H75" i="1"/>
  <c r="G75" i="1"/>
  <c r="F75" i="1"/>
  <c r="E75" i="1"/>
  <c r="BU74" i="1"/>
  <c r="BT74" i="1"/>
  <c r="BS74" i="1"/>
  <c r="BR74" i="1"/>
  <c r="BQ74" i="1"/>
  <c r="BP74" i="1"/>
  <c r="BO74" i="1"/>
  <c r="BJ74" i="1"/>
  <c r="BI74" i="1"/>
  <c r="BH74" i="1"/>
  <c r="BG74" i="1"/>
  <c r="BF74" i="1"/>
  <c r="BE74" i="1"/>
  <c r="BD74" i="1"/>
  <c r="BC74" i="1"/>
  <c r="BB74" i="1"/>
  <c r="AX74" i="1"/>
  <c r="AW74" i="1"/>
  <c r="AV74" i="1"/>
  <c r="AS74" i="1"/>
  <c r="AR74" i="1"/>
  <c r="AQ74" i="1"/>
  <c r="AP74" i="1"/>
  <c r="AO74" i="1"/>
  <c r="AN74" i="1"/>
  <c r="AM74" i="1"/>
  <c r="AL74" i="1"/>
  <c r="AH74" i="1"/>
  <c r="AG74" i="1"/>
  <c r="AF74" i="1"/>
  <c r="AE74" i="1"/>
  <c r="AD74" i="1"/>
  <c r="AC74" i="1"/>
  <c r="AA74" i="1"/>
  <c r="Z74" i="1"/>
  <c r="Y74" i="1"/>
  <c r="X74" i="1"/>
  <c r="W74" i="1"/>
  <c r="T74" i="1"/>
  <c r="S74" i="1"/>
  <c r="R74" i="1"/>
  <c r="Q74" i="1"/>
  <c r="P74" i="1"/>
  <c r="O74" i="1"/>
  <c r="K74" i="1"/>
  <c r="J74" i="1"/>
  <c r="I74" i="1"/>
  <c r="H74" i="1"/>
  <c r="G74" i="1"/>
  <c r="F74" i="1"/>
  <c r="E74" i="1"/>
  <c r="BU73" i="1"/>
  <c r="BT73" i="1"/>
  <c r="BS73" i="1"/>
  <c r="BR73" i="1"/>
  <c r="BQ73" i="1"/>
  <c r="BP73" i="1"/>
  <c r="BO73" i="1"/>
  <c r="BJ73" i="1"/>
  <c r="BI73" i="1"/>
  <c r="BH73" i="1"/>
  <c r="BG73" i="1"/>
  <c r="BF73" i="1"/>
  <c r="BE73" i="1"/>
  <c r="BD73" i="1"/>
  <c r="BC73" i="1"/>
  <c r="BB73" i="1"/>
  <c r="AX73" i="1"/>
  <c r="AW73" i="1"/>
  <c r="AV73" i="1"/>
  <c r="AS73" i="1"/>
  <c r="AR73" i="1"/>
  <c r="AQ73" i="1"/>
  <c r="AP73" i="1"/>
  <c r="AO73" i="1"/>
  <c r="AN73" i="1"/>
  <c r="AM73" i="1"/>
  <c r="AL73" i="1"/>
  <c r="AH73" i="1"/>
  <c r="AG73" i="1"/>
  <c r="AF73" i="1"/>
  <c r="AE73" i="1"/>
  <c r="AD73" i="1"/>
  <c r="AC73" i="1"/>
  <c r="AA73" i="1"/>
  <c r="Z73" i="1"/>
  <c r="Y73" i="1"/>
  <c r="X73" i="1"/>
  <c r="W73" i="1"/>
  <c r="T73" i="1"/>
  <c r="S73" i="1"/>
  <c r="R73" i="1"/>
  <c r="Q73" i="1"/>
  <c r="P73" i="1"/>
  <c r="O73" i="1"/>
  <c r="K73" i="1"/>
  <c r="J73" i="1"/>
  <c r="I73" i="1"/>
  <c r="H73" i="1"/>
  <c r="G73" i="1"/>
  <c r="F73" i="1"/>
  <c r="E73" i="1"/>
  <c r="BU72" i="1"/>
  <c r="BT72" i="1"/>
  <c r="BS72" i="1"/>
  <c r="BR72" i="1"/>
  <c r="BQ72" i="1"/>
  <c r="BP72" i="1"/>
  <c r="BO72" i="1"/>
  <c r="BJ72" i="1"/>
  <c r="BI72" i="1"/>
  <c r="BH72" i="1"/>
  <c r="BG72" i="1"/>
  <c r="BF72" i="1"/>
  <c r="BE72" i="1"/>
  <c r="BD72" i="1"/>
  <c r="BC72" i="1"/>
  <c r="BB72" i="1"/>
  <c r="AX72" i="1"/>
  <c r="AW72" i="1"/>
  <c r="AV72" i="1"/>
  <c r="AS72" i="1"/>
  <c r="AR72" i="1"/>
  <c r="AQ72" i="1"/>
  <c r="AP72" i="1"/>
  <c r="AO72" i="1"/>
  <c r="AN72" i="1"/>
  <c r="AM72" i="1"/>
  <c r="AL72" i="1"/>
  <c r="AH72" i="1"/>
  <c r="AG72" i="1"/>
  <c r="AF72" i="1"/>
  <c r="AE72" i="1"/>
  <c r="AD72" i="1"/>
  <c r="AC72" i="1"/>
  <c r="AA72" i="1"/>
  <c r="Z72" i="1"/>
  <c r="Y72" i="1"/>
  <c r="X72" i="1"/>
  <c r="W72" i="1"/>
  <c r="T72" i="1"/>
  <c r="S72" i="1"/>
  <c r="R72" i="1"/>
  <c r="Q72" i="1"/>
  <c r="P72" i="1"/>
  <c r="O72" i="1"/>
  <c r="K72" i="1"/>
  <c r="J72" i="1"/>
  <c r="I72" i="1"/>
  <c r="H72" i="1"/>
  <c r="G72" i="1"/>
  <c r="F72" i="1"/>
  <c r="E72" i="1"/>
  <c r="BU71" i="1"/>
  <c r="BT71" i="1"/>
  <c r="BS71" i="1"/>
  <c r="BR71" i="1"/>
  <c r="BQ71" i="1"/>
  <c r="BP71" i="1"/>
  <c r="BO71" i="1"/>
  <c r="BJ71" i="1"/>
  <c r="BI71" i="1"/>
  <c r="BH71" i="1"/>
  <c r="BG71" i="1"/>
  <c r="BF71" i="1"/>
  <c r="BE71" i="1"/>
  <c r="BD71" i="1"/>
  <c r="BC71" i="1"/>
  <c r="BB71" i="1"/>
  <c r="AX71" i="1"/>
  <c r="AW71" i="1"/>
  <c r="AV71" i="1"/>
  <c r="AS71" i="1"/>
  <c r="AR71" i="1"/>
  <c r="AQ71" i="1"/>
  <c r="AP71" i="1"/>
  <c r="AO71" i="1"/>
  <c r="AN71" i="1"/>
  <c r="AM71" i="1"/>
  <c r="AL71" i="1"/>
  <c r="AH71" i="1"/>
  <c r="AG71" i="1"/>
  <c r="AF71" i="1"/>
  <c r="AE71" i="1"/>
  <c r="AD71" i="1"/>
  <c r="AC71" i="1"/>
  <c r="AA71" i="1"/>
  <c r="Z71" i="1"/>
  <c r="Y71" i="1"/>
  <c r="X71" i="1"/>
  <c r="W71" i="1"/>
  <c r="T71" i="1"/>
  <c r="S71" i="1"/>
  <c r="R71" i="1"/>
  <c r="Q71" i="1"/>
  <c r="P71" i="1"/>
  <c r="O71" i="1"/>
  <c r="K71" i="1"/>
  <c r="J71" i="1"/>
  <c r="I71" i="1"/>
  <c r="H71" i="1"/>
  <c r="G71" i="1"/>
  <c r="F71" i="1"/>
  <c r="E71" i="1"/>
  <c r="BU70" i="1"/>
  <c r="BT70" i="1"/>
  <c r="BS70" i="1"/>
  <c r="BR70" i="1"/>
  <c r="BQ70" i="1"/>
  <c r="BP70" i="1"/>
  <c r="BO70" i="1"/>
  <c r="BJ70" i="1"/>
  <c r="BI70" i="1"/>
  <c r="BH70" i="1"/>
  <c r="BG70" i="1"/>
  <c r="BF70" i="1"/>
  <c r="BE70" i="1"/>
  <c r="BD70" i="1"/>
  <c r="BC70" i="1"/>
  <c r="BB70" i="1"/>
  <c r="AX70" i="1"/>
  <c r="AW70" i="1"/>
  <c r="AV70" i="1"/>
  <c r="AS70" i="1"/>
  <c r="AR70" i="1"/>
  <c r="AQ70" i="1"/>
  <c r="AP70" i="1"/>
  <c r="AO70" i="1"/>
  <c r="AN70" i="1"/>
  <c r="AM70" i="1"/>
  <c r="AL70" i="1"/>
  <c r="AH70" i="1"/>
  <c r="AG70" i="1"/>
  <c r="AF70" i="1"/>
  <c r="AE70" i="1"/>
  <c r="AD70" i="1"/>
  <c r="AC70" i="1"/>
  <c r="AA70" i="1"/>
  <c r="Z70" i="1"/>
  <c r="Y70" i="1"/>
  <c r="X70" i="1"/>
  <c r="W70" i="1"/>
  <c r="T70" i="1"/>
  <c r="S70" i="1"/>
  <c r="R70" i="1"/>
  <c r="Q70" i="1"/>
  <c r="P70" i="1"/>
  <c r="O70" i="1"/>
  <c r="K70" i="1"/>
  <c r="J70" i="1"/>
  <c r="I70" i="1"/>
  <c r="H70" i="1"/>
  <c r="G70" i="1"/>
  <c r="F70" i="1"/>
  <c r="E70" i="1"/>
  <c r="BU69" i="1"/>
  <c r="BT69" i="1"/>
  <c r="BS69" i="1"/>
  <c r="BR69" i="1"/>
  <c r="BQ69" i="1"/>
  <c r="BP69" i="1"/>
  <c r="BO69" i="1"/>
  <c r="BJ69" i="1"/>
  <c r="BI69" i="1"/>
  <c r="BH69" i="1"/>
  <c r="BG69" i="1"/>
  <c r="BF69" i="1"/>
  <c r="BE69" i="1"/>
  <c r="BD69" i="1"/>
  <c r="BC69" i="1"/>
  <c r="BB69" i="1"/>
  <c r="AX69" i="1"/>
  <c r="AW69" i="1"/>
  <c r="AV69" i="1"/>
  <c r="AS69" i="1"/>
  <c r="AR69" i="1"/>
  <c r="AQ69" i="1"/>
  <c r="AP69" i="1"/>
  <c r="AO69" i="1"/>
  <c r="AN69" i="1"/>
  <c r="AM69" i="1"/>
  <c r="AL69" i="1"/>
  <c r="AH69" i="1"/>
  <c r="AG69" i="1"/>
  <c r="AF69" i="1"/>
  <c r="AE69" i="1"/>
  <c r="AD69" i="1"/>
  <c r="AC69" i="1"/>
  <c r="AA69" i="1"/>
  <c r="Z69" i="1"/>
  <c r="Y69" i="1"/>
  <c r="X69" i="1"/>
  <c r="W69" i="1"/>
  <c r="T69" i="1"/>
  <c r="S69" i="1"/>
  <c r="R69" i="1"/>
  <c r="Q69" i="1"/>
  <c r="P69" i="1"/>
  <c r="O69" i="1"/>
  <c r="K69" i="1"/>
  <c r="J69" i="1"/>
  <c r="I69" i="1"/>
  <c r="H69" i="1"/>
  <c r="G69" i="1"/>
  <c r="F69" i="1"/>
  <c r="E69" i="1"/>
  <c r="BU68" i="1"/>
  <c r="BT68" i="1"/>
  <c r="BS68" i="1"/>
  <c r="BR68" i="1"/>
  <c r="BQ68" i="1"/>
  <c r="BP68" i="1"/>
  <c r="BO68" i="1"/>
  <c r="BJ68" i="1"/>
  <c r="BI68" i="1"/>
  <c r="BH68" i="1"/>
  <c r="BG68" i="1"/>
  <c r="BF68" i="1"/>
  <c r="BE68" i="1"/>
  <c r="BD68" i="1"/>
  <c r="BC68" i="1"/>
  <c r="BB68" i="1"/>
  <c r="AX68" i="1"/>
  <c r="AW68" i="1"/>
  <c r="AV68" i="1"/>
  <c r="AS68" i="1"/>
  <c r="AR68" i="1"/>
  <c r="AQ68" i="1"/>
  <c r="AP68" i="1"/>
  <c r="AO68" i="1"/>
  <c r="AN68" i="1"/>
  <c r="AM68" i="1"/>
  <c r="AL68" i="1"/>
  <c r="AH68" i="1"/>
  <c r="AG68" i="1"/>
  <c r="AF68" i="1"/>
  <c r="AE68" i="1"/>
  <c r="AD68" i="1"/>
  <c r="AC68" i="1"/>
  <c r="AA68" i="1"/>
  <c r="Z68" i="1"/>
  <c r="Y68" i="1"/>
  <c r="X68" i="1"/>
  <c r="W68" i="1"/>
  <c r="T68" i="1"/>
  <c r="S68" i="1"/>
  <c r="R68" i="1"/>
  <c r="Q68" i="1"/>
  <c r="P68" i="1"/>
  <c r="O68" i="1"/>
  <c r="K68" i="1"/>
  <c r="J68" i="1"/>
  <c r="I68" i="1"/>
  <c r="H68" i="1"/>
  <c r="G68" i="1"/>
  <c r="F68" i="1"/>
  <c r="E68" i="1"/>
  <c r="BU67" i="1"/>
  <c r="BT67" i="1"/>
  <c r="BS67" i="1"/>
  <c r="BR67" i="1"/>
  <c r="BQ67" i="1"/>
  <c r="BP67" i="1"/>
  <c r="BO67" i="1"/>
  <c r="BJ67" i="1"/>
  <c r="BI67" i="1"/>
  <c r="BH67" i="1"/>
  <c r="BG67" i="1"/>
  <c r="BF67" i="1"/>
  <c r="BE67" i="1"/>
  <c r="BD67" i="1"/>
  <c r="BC67" i="1"/>
  <c r="BB67" i="1"/>
  <c r="AX67" i="1"/>
  <c r="AW67" i="1"/>
  <c r="AV67" i="1"/>
  <c r="AS67" i="1"/>
  <c r="AR67" i="1"/>
  <c r="AQ67" i="1"/>
  <c r="AP67" i="1"/>
  <c r="AO67" i="1"/>
  <c r="AN67" i="1"/>
  <c r="AM67" i="1"/>
  <c r="AL67" i="1"/>
  <c r="AH67" i="1"/>
  <c r="AG67" i="1"/>
  <c r="AF67" i="1"/>
  <c r="AE67" i="1"/>
  <c r="AD67" i="1"/>
  <c r="AC67" i="1"/>
  <c r="AA67" i="1"/>
  <c r="Z67" i="1"/>
  <c r="Y67" i="1"/>
  <c r="X67" i="1"/>
  <c r="W67" i="1"/>
  <c r="T67" i="1"/>
  <c r="S67" i="1"/>
  <c r="R67" i="1"/>
  <c r="Q67" i="1"/>
  <c r="P67" i="1"/>
  <c r="O67" i="1"/>
  <c r="K67" i="1"/>
  <c r="J67" i="1"/>
  <c r="I67" i="1"/>
  <c r="H67" i="1"/>
  <c r="G67" i="1"/>
  <c r="F67" i="1"/>
  <c r="E67" i="1"/>
  <c r="BU66" i="1"/>
  <c r="BT66" i="1"/>
  <c r="BS66" i="1"/>
  <c r="BR66" i="1"/>
  <c r="BQ66" i="1"/>
  <c r="BP66" i="1"/>
  <c r="BO66" i="1"/>
  <c r="BJ66" i="1"/>
  <c r="BI66" i="1"/>
  <c r="BH66" i="1"/>
  <c r="BG66" i="1"/>
  <c r="BF66" i="1"/>
  <c r="BE66" i="1"/>
  <c r="BD66" i="1"/>
  <c r="BC66" i="1"/>
  <c r="BB66" i="1"/>
  <c r="AX66" i="1"/>
  <c r="AW66" i="1"/>
  <c r="AV66" i="1"/>
  <c r="AS66" i="1"/>
  <c r="AR66" i="1"/>
  <c r="AQ66" i="1"/>
  <c r="AP66" i="1"/>
  <c r="AO66" i="1"/>
  <c r="AN66" i="1"/>
  <c r="AM66" i="1"/>
  <c r="AL66" i="1"/>
  <c r="AH66" i="1"/>
  <c r="AG66" i="1"/>
  <c r="AF66" i="1"/>
  <c r="AE66" i="1"/>
  <c r="AD66" i="1"/>
  <c r="AC66" i="1"/>
  <c r="AA66" i="1"/>
  <c r="Z66" i="1"/>
  <c r="Y66" i="1"/>
  <c r="X66" i="1"/>
  <c r="W66" i="1"/>
  <c r="T66" i="1"/>
  <c r="S66" i="1"/>
  <c r="R66" i="1"/>
  <c r="Q66" i="1"/>
  <c r="P66" i="1"/>
  <c r="O66" i="1"/>
  <c r="K66" i="1"/>
  <c r="J66" i="1"/>
  <c r="I66" i="1"/>
  <c r="H66" i="1"/>
  <c r="G66" i="1"/>
  <c r="F66" i="1"/>
  <c r="E66" i="1"/>
  <c r="BU65" i="1"/>
  <c r="BT65" i="1"/>
  <c r="BS65" i="1"/>
  <c r="BR65" i="1"/>
  <c r="BQ65" i="1"/>
  <c r="BP65" i="1"/>
  <c r="BO65" i="1"/>
  <c r="BJ65" i="1"/>
  <c r="BI65" i="1"/>
  <c r="BH65" i="1"/>
  <c r="BG65" i="1"/>
  <c r="BF65" i="1"/>
  <c r="BE65" i="1"/>
  <c r="BD65" i="1"/>
  <c r="BC65" i="1"/>
  <c r="BB65" i="1"/>
  <c r="AX65" i="1"/>
  <c r="AW65" i="1"/>
  <c r="AV65" i="1"/>
  <c r="AS65" i="1"/>
  <c r="AR65" i="1"/>
  <c r="AQ65" i="1"/>
  <c r="AP65" i="1"/>
  <c r="AO65" i="1"/>
  <c r="AN65" i="1"/>
  <c r="AM65" i="1"/>
  <c r="AL65" i="1"/>
  <c r="AH65" i="1"/>
  <c r="AG65" i="1"/>
  <c r="AF65" i="1"/>
  <c r="AE65" i="1"/>
  <c r="AD65" i="1"/>
  <c r="AC65" i="1"/>
  <c r="AA65" i="1"/>
  <c r="Z65" i="1"/>
  <c r="Y65" i="1"/>
  <c r="X65" i="1"/>
  <c r="W65" i="1"/>
  <c r="T65" i="1"/>
  <c r="S65" i="1"/>
  <c r="R65" i="1"/>
  <c r="Q65" i="1"/>
  <c r="P65" i="1"/>
  <c r="O65" i="1"/>
  <c r="K65" i="1"/>
  <c r="J65" i="1"/>
  <c r="I65" i="1"/>
  <c r="H65" i="1"/>
  <c r="G65" i="1"/>
  <c r="F65" i="1"/>
  <c r="E65" i="1"/>
  <c r="BU64" i="1"/>
  <c r="BT64" i="1"/>
  <c r="BS64" i="1"/>
  <c r="BR64" i="1"/>
  <c r="BQ64" i="1"/>
  <c r="BP64" i="1"/>
  <c r="BO64" i="1"/>
  <c r="BJ64" i="1"/>
  <c r="BI64" i="1"/>
  <c r="BH64" i="1"/>
  <c r="BG64" i="1"/>
  <c r="BF64" i="1"/>
  <c r="BE64" i="1"/>
  <c r="BD64" i="1"/>
  <c r="BC64" i="1"/>
  <c r="BB64" i="1"/>
  <c r="AX64" i="1"/>
  <c r="AW64" i="1"/>
  <c r="AV64" i="1"/>
  <c r="AS64" i="1"/>
  <c r="AR64" i="1"/>
  <c r="AQ64" i="1"/>
  <c r="AP64" i="1"/>
  <c r="AO64" i="1"/>
  <c r="AN64" i="1"/>
  <c r="AM64" i="1"/>
  <c r="AL64" i="1"/>
  <c r="AH64" i="1"/>
  <c r="AG64" i="1"/>
  <c r="AF64" i="1"/>
  <c r="AE64" i="1"/>
  <c r="AD64" i="1"/>
  <c r="AC64" i="1"/>
  <c r="AA64" i="1"/>
  <c r="Z64" i="1"/>
  <c r="Y64" i="1"/>
  <c r="X64" i="1"/>
  <c r="W64" i="1"/>
  <c r="T64" i="1"/>
  <c r="S64" i="1"/>
  <c r="R64" i="1"/>
  <c r="Q64" i="1"/>
  <c r="P64" i="1"/>
  <c r="O64" i="1"/>
  <c r="K64" i="1"/>
  <c r="J64" i="1"/>
  <c r="I64" i="1"/>
  <c r="H64" i="1"/>
  <c r="G64" i="1"/>
  <c r="F64" i="1"/>
  <c r="E64" i="1"/>
  <c r="BU63" i="1"/>
  <c r="BT63" i="1"/>
  <c r="BS63" i="1"/>
  <c r="BR63" i="1"/>
  <c r="BQ63" i="1"/>
  <c r="BP63" i="1"/>
  <c r="BO63" i="1"/>
  <c r="BJ63" i="1"/>
  <c r="BI63" i="1"/>
  <c r="BH63" i="1"/>
  <c r="BG63" i="1"/>
  <c r="BF63" i="1"/>
  <c r="BE63" i="1"/>
  <c r="BD63" i="1"/>
  <c r="BC63" i="1"/>
  <c r="BB63" i="1"/>
  <c r="AX63" i="1"/>
  <c r="AW63" i="1"/>
  <c r="AV63" i="1"/>
  <c r="AS63" i="1"/>
  <c r="AR63" i="1"/>
  <c r="AQ63" i="1"/>
  <c r="AP63" i="1"/>
  <c r="AO63" i="1"/>
  <c r="AN63" i="1"/>
  <c r="AM63" i="1"/>
  <c r="AL63" i="1"/>
  <c r="AH63" i="1"/>
  <c r="AG63" i="1"/>
  <c r="AF63" i="1"/>
  <c r="AE63" i="1"/>
  <c r="AD63" i="1"/>
  <c r="AC63" i="1"/>
  <c r="AA63" i="1"/>
  <c r="Z63" i="1"/>
  <c r="Y63" i="1"/>
  <c r="X63" i="1"/>
  <c r="W63" i="1"/>
  <c r="T63" i="1"/>
  <c r="S63" i="1"/>
  <c r="R63" i="1"/>
  <c r="Q63" i="1"/>
  <c r="P63" i="1"/>
  <c r="O63" i="1"/>
  <c r="K63" i="1"/>
  <c r="J63" i="1"/>
  <c r="I63" i="1"/>
  <c r="H63" i="1"/>
  <c r="G63" i="1"/>
  <c r="F63" i="1"/>
  <c r="E63" i="1"/>
  <c r="BU62" i="1"/>
  <c r="BT62" i="1"/>
  <c r="BS62" i="1"/>
  <c r="BR62" i="1"/>
  <c r="BQ62" i="1"/>
  <c r="BP62" i="1"/>
  <c r="BO62" i="1"/>
  <c r="BJ62" i="1"/>
  <c r="BI62" i="1"/>
  <c r="BH62" i="1"/>
  <c r="BG62" i="1"/>
  <c r="BF62" i="1"/>
  <c r="BE62" i="1"/>
  <c r="BD62" i="1"/>
  <c r="BC62" i="1"/>
  <c r="BB62" i="1"/>
  <c r="AX62" i="1"/>
  <c r="AW62" i="1"/>
  <c r="AV62" i="1"/>
  <c r="AS62" i="1"/>
  <c r="AR62" i="1"/>
  <c r="AQ62" i="1"/>
  <c r="AP62" i="1"/>
  <c r="AO62" i="1"/>
  <c r="AN62" i="1"/>
  <c r="AM62" i="1"/>
  <c r="AL62" i="1"/>
  <c r="AH62" i="1"/>
  <c r="AG62" i="1"/>
  <c r="AF62" i="1"/>
  <c r="AE62" i="1"/>
  <c r="AD62" i="1"/>
  <c r="AC62" i="1"/>
  <c r="AA62" i="1"/>
  <c r="Z62" i="1"/>
  <c r="Y62" i="1"/>
  <c r="X62" i="1"/>
  <c r="W62" i="1"/>
  <c r="T62" i="1"/>
  <c r="S62" i="1"/>
  <c r="R62" i="1"/>
  <c r="Q62" i="1"/>
  <c r="P62" i="1"/>
  <c r="O62" i="1"/>
  <c r="K62" i="1"/>
  <c r="J62" i="1"/>
  <c r="I62" i="1"/>
  <c r="H62" i="1"/>
  <c r="G62" i="1"/>
  <c r="F62" i="1"/>
  <c r="E62" i="1"/>
  <c r="BU61" i="1"/>
  <c r="BT61" i="1"/>
  <c r="BS61" i="1"/>
  <c r="BR61" i="1"/>
  <c r="BQ61" i="1"/>
  <c r="BP61" i="1"/>
  <c r="BO61" i="1"/>
  <c r="BJ61" i="1"/>
  <c r="BI61" i="1"/>
  <c r="BH61" i="1"/>
  <c r="BG61" i="1"/>
  <c r="BF61" i="1"/>
  <c r="BE61" i="1"/>
  <c r="BD61" i="1"/>
  <c r="BC61" i="1"/>
  <c r="BB61" i="1"/>
  <c r="AX61" i="1"/>
  <c r="AW61" i="1"/>
  <c r="AV61" i="1"/>
  <c r="AS61" i="1"/>
  <c r="AR61" i="1"/>
  <c r="AQ61" i="1"/>
  <c r="AP61" i="1"/>
  <c r="AO61" i="1"/>
  <c r="AN61" i="1"/>
  <c r="AM61" i="1"/>
  <c r="AL61" i="1"/>
  <c r="AH61" i="1"/>
  <c r="AG61" i="1"/>
  <c r="AF61" i="1"/>
  <c r="AE61" i="1"/>
  <c r="AD61" i="1"/>
  <c r="AC61" i="1"/>
  <c r="AA61" i="1"/>
  <c r="Z61" i="1"/>
  <c r="Y61" i="1"/>
  <c r="X61" i="1"/>
  <c r="W61" i="1"/>
  <c r="T61" i="1"/>
  <c r="S61" i="1"/>
  <c r="R61" i="1"/>
  <c r="Q61" i="1"/>
  <c r="P61" i="1"/>
  <c r="O61" i="1"/>
  <c r="K61" i="1"/>
  <c r="J61" i="1"/>
  <c r="I61" i="1"/>
  <c r="H61" i="1"/>
  <c r="G61" i="1"/>
  <c r="F61" i="1"/>
  <c r="E61" i="1"/>
  <c r="BU60" i="1"/>
  <c r="BT60" i="1"/>
  <c r="BS60" i="1"/>
  <c r="BR60" i="1"/>
  <c r="BQ60" i="1"/>
  <c r="BP60" i="1"/>
  <c r="BO60" i="1"/>
  <c r="BJ60" i="1"/>
  <c r="BI60" i="1"/>
  <c r="BH60" i="1"/>
  <c r="BG60" i="1"/>
  <c r="BF60" i="1"/>
  <c r="BE60" i="1"/>
  <c r="BD60" i="1"/>
  <c r="BC60" i="1"/>
  <c r="BB60" i="1"/>
  <c r="AX60" i="1"/>
  <c r="AW60" i="1"/>
  <c r="AV60" i="1"/>
  <c r="AS60" i="1"/>
  <c r="AR60" i="1"/>
  <c r="AQ60" i="1"/>
  <c r="AP60" i="1"/>
  <c r="AO60" i="1"/>
  <c r="AN60" i="1"/>
  <c r="AM60" i="1"/>
  <c r="AL60" i="1"/>
  <c r="AH60" i="1"/>
  <c r="AG60" i="1"/>
  <c r="AF60" i="1"/>
  <c r="AE60" i="1"/>
  <c r="AD60" i="1"/>
  <c r="AC60" i="1"/>
  <c r="AA60" i="1"/>
  <c r="Z60" i="1"/>
  <c r="Y60" i="1"/>
  <c r="X60" i="1"/>
  <c r="W60" i="1"/>
  <c r="T60" i="1"/>
  <c r="S60" i="1"/>
  <c r="R60" i="1"/>
  <c r="Q60" i="1"/>
  <c r="P60" i="1"/>
  <c r="O60" i="1"/>
  <c r="K60" i="1"/>
  <c r="J60" i="1"/>
  <c r="I60" i="1"/>
  <c r="H60" i="1"/>
  <c r="G60" i="1"/>
  <c r="F60" i="1"/>
  <c r="E60" i="1"/>
  <c r="BU59" i="1"/>
  <c r="BT59" i="1"/>
  <c r="BS59" i="1"/>
  <c r="BR59" i="1"/>
  <c r="BQ59" i="1"/>
  <c r="BP59" i="1"/>
  <c r="BO59" i="1"/>
  <c r="BJ59" i="1"/>
  <c r="BI59" i="1"/>
  <c r="BH59" i="1"/>
  <c r="BG59" i="1"/>
  <c r="BF59" i="1"/>
  <c r="BE59" i="1"/>
  <c r="BD59" i="1"/>
  <c r="BC59" i="1"/>
  <c r="BB59" i="1"/>
  <c r="AX59" i="1"/>
  <c r="AW59" i="1"/>
  <c r="AV59" i="1"/>
  <c r="AS59" i="1"/>
  <c r="AR59" i="1"/>
  <c r="AQ59" i="1"/>
  <c r="AP59" i="1"/>
  <c r="AO59" i="1"/>
  <c r="AN59" i="1"/>
  <c r="AM59" i="1"/>
  <c r="AL59" i="1"/>
  <c r="AH59" i="1"/>
  <c r="AG59" i="1"/>
  <c r="AF59" i="1"/>
  <c r="AE59" i="1"/>
  <c r="AD59" i="1"/>
  <c r="AC59" i="1"/>
  <c r="AA59" i="1"/>
  <c r="Z59" i="1"/>
  <c r="Y59" i="1"/>
  <c r="X59" i="1"/>
  <c r="W59" i="1"/>
  <c r="T59" i="1"/>
  <c r="S59" i="1"/>
  <c r="R59" i="1"/>
  <c r="Q59" i="1"/>
  <c r="P59" i="1"/>
  <c r="O59" i="1"/>
  <c r="K59" i="1"/>
  <c r="J59" i="1"/>
  <c r="I59" i="1"/>
  <c r="H59" i="1"/>
  <c r="G59" i="1"/>
  <c r="F59" i="1"/>
  <c r="E59" i="1"/>
  <c r="BU58" i="1"/>
  <c r="BT58" i="1"/>
  <c r="BS58" i="1"/>
  <c r="BR58" i="1"/>
  <c r="BQ58" i="1"/>
  <c r="BP58" i="1"/>
  <c r="BO58" i="1"/>
  <c r="BJ58" i="1"/>
  <c r="BI58" i="1"/>
  <c r="BH58" i="1"/>
  <c r="BG58" i="1"/>
  <c r="BF58" i="1"/>
  <c r="BE58" i="1"/>
  <c r="BD58" i="1"/>
  <c r="BC58" i="1"/>
  <c r="BB58" i="1"/>
  <c r="AX58" i="1"/>
  <c r="AW58" i="1"/>
  <c r="AV58" i="1"/>
  <c r="AS58" i="1"/>
  <c r="AR58" i="1"/>
  <c r="AQ58" i="1"/>
  <c r="AP58" i="1"/>
  <c r="AO58" i="1"/>
  <c r="AN58" i="1"/>
  <c r="AM58" i="1"/>
  <c r="AL58" i="1"/>
  <c r="AH58" i="1"/>
  <c r="AG58" i="1"/>
  <c r="AF58" i="1"/>
  <c r="AE58" i="1"/>
  <c r="AD58" i="1"/>
  <c r="AC58" i="1"/>
  <c r="AA58" i="1"/>
  <c r="Z58" i="1"/>
  <c r="Y58" i="1"/>
  <c r="X58" i="1"/>
  <c r="W58" i="1"/>
  <c r="T58" i="1"/>
  <c r="S58" i="1"/>
  <c r="R58" i="1"/>
  <c r="Q58" i="1"/>
  <c r="P58" i="1"/>
  <c r="O58" i="1"/>
  <c r="K58" i="1"/>
  <c r="J58" i="1"/>
  <c r="I58" i="1"/>
  <c r="H58" i="1"/>
  <c r="G58" i="1"/>
  <c r="F58" i="1"/>
  <c r="E58" i="1"/>
  <c r="BU57" i="1"/>
  <c r="BT57" i="1"/>
  <c r="BS57" i="1"/>
  <c r="BR57" i="1"/>
  <c r="BQ57" i="1"/>
  <c r="BP57" i="1"/>
  <c r="BO57" i="1"/>
  <c r="BJ57" i="1"/>
  <c r="BI57" i="1"/>
  <c r="BH57" i="1"/>
  <c r="BG57" i="1"/>
  <c r="BF57" i="1"/>
  <c r="BE57" i="1"/>
  <c r="BD57" i="1"/>
  <c r="BC57" i="1"/>
  <c r="BB57" i="1"/>
  <c r="AX57" i="1"/>
  <c r="AW57" i="1"/>
  <c r="AV57" i="1"/>
  <c r="AS57" i="1"/>
  <c r="AR57" i="1"/>
  <c r="AQ57" i="1"/>
  <c r="AP57" i="1"/>
  <c r="AO57" i="1"/>
  <c r="AN57" i="1"/>
  <c r="AM57" i="1"/>
  <c r="AL57" i="1"/>
  <c r="AH57" i="1"/>
  <c r="AG57" i="1"/>
  <c r="AF57" i="1"/>
  <c r="AE57" i="1"/>
  <c r="AD57" i="1"/>
  <c r="AC57" i="1"/>
  <c r="AA57" i="1"/>
  <c r="Z57" i="1"/>
  <c r="Y57" i="1"/>
  <c r="X57" i="1"/>
  <c r="W57" i="1"/>
  <c r="T57" i="1"/>
  <c r="S57" i="1"/>
  <c r="R57" i="1"/>
  <c r="Q57" i="1"/>
  <c r="P57" i="1"/>
  <c r="O57" i="1"/>
  <c r="K57" i="1"/>
  <c r="J57" i="1"/>
  <c r="I57" i="1"/>
  <c r="H57" i="1"/>
  <c r="G57" i="1"/>
  <c r="F57" i="1"/>
  <c r="E57" i="1"/>
  <c r="BU56" i="1"/>
  <c r="BT56" i="1"/>
  <c r="BS56" i="1"/>
  <c r="BR56" i="1"/>
  <c r="BQ56" i="1"/>
  <c r="BP56" i="1"/>
  <c r="BO56" i="1"/>
  <c r="BJ56" i="1"/>
  <c r="BI56" i="1"/>
  <c r="BH56" i="1"/>
  <c r="BG56" i="1"/>
  <c r="BF56" i="1"/>
  <c r="BE56" i="1"/>
  <c r="BD56" i="1"/>
  <c r="BC56" i="1"/>
  <c r="BB56" i="1"/>
  <c r="AX56" i="1"/>
  <c r="AW56" i="1"/>
  <c r="AV56" i="1"/>
  <c r="AS56" i="1"/>
  <c r="AR56" i="1"/>
  <c r="AQ56" i="1"/>
  <c r="AP56" i="1"/>
  <c r="AO56" i="1"/>
  <c r="AN56" i="1"/>
  <c r="AM56" i="1"/>
  <c r="AL56" i="1"/>
  <c r="AH56" i="1"/>
  <c r="AG56" i="1"/>
  <c r="AF56" i="1"/>
  <c r="AE56" i="1"/>
  <c r="AD56" i="1"/>
  <c r="AC56" i="1"/>
  <c r="AA56" i="1"/>
  <c r="Z56" i="1"/>
  <c r="Y56" i="1"/>
  <c r="X56" i="1"/>
  <c r="W56" i="1"/>
  <c r="T56" i="1"/>
  <c r="S56" i="1"/>
  <c r="R56" i="1"/>
  <c r="Q56" i="1"/>
  <c r="P56" i="1"/>
  <c r="O56" i="1"/>
  <c r="K56" i="1"/>
  <c r="J56" i="1"/>
  <c r="I56" i="1"/>
  <c r="H56" i="1"/>
  <c r="G56" i="1"/>
  <c r="F56" i="1"/>
  <c r="E56" i="1"/>
  <c r="BU55" i="1"/>
  <c r="BT55" i="1"/>
  <c r="BS55" i="1"/>
  <c r="BR55" i="1"/>
  <c r="BQ55" i="1"/>
  <c r="BP55" i="1"/>
  <c r="BO55" i="1"/>
  <c r="BJ55" i="1"/>
  <c r="BI55" i="1"/>
  <c r="BH55" i="1"/>
  <c r="BG55" i="1"/>
  <c r="BF55" i="1"/>
  <c r="BE55" i="1"/>
  <c r="BD55" i="1"/>
  <c r="BC55" i="1"/>
  <c r="BB55" i="1"/>
  <c r="AX55" i="1"/>
  <c r="AW55" i="1"/>
  <c r="AV55" i="1"/>
  <c r="AS55" i="1"/>
  <c r="AR55" i="1"/>
  <c r="AQ55" i="1"/>
  <c r="AP55" i="1"/>
  <c r="AO55" i="1"/>
  <c r="AN55" i="1"/>
  <c r="AM55" i="1"/>
  <c r="AL55" i="1"/>
  <c r="AH55" i="1"/>
  <c r="AG55" i="1"/>
  <c r="AF55" i="1"/>
  <c r="AE55" i="1"/>
  <c r="AD55" i="1"/>
  <c r="AC55" i="1"/>
  <c r="AA55" i="1"/>
  <c r="Z55" i="1"/>
  <c r="Y55" i="1"/>
  <c r="X55" i="1"/>
  <c r="W55" i="1"/>
  <c r="T55" i="1"/>
  <c r="S55" i="1"/>
  <c r="R55" i="1"/>
  <c r="Q55" i="1"/>
  <c r="P55" i="1"/>
  <c r="O55" i="1"/>
  <c r="K55" i="1"/>
  <c r="J55" i="1"/>
  <c r="I55" i="1"/>
  <c r="H55" i="1"/>
  <c r="G55" i="1"/>
  <c r="F55" i="1"/>
  <c r="E55" i="1"/>
  <c r="BU54" i="1"/>
  <c r="BT54" i="1"/>
  <c r="BS54" i="1"/>
  <c r="BR54" i="1"/>
  <c r="BQ54" i="1"/>
  <c r="BP54" i="1"/>
  <c r="BO54" i="1"/>
  <c r="BJ54" i="1"/>
  <c r="BI54" i="1"/>
  <c r="BH54" i="1"/>
  <c r="BG54" i="1"/>
  <c r="BF54" i="1"/>
  <c r="BE54" i="1"/>
  <c r="BD54" i="1"/>
  <c r="BC54" i="1"/>
  <c r="BB54" i="1"/>
  <c r="AX54" i="1"/>
  <c r="AW54" i="1"/>
  <c r="AV54" i="1"/>
  <c r="AS54" i="1"/>
  <c r="AR54" i="1"/>
  <c r="AQ54" i="1"/>
  <c r="AP54" i="1"/>
  <c r="AO54" i="1"/>
  <c r="AN54" i="1"/>
  <c r="AM54" i="1"/>
  <c r="AL54" i="1"/>
  <c r="AH54" i="1"/>
  <c r="AG54" i="1"/>
  <c r="AF54" i="1"/>
  <c r="AE54" i="1"/>
  <c r="AD54" i="1"/>
  <c r="AC54" i="1"/>
  <c r="AA54" i="1"/>
  <c r="Z54" i="1"/>
  <c r="Y54" i="1"/>
  <c r="X54" i="1"/>
  <c r="W54" i="1"/>
  <c r="T54" i="1"/>
  <c r="S54" i="1"/>
  <c r="R54" i="1"/>
  <c r="Q54" i="1"/>
  <c r="P54" i="1"/>
  <c r="O54" i="1"/>
  <c r="K54" i="1"/>
  <c r="J54" i="1"/>
  <c r="I54" i="1"/>
  <c r="H54" i="1"/>
  <c r="G54" i="1"/>
  <c r="F54" i="1"/>
  <c r="E54" i="1"/>
  <c r="BU53" i="1"/>
  <c r="BT53" i="1"/>
  <c r="BS53" i="1"/>
  <c r="BR53" i="1"/>
  <c r="BQ53" i="1"/>
  <c r="BP53" i="1"/>
  <c r="BO53" i="1"/>
  <c r="BJ53" i="1"/>
  <c r="BI53" i="1"/>
  <c r="BH53" i="1"/>
  <c r="BG53" i="1"/>
  <c r="BF53" i="1"/>
  <c r="BE53" i="1"/>
  <c r="BD53" i="1"/>
  <c r="BC53" i="1"/>
  <c r="BB53" i="1"/>
  <c r="AX53" i="1"/>
  <c r="AW53" i="1"/>
  <c r="AV53" i="1"/>
  <c r="AS53" i="1"/>
  <c r="AR53" i="1"/>
  <c r="AQ53" i="1"/>
  <c r="AP53" i="1"/>
  <c r="AO53" i="1"/>
  <c r="AN53" i="1"/>
  <c r="AM53" i="1"/>
  <c r="AL53" i="1"/>
  <c r="AH53" i="1"/>
  <c r="AG53" i="1"/>
  <c r="AF53" i="1"/>
  <c r="AE53" i="1"/>
  <c r="AD53" i="1"/>
  <c r="AC53" i="1"/>
  <c r="AA53" i="1"/>
  <c r="Z53" i="1"/>
  <c r="Y53" i="1"/>
  <c r="X53" i="1"/>
  <c r="W53" i="1"/>
  <c r="T53" i="1"/>
  <c r="S53" i="1"/>
  <c r="R53" i="1"/>
  <c r="Q53" i="1"/>
  <c r="P53" i="1"/>
  <c r="O53" i="1"/>
  <c r="K53" i="1"/>
  <c r="J53" i="1"/>
  <c r="I53" i="1"/>
  <c r="H53" i="1"/>
  <c r="G53" i="1"/>
  <c r="F53" i="1"/>
  <c r="E53" i="1"/>
  <c r="BU52" i="1"/>
  <c r="BT52" i="1"/>
  <c r="BS52" i="1"/>
  <c r="BR52" i="1"/>
  <c r="BQ52" i="1"/>
  <c r="BP52" i="1"/>
  <c r="BO52" i="1"/>
  <c r="BJ52" i="1"/>
  <c r="BI52" i="1"/>
  <c r="BH52" i="1"/>
  <c r="BG52" i="1"/>
  <c r="BF52" i="1"/>
  <c r="BE52" i="1"/>
  <c r="BD52" i="1"/>
  <c r="BC52" i="1"/>
  <c r="BB52" i="1"/>
  <c r="AX52" i="1"/>
  <c r="AW52" i="1"/>
  <c r="AV52" i="1"/>
  <c r="AS52" i="1"/>
  <c r="AR52" i="1"/>
  <c r="AQ52" i="1"/>
  <c r="AP52" i="1"/>
  <c r="AO52" i="1"/>
  <c r="AN52" i="1"/>
  <c r="AM52" i="1"/>
  <c r="AL52" i="1"/>
  <c r="AH52" i="1"/>
  <c r="AG52" i="1"/>
  <c r="AF52" i="1"/>
  <c r="AE52" i="1"/>
  <c r="AD52" i="1"/>
  <c r="AC52" i="1"/>
  <c r="AA52" i="1"/>
  <c r="Z52" i="1"/>
  <c r="Y52" i="1"/>
  <c r="X52" i="1"/>
  <c r="W52" i="1"/>
  <c r="T52" i="1"/>
  <c r="S52" i="1"/>
  <c r="R52" i="1"/>
  <c r="Q52" i="1"/>
  <c r="P52" i="1"/>
  <c r="O52" i="1"/>
  <c r="K52" i="1"/>
  <c r="J52" i="1"/>
  <c r="I52" i="1"/>
  <c r="H52" i="1"/>
  <c r="G52" i="1"/>
  <c r="F52" i="1"/>
  <c r="E52" i="1"/>
  <c r="BU51" i="1"/>
  <c r="BT51" i="1"/>
  <c r="BS51" i="1"/>
  <c r="BR51" i="1"/>
  <c r="BQ51" i="1"/>
  <c r="BP51" i="1"/>
  <c r="BO51" i="1"/>
  <c r="BJ51" i="1"/>
  <c r="BI51" i="1"/>
  <c r="BH51" i="1"/>
  <c r="BG51" i="1"/>
  <c r="BF51" i="1"/>
  <c r="BE51" i="1"/>
  <c r="BD51" i="1"/>
  <c r="BC51" i="1"/>
  <c r="BB51" i="1"/>
  <c r="AX51" i="1"/>
  <c r="AW51" i="1"/>
  <c r="AV51" i="1"/>
  <c r="AS51" i="1"/>
  <c r="AR51" i="1"/>
  <c r="AQ51" i="1"/>
  <c r="AP51" i="1"/>
  <c r="AO51" i="1"/>
  <c r="AN51" i="1"/>
  <c r="AM51" i="1"/>
  <c r="AL51" i="1"/>
  <c r="AH51" i="1"/>
  <c r="AG51" i="1"/>
  <c r="AF51" i="1"/>
  <c r="AE51" i="1"/>
  <c r="AD51" i="1"/>
  <c r="AC51" i="1"/>
  <c r="AA51" i="1"/>
  <c r="Z51" i="1"/>
  <c r="Y51" i="1"/>
  <c r="X51" i="1"/>
  <c r="W51" i="1"/>
  <c r="T51" i="1"/>
  <c r="S51" i="1"/>
  <c r="R51" i="1"/>
  <c r="Q51" i="1"/>
  <c r="P51" i="1"/>
  <c r="O51" i="1"/>
  <c r="K51" i="1"/>
  <c r="J51" i="1"/>
  <c r="I51" i="1"/>
  <c r="H51" i="1"/>
  <c r="G51" i="1"/>
  <c r="F51" i="1"/>
  <c r="E51" i="1"/>
  <c r="BU50" i="1"/>
  <c r="BT50" i="1"/>
  <c r="BS50" i="1"/>
  <c r="BR50" i="1"/>
  <c r="BQ50" i="1"/>
  <c r="BP50" i="1"/>
  <c r="BO50" i="1"/>
  <c r="BJ50" i="1"/>
  <c r="BI50" i="1"/>
  <c r="BH50" i="1"/>
  <c r="BG50" i="1"/>
  <c r="BF50" i="1"/>
  <c r="BE50" i="1"/>
  <c r="BD50" i="1"/>
  <c r="BC50" i="1"/>
  <c r="BB50" i="1"/>
  <c r="AX50" i="1"/>
  <c r="AW50" i="1"/>
  <c r="AV50" i="1"/>
  <c r="AS50" i="1"/>
  <c r="AR50" i="1"/>
  <c r="AQ50" i="1"/>
  <c r="AP50" i="1"/>
  <c r="AO50" i="1"/>
  <c r="AN50" i="1"/>
  <c r="AM50" i="1"/>
  <c r="AL50" i="1"/>
  <c r="AH50" i="1"/>
  <c r="AG50" i="1"/>
  <c r="AF50" i="1"/>
  <c r="AE50" i="1"/>
  <c r="AD50" i="1"/>
  <c r="AC50" i="1"/>
  <c r="AA50" i="1"/>
  <c r="Z50" i="1"/>
  <c r="Y50" i="1"/>
  <c r="X50" i="1"/>
  <c r="W50" i="1"/>
  <c r="T50" i="1"/>
  <c r="S50" i="1"/>
  <c r="R50" i="1"/>
  <c r="Q50" i="1"/>
  <c r="P50" i="1"/>
  <c r="O50" i="1"/>
  <c r="K50" i="1"/>
  <c r="J50" i="1"/>
  <c r="I50" i="1"/>
  <c r="H50" i="1"/>
  <c r="G50" i="1"/>
  <c r="F50" i="1"/>
  <c r="E50" i="1"/>
  <c r="BU49" i="1"/>
  <c r="BT49" i="1"/>
  <c r="BS49" i="1"/>
  <c r="BR49" i="1"/>
  <c r="BQ49" i="1"/>
  <c r="BP49" i="1"/>
  <c r="BO49" i="1"/>
  <c r="BJ49" i="1"/>
  <c r="BI49" i="1"/>
  <c r="BH49" i="1"/>
  <c r="BG49" i="1"/>
  <c r="BF49" i="1"/>
  <c r="BE49" i="1"/>
  <c r="BD49" i="1"/>
  <c r="BC49" i="1"/>
  <c r="BB49" i="1"/>
  <c r="AX49" i="1"/>
  <c r="AW49" i="1"/>
  <c r="AV49" i="1"/>
  <c r="AS49" i="1"/>
  <c r="AR49" i="1"/>
  <c r="AQ49" i="1"/>
  <c r="AP49" i="1"/>
  <c r="AO49" i="1"/>
  <c r="AN49" i="1"/>
  <c r="AM49" i="1"/>
  <c r="AL49" i="1"/>
  <c r="AH49" i="1"/>
  <c r="AG49" i="1"/>
  <c r="AF49" i="1"/>
  <c r="AE49" i="1"/>
  <c r="AD49" i="1"/>
  <c r="AC49" i="1"/>
  <c r="AA49" i="1"/>
  <c r="Z49" i="1"/>
  <c r="Y49" i="1"/>
  <c r="X49" i="1"/>
  <c r="W49" i="1"/>
  <c r="T49" i="1"/>
  <c r="S49" i="1"/>
  <c r="R49" i="1"/>
  <c r="Q49" i="1"/>
  <c r="P49" i="1"/>
  <c r="O49" i="1"/>
  <c r="K49" i="1"/>
  <c r="J49" i="1"/>
  <c r="I49" i="1"/>
  <c r="H49" i="1"/>
  <c r="G49" i="1"/>
  <c r="F49" i="1"/>
  <c r="E49" i="1"/>
  <c r="BU48" i="1"/>
  <c r="BT48" i="1"/>
  <c r="BS48" i="1"/>
  <c r="BR48" i="1"/>
  <c r="BQ48" i="1"/>
  <c r="BP48" i="1"/>
  <c r="BO48" i="1"/>
  <c r="BJ48" i="1"/>
  <c r="BI48" i="1"/>
  <c r="BH48" i="1"/>
  <c r="BG48" i="1"/>
  <c r="BF48" i="1"/>
  <c r="BE48" i="1"/>
  <c r="BD48" i="1"/>
  <c r="BC48" i="1"/>
  <c r="BB48" i="1"/>
  <c r="AX48" i="1"/>
  <c r="AW48" i="1"/>
  <c r="AV48" i="1"/>
  <c r="AS48" i="1"/>
  <c r="AR48" i="1"/>
  <c r="AQ48" i="1"/>
  <c r="AP48" i="1"/>
  <c r="AO48" i="1"/>
  <c r="AN48" i="1"/>
  <c r="AM48" i="1"/>
  <c r="AL48" i="1"/>
  <c r="AH48" i="1"/>
  <c r="AG48" i="1"/>
  <c r="AF48" i="1"/>
  <c r="AE48" i="1"/>
  <c r="AD48" i="1"/>
  <c r="AC48" i="1"/>
  <c r="AA48" i="1"/>
  <c r="Z48" i="1"/>
  <c r="Y48" i="1"/>
  <c r="X48" i="1"/>
  <c r="W48" i="1"/>
  <c r="T48" i="1"/>
  <c r="S48" i="1"/>
  <c r="R48" i="1"/>
  <c r="Q48" i="1"/>
  <c r="P48" i="1"/>
  <c r="O48" i="1"/>
  <c r="K48" i="1"/>
  <c r="J48" i="1"/>
  <c r="I48" i="1"/>
  <c r="H48" i="1"/>
  <c r="G48" i="1"/>
  <c r="F48" i="1"/>
  <c r="E48" i="1"/>
  <c r="BU47" i="1"/>
  <c r="BT47" i="1"/>
  <c r="BS47" i="1"/>
  <c r="BR47" i="1"/>
  <c r="BQ47" i="1"/>
  <c r="BP47" i="1"/>
  <c r="BO47" i="1"/>
  <c r="BJ47" i="1"/>
  <c r="BI47" i="1"/>
  <c r="BH47" i="1"/>
  <c r="BG47" i="1"/>
  <c r="BF47" i="1"/>
  <c r="BE47" i="1"/>
  <c r="BD47" i="1"/>
  <c r="BC47" i="1"/>
  <c r="BB47" i="1"/>
  <c r="AX47" i="1"/>
  <c r="AW47" i="1"/>
  <c r="AV47" i="1"/>
  <c r="AS47" i="1"/>
  <c r="AR47" i="1"/>
  <c r="AQ47" i="1"/>
  <c r="AP47" i="1"/>
  <c r="AO47" i="1"/>
  <c r="AN47" i="1"/>
  <c r="AM47" i="1"/>
  <c r="AL47" i="1"/>
  <c r="AH47" i="1"/>
  <c r="AG47" i="1"/>
  <c r="AF47" i="1"/>
  <c r="AE47" i="1"/>
  <c r="AD47" i="1"/>
  <c r="AC47" i="1"/>
  <c r="AA47" i="1"/>
  <c r="Z47" i="1"/>
  <c r="Y47" i="1"/>
  <c r="X47" i="1"/>
  <c r="W47" i="1"/>
  <c r="T47" i="1"/>
  <c r="S47" i="1"/>
  <c r="R47" i="1"/>
  <c r="Q47" i="1"/>
  <c r="P47" i="1"/>
  <c r="O47" i="1"/>
  <c r="K47" i="1"/>
  <c r="J47" i="1"/>
  <c r="I47" i="1"/>
  <c r="H47" i="1"/>
  <c r="G47" i="1"/>
  <c r="F47" i="1"/>
  <c r="E47" i="1"/>
  <c r="BU46" i="1"/>
  <c r="BT46" i="1"/>
  <c r="BS46" i="1"/>
  <c r="BR46" i="1"/>
  <c r="BQ46" i="1"/>
  <c r="BP46" i="1"/>
  <c r="BO46" i="1"/>
  <c r="BJ46" i="1"/>
  <c r="BI46" i="1"/>
  <c r="BH46" i="1"/>
  <c r="BG46" i="1"/>
  <c r="BF46" i="1"/>
  <c r="BE46" i="1"/>
  <c r="BD46" i="1"/>
  <c r="BC46" i="1"/>
  <c r="BB46" i="1"/>
  <c r="AX46" i="1"/>
  <c r="AW46" i="1"/>
  <c r="AV46" i="1"/>
  <c r="AS46" i="1"/>
  <c r="AR46" i="1"/>
  <c r="AQ46" i="1"/>
  <c r="AP46" i="1"/>
  <c r="AO46" i="1"/>
  <c r="AN46" i="1"/>
  <c r="AM46" i="1"/>
  <c r="AL46" i="1"/>
  <c r="AH46" i="1"/>
  <c r="AG46" i="1"/>
  <c r="AF46" i="1"/>
  <c r="AE46" i="1"/>
  <c r="AD46" i="1"/>
  <c r="AC46" i="1"/>
  <c r="AA46" i="1"/>
  <c r="Z46" i="1"/>
  <c r="Y46" i="1"/>
  <c r="X46" i="1"/>
  <c r="W46" i="1"/>
  <c r="T46" i="1"/>
  <c r="S46" i="1"/>
  <c r="R46" i="1"/>
  <c r="Q46" i="1"/>
  <c r="P46" i="1"/>
  <c r="O46" i="1"/>
  <c r="K46" i="1"/>
  <c r="J46" i="1"/>
  <c r="I46" i="1"/>
  <c r="H46" i="1"/>
  <c r="G46" i="1"/>
  <c r="F46" i="1"/>
  <c r="E46" i="1"/>
  <c r="BU45" i="1"/>
  <c r="BT45" i="1"/>
  <c r="BS45" i="1"/>
  <c r="BR45" i="1"/>
  <c r="BQ45" i="1"/>
  <c r="BP45" i="1"/>
  <c r="BO45" i="1"/>
  <c r="BJ45" i="1"/>
  <c r="BI45" i="1"/>
  <c r="BH45" i="1"/>
  <c r="BG45" i="1"/>
  <c r="BF45" i="1"/>
  <c r="BE45" i="1"/>
  <c r="BD45" i="1"/>
  <c r="BC45" i="1"/>
  <c r="BB45" i="1"/>
  <c r="AX45" i="1"/>
  <c r="AW45" i="1"/>
  <c r="AV45" i="1"/>
  <c r="AS45" i="1"/>
  <c r="AR45" i="1"/>
  <c r="AQ45" i="1"/>
  <c r="AP45" i="1"/>
  <c r="AO45" i="1"/>
  <c r="AN45" i="1"/>
  <c r="AM45" i="1"/>
  <c r="AL45" i="1"/>
  <c r="AH45" i="1"/>
  <c r="AG45" i="1"/>
  <c r="AF45" i="1"/>
  <c r="AE45" i="1"/>
  <c r="AD45" i="1"/>
  <c r="AC45" i="1"/>
  <c r="AA45" i="1"/>
  <c r="Z45" i="1"/>
  <c r="Y45" i="1"/>
  <c r="X45" i="1"/>
  <c r="W45" i="1"/>
  <c r="T45" i="1"/>
  <c r="S45" i="1"/>
  <c r="R45" i="1"/>
  <c r="Q45" i="1"/>
  <c r="P45" i="1"/>
  <c r="O45" i="1"/>
  <c r="K45" i="1"/>
  <c r="J45" i="1"/>
  <c r="I45" i="1"/>
  <c r="H45" i="1"/>
  <c r="G45" i="1"/>
  <c r="F45" i="1"/>
  <c r="E45" i="1"/>
  <c r="BU44" i="1"/>
  <c r="BT44" i="1"/>
  <c r="BS44" i="1"/>
  <c r="BR44" i="1"/>
  <c r="BQ44" i="1"/>
  <c r="BP44" i="1"/>
  <c r="BO44" i="1"/>
  <c r="BJ44" i="1"/>
  <c r="BI44" i="1"/>
  <c r="BH44" i="1"/>
  <c r="BG44" i="1"/>
  <c r="BF44" i="1"/>
  <c r="BE44" i="1"/>
  <c r="BD44" i="1"/>
  <c r="BC44" i="1"/>
  <c r="BB44" i="1"/>
  <c r="AX44" i="1"/>
  <c r="AW44" i="1"/>
  <c r="AV44" i="1"/>
  <c r="AS44" i="1"/>
  <c r="AR44" i="1"/>
  <c r="AQ44" i="1"/>
  <c r="AP44" i="1"/>
  <c r="AO44" i="1"/>
  <c r="AN44" i="1"/>
  <c r="AM44" i="1"/>
  <c r="AL44" i="1"/>
  <c r="AH44" i="1"/>
  <c r="AG44" i="1"/>
  <c r="AF44" i="1"/>
  <c r="AE44" i="1"/>
  <c r="AD44" i="1"/>
  <c r="AC44" i="1"/>
  <c r="AA44" i="1"/>
  <c r="Z44" i="1"/>
  <c r="Y44" i="1"/>
  <c r="X44" i="1"/>
  <c r="W44" i="1"/>
  <c r="T44" i="1"/>
  <c r="S44" i="1"/>
  <c r="R44" i="1"/>
  <c r="Q44" i="1"/>
  <c r="P44" i="1"/>
  <c r="O44" i="1"/>
  <c r="K44" i="1"/>
  <c r="J44" i="1"/>
  <c r="I44" i="1"/>
  <c r="H44" i="1"/>
  <c r="G44" i="1"/>
  <c r="F44" i="1"/>
  <c r="E44" i="1"/>
  <c r="BU43" i="1"/>
  <c r="BT43" i="1"/>
  <c r="BS43" i="1"/>
  <c r="BR43" i="1"/>
  <c r="BQ43" i="1"/>
  <c r="BP43" i="1"/>
  <c r="BO43" i="1"/>
  <c r="BJ43" i="1"/>
  <c r="BI43" i="1"/>
  <c r="BH43" i="1"/>
  <c r="BG43" i="1"/>
  <c r="BF43" i="1"/>
  <c r="BE43" i="1"/>
  <c r="BD43" i="1"/>
  <c r="BC43" i="1"/>
  <c r="BB43" i="1"/>
  <c r="AX43" i="1"/>
  <c r="AW43" i="1"/>
  <c r="AV43" i="1"/>
  <c r="AS43" i="1"/>
  <c r="AR43" i="1"/>
  <c r="AQ43" i="1"/>
  <c r="AP43" i="1"/>
  <c r="AO43" i="1"/>
  <c r="AN43" i="1"/>
  <c r="AM43" i="1"/>
  <c r="AL43" i="1"/>
  <c r="AH43" i="1"/>
  <c r="AG43" i="1"/>
  <c r="AF43" i="1"/>
  <c r="AE43" i="1"/>
  <c r="AD43" i="1"/>
  <c r="AC43" i="1"/>
  <c r="AA43" i="1"/>
  <c r="Z43" i="1"/>
  <c r="Y43" i="1"/>
  <c r="X43" i="1"/>
  <c r="W43" i="1"/>
  <c r="T43" i="1"/>
  <c r="S43" i="1"/>
  <c r="R43" i="1"/>
  <c r="Q43" i="1"/>
  <c r="P43" i="1"/>
  <c r="O43" i="1"/>
  <c r="K43" i="1"/>
  <c r="J43" i="1"/>
  <c r="I43" i="1"/>
  <c r="H43" i="1"/>
  <c r="G43" i="1"/>
  <c r="F43" i="1"/>
  <c r="E43" i="1"/>
  <c r="BU42" i="1"/>
  <c r="BT42" i="1"/>
  <c r="BS42" i="1"/>
  <c r="BR42" i="1"/>
  <c r="BQ42" i="1"/>
  <c r="BP42" i="1"/>
  <c r="BO42" i="1"/>
  <c r="BJ42" i="1"/>
  <c r="BI42" i="1"/>
  <c r="BH42" i="1"/>
  <c r="BG42" i="1"/>
  <c r="BF42" i="1"/>
  <c r="BE42" i="1"/>
  <c r="BD42" i="1"/>
  <c r="BC42" i="1"/>
  <c r="BB42" i="1"/>
  <c r="AX42" i="1"/>
  <c r="AW42" i="1"/>
  <c r="AV42" i="1"/>
  <c r="AS42" i="1"/>
  <c r="AR42" i="1"/>
  <c r="AQ42" i="1"/>
  <c r="AP42" i="1"/>
  <c r="AO42" i="1"/>
  <c r="AN42" i="1"/>
  <c r="AM42" i="1"/>
  <c r="AL42" i="1"/>
  <c r="AH42" i="1"/>
  <c r="AG42" i="1"/>
  <c r="AF42" i="1"/>
  <c r="AE42" i="1"/>
  <c r="AD42" i="1"/>
  <c r="AC42" i="1"/>
  <c r="AA42" i="1"/>
  <c r="Z42" i="1"/>
  <c r="Y42" i="1"/>
  <c r="X42" i="1"/>
  <c r="W42" i="1"/>
  <c r="T42" i="1"/>
  <c r="S42" i="1"/>
  <c r="R42" i="1"/>
  <c r="Q42" i="1"/>
  <c r="P42" i="1"/>
  <c r="O42" i="1"/>
  <c r="K42" i="1"/>
  <c r="J42" i="1"/>
  <c r="I42" i="1"/>
  <c r="H42" i="1"/>
  <c r="G42" i="1"/>
  <c r="F42" i="1"/>
  <c r="E42" i="1"/>
  <c r="BU41" i="1"/>
  <c r="BT41" i="1"/>
  <c r="BS41" i="1"/>
  <c r="BR41" i="1"/>
  <c r="BQ41" i="1"/>
  <c r="BP41" i="1"/>
  <c r="BO41" i="1"/>
  <c r="BJ41" i="1"/>
  <c r="BI41" i="1"/>
  <c r="BH41" i="1"/>
  <c r="BG41" i="1"/>
  <c r="BF41" i="1"/>
  <c r="BE41" i="1"/>
  <c r="BD41" i="1"/>
  <c r="BC41" i="1"/>
  <c r="BB41" i="1"/>
  <c r="AX41" i="1"/>
  <c r="AW41" i="1"/>
  <c r="AV41" i="1"/>
  <c r="AS41" i="1"/>
  <c r="AR41" i="1"/>
  <c r="AQ41" i="1"/>
  <c r="AP41" i="1"/>
  <c r="AO41" i="1"/>
  <c r="AN41" i="1"/>
  <c r="AM41" i="1"/>
  <c r="AL41" i="1"/>
  <c r="AH41" i="1"/>
  <c r="AG41" i="1"/>
  <c r="AF41" i="1"/>
  <c r="AE41" i="1"/>
  <c r="AD41" i="1"/>
  <c r="AC41" i="1"/>
  <c r="AA41" i="1"/>
  <c r="Z41" i="1"/>
  <c r="Y41" i="1"/>
  <c r="X41" i="1"/>
  <c r="W41" i="1"/>
  <c r="T41" i="1"/>
  <c r="S41" i="1"/>
  <c r="R41" i="1"/>
  <c r="Q41" i="1"/>
  <c r="P41" i="1"/>
  <c r="O41" i="1"/>
  <c r="K41" i="1"/>
  <c r="J41" i="1"/>
  <c r="I41" i="1"/>
  <c r="H41" i="1"/>
  <c r="G41" i="1"/>
  <c r="F41" i="1"/>
  <c r="E41" i="1"/>
  <c r="BU40" i="1"/>
  <c r="BT40" i="1"/>
  <c r="BS40" i="1"/>
  <c r="BR40" i="1"/>
  <c r="BQ40" i="1"/>
  <c r="BP40" i="1"/>
  <c r="BO40" i="1"/>
  <c r="BJ40" i="1"/>
  <c r="BI40" i="1"/>
  <c r="BH40" i="1"/>
  <c r="BG40" i="1"/>
  <c r="BF40" i="1"/>
  <c r="BE40" i="1"/>
  <c r="BD40" i="1"/>
  <c r="BC40" i="1"/>
  <c r="BB40" i="1"/>
  <c r="AX40" i="1"/>
  <c r="AW40" i="1"/>
  <c r="AV40" i="1"/>
  <c r="AS40" i="1"/>
  <c r="AR40" i="1"/>
  <c r="AQ40" i="1"/>
  <c r="AP40" i="1"/>
  <c r="AO40" i="1"/>
  <c r="AN40" i="1"/>
  <c r="AM40" i="1"/>
  <c r="AL40" i="1"/>
  <c r="AH40" i="1"/>
  <c r="AG40" i="1"/>
  <c r="AF40" i="1"/>
  <c r="AE40" i="1"/>
  <c r="AD40" i="1"/>
  <c r="AC40" i="1"/>
  <c r="AA40" i="1"/>
  <c r="Z40" i="1"/>
  <c r="Y40" i="1"/>
  <c r="X40" i="1"/>
  <c r="W40" i="1"/>
  <c r="T40" i="1"/>
  <c r="S40" i="1"/>
  <c r="R40" i="1"/>
  <c r="Q40" i="1"/>
  <c r="P40" i="1"/>
  <c r="O40" i="1"/>
  <c r="K40" i="1"/>
  <c r="J40" i="1"/>
  <c r="I40" i="1"/>
  <c r="H40" i="1"/>
  <c r="G40" i="1"/>
  <c r="F40" i="1"/>
  <c r="E40" i="1"/>
  <c r="BU39" i="1"/>
  <c r="BT39" i="1"/>
  <c r="BS39" i="1"/>
  <c r="BR39" i="1"/>
  <c r="BQ39" i="1"/>
  <c r="BP39" i="1"/>
  <c r="BO39" i="1"/>
  <c r="BJ39" i="1"/>
  <c r="BI39" i="1"/>
  <c r="BH39" i="1"/>
  <c r="BG39" i="1"/>
  <c r="BF39" i="1"/>
  <c r="BE39" i="1"/>
  <c r="BD39" i="1"/>
  <c r="BC39" i="1"/>
  <c r="BB39" i="1"/>
  <c r="AX39" i="1"/>
  <c r="AW39" i="1"/>
  <c r="AV39" i="1"/>
  <c r="AS39" i="1"/>
  <c r="AR39" i="1"/>
  <c r="AQ39" i="1"/>
  <c r="AP39" i="1"/>
  <c r="AO39" i="1"/>
  <c r="AN39" i="1"/>
  <c r="AM39" i="1"/>
  <c r="AL39" i="1"/>
  <c r="AH39" i="1"/>
  <c r="AG39" i="1"/>
  <c r="AF39" i="1"/>
  <c r="AE39" i="1"/>
  <c r="AD39" i="1"/>
  <c r="AC39" i="1"/>
  <c r="AA39" i="1"/>
  <c r="Z39" i="1"/>
  <c r="Y39" i="1"/>
  <c r="X39" i="1"/>
  <c r="W39" i="1"/>
  <c r="T39" i="1"/>
  <c r="S39" i="1"/>
  <c r="R39" i="1"/>
  <c r="Q39" i="1"/>
  <c r="P39" i="1"/>
  <c r="O39" i="1"/>
  <c r="K39" i="1"/>
  <c r="J39" i="1"/>
  <c r="I39" i="1"/>
  <c r="H39" i="1"/>
  <c r="G39" i="1"/>
  <c r="F39" i="1"/>
  <c r="E39" i="1"/>
  <c r="BU38" i="1"/>
  <c r="BT38" i="1"/>
  <c r="BS38" i="1"/>
  <c r="BR38" i="1"/>
  <c r="BQ38" i="1"/>
  <c r="BP38" i="1"/>
  <c r="BO38" i="1"/>
  <c r="BJ38" i="1"/>
  <c r="BI38" i="1"/>
  <c r="BH38" i="1"/>
  <c r="BG38" i="1"/>
  <c r="BF38" i="1"/>
  <c r="BE38" i="1"/>
  <c r="BD38" i="1"/>
  <c r="BC38" i="1"/>
  <c r="BB38" i="1"/>
  <c r="AX38" i="1"/>
  <c r="AW38" i="1"/>
  <c r="AV38" i="1"/>
  <c r="AS38" i="1"/>
  <c r="AR38" i="1"/>
  <c r="AQ38" i="1"/>
  <c r="AP38" i="1"/>
  <c r="AO38" i="1"/>
  <c r="AN38" i="1"/>
  <c r="AM38" i="1"/>
  <c r="AL38" i="1"/>
  <c r="AH38" i="1"/>
  <c r="AG38" i="1"/>
  <c r="AF38" i="1"/>
  <c r="AE38" i="1"/>
  <c r="AD38" i="1"/>
  <c r="AC38" i="1"/>
  <c r="AA38" i="1"/>
  <c r="Z38" i="1"/>
  <c r="Y38" i="1"/>
  <c r="X38" i="1"/>
  <c r="W38" i="1"/>
  <c r="T38" i="1"/>
  <c r="S38" i="1"/>
  <c r="R38" i="1"/>
  <c r="Q38" i="1"/>
  <c r="P38" i="1"/>
  <c r="O38" i="1"/>
  <c r="K38" i="1"/>
  <c r="J38" i="1"/>
  <c r="I38" i="1"/>
  <c r="H38" i="1"/>
  <c r="G38" i="1"/>
  <c r="F38" i="1"/>
  <c r="E38" i="1"/>
  <c r="BU37" i="1"/>
  <c r="BT37" i="1"/>
  <c r="BS37" i="1"/>
  <c r="BR37" i="1"/>
  <c r="BQ37" i="1"/>
  <c r="BP37" i="1"/>
  <c r="BO37" i="1"/>
  <c r="BJ37" i="1"/>
  <c r="BI37" i="1"/>
  <c r="BH37" i="1"/>
  <c r="BG37" i="1"/>
  <c r="BF37" i="1"/>
  <c r="BE37" i="1"/>
  <c r="BD37" i="1"/>
  <c r="BC37" i="1"/>
  <c r="BB37" i="1"/>
  <c r="AX37" i="1"/>
  <c r="AW37" i="1"/>
  <c r="AV37" i="1"/>
  <c r="AS37" i="1"/>
  <c r="AR37" i="1"/>
  <c r="AQ37" i="1"/>
  <c r="AP37" i="1"/>
  <c r="AO37" i="1"/>
  <c r="AN37" i="1"/>
  <c r="AM37" i="1"/>
  <c r="AL37" i="1"/>
  <c r="AH37" i="1"/>
  <c r="AG37" i="1"/>
  <c r="AF37" i="1"/>
  <c r="AE37" i="1"/>
  <c r="AD37" i="1"/>
  <c r="AC37" i="1"/>
  <c r="AA37" i="1"/>
  <c r="Z37" i="1"/>
  <c r="Y37" i="1"/>
  <c r="X37" i="1"/>
  <c r="W37" i="1"/>
  <c r="T37" i="1"/>
  <c r="S37" i="1"/>
  <c r="R37" i="1"/>
  <c r="Q37" i="1"/>
  <c r="P37" i="1"/>
  <c r="O37" i="1"/>
  <c r="K37" i="1"/>
  <c r="J37" i="1"/>
  <c r="I37" i="1"/>
  <c r="H37" i="1"/>
  <c r="G37" i="1"/>
  <c r="F37" i="1"/>
  <c r="E37" i="1"/>
  <c r="BU36" i="1"/>
  <c r="BT36" i="1"/>
  <c r="BS36" i="1"/>
  <c r="BR36" i="1"/>
  <c r="BQ36" i="1"/>
  <c r="BP36" i="1"/>
  <c r="BO36" i="1"/>
  <c r="BJ36" i="1"/>
  <c r="BI36" i="1"/>
  <c r="BH36" i="1"/>
  <c r="BG36" i="1"/>
  <c r="BF36" i="1"/>
  <c r="BE36" i="1"/>
  <c r="BD36" i="1"/>
  <c r="BC36" i="1"/>
  <c r="BB36" i="1"/>
  <c r="AX36" i="1"/>
  <c r="AW36" i="1"/>
  <c r="AV36" i="1"/>
  <c r="AS36" i="1"/>
  <c r="AR36" i="1"/>
  <c r="AQ36" i="1"/>
  <c r="AP36" i="1"/>
  <c r="AO36" i="1"/>
  <c r="AN36" i="1"/>
  <c r="AM36" i="1"/>
  <c r="AL36" i="1"/>
  <c r="AH36" i="1"/>
  <c r="AG36" i="1"/>
  <c r="AF36" i="1"/>
  <c r="AE36" i="1"/>
  <c r="AD36" i="1"/>
  <c r="AC36" i="1"/>
  <c r="AA36" i="1"/>
  <c r="Z36" i="1"/>
  <c r="Y36" i="1"/>
  <c r="X36" i="1"/>
  <c r="W36" i="1"/>
  <c r="T36" i="1"/>
  <c r="S36" i="1"/>
  <c r="R36" i="1"/>
  <c r="Q36" i="1"/>
  <c r="P36" i="1"/>
  <c r="O36" i="1"/>
  <c r="K36" i="1"/>
  <c r="J36" i="1"/>
  <c r="I36" i="1"/>
  <c r="H36" i="1"/>
  <c r="G36" i="1"/>
  <c r="F36" i="1"/>
  <c r="E36" i="1"/>
  <c r="BU35" i="1"/>
  <c r="BT35" i="1"/>
  <c r="BS35" i="1"/>
  <c r="BR35" i="1"/>
  <c r="BQ35" i="1"/>
  <c r="BP35" i="1"/>
  <c r="BO35" i="1"/>
  <c r="BJ35" i="1"/>
  <c r="BI35" i="1"/>
  <c r="BH35" i="1"/>
  <c r="BG35" i="1"/>
  <c r="BF35" i="1"/>
  <c r="BE35" i="1"/>
  <c r="BD35" i="1"/>
  <c r="BC35" i="1"/>
  <c r="BB35" i="1"/>
  <c r="AX35" i="1"/>
  <c r="AW35" i="1"/>
  <c r="AV35" i="1"/>
  <c r="AS35" i="1"/>
  <c r="AR35" i="1"/>
  <c r="AQ35" i="1"/>
  <c r="AP35" i="1"/>
  <c r="AO35" i="1"/>
  <c r="AN35" i="1"/>
  <c r="AM35" i="1"/>
  <c r="AL35" i="1"/>
  <c r="AH35" i="1"/>
  <c r="AG35" i="1"/>
  <c r="AF35" i="1"/>
  <c r="AE35" i="1"/>
  <c r="AD35" i="1"/>
  <c r="AC35" i="1"/>
  <c r="AA35" i="1"/>
  <c r="Z35" i="1"/>
  <c r="Y35" i="1"/>
  <c r="X35" i="1"/>
  <c r="W35" i="1"/>
  <c r="T35" i="1"/>
  <c r="S35" i="1"/>
  <c r="R35" i="1"/>
  <c r="Q35" i="1"/>
  <c r="P35" i="1"/>
  <c r="O35" i="1"/>
  <c r="K35" i="1"/>
  <c r="J35" i="1"/>
  <c r="I35" i="1"/>
  <c r="H35" i="1"/>
  <c r="G35" i="1"/>
  <c r="F35" i="1"/>
  <c r="E35" i="1"/>
  <c r="BU34" i="1"/>
  <c r="BT34" i="1"/>
  <c r="BS34" i="1"/>
  <c r="BR34" i="1"/>
  <c r="BQ34" i="1"/>
  <c r="BP34" i="1"/>
  <c r="BO34" i="1"/>
  <c r="BJ34" i="1"/>
  <c r="BI34" i="1"/>
  <c r="BH34" i="1"/>
  <c r="BG34" i="1"/>
  <c r="BF34" i="1"/>
  <c r="BE34" i="1"/>
  <c r="BD34" i="1"/>
  <c r="BC34" i="1"/>
  <c r="BB34" i="1"/>
  <c r="AX34" i="1"/>
  <c r="AW34" i="1"/>
  <c r="AV34" i="1"/>
  <c r="AS34" i="1"/>
  <c r="AR34" i="1"/>
  <c r="AQ34" i="1"/>
  <c r="AP34" i="1"/>
  <c r="AO34" i="1"/>
  <c r="AN34" i="1"/>
  <c r="AM34" i="1"/>
  <c r="AL34" i="1"/>
  <c r="AH34" i="1"/>
  <c r="AG34" i="1"/>
  <c r="AF34" i="1"/>
  <c r="AE34" i="1"/>
  <c r="AD34" i="1"/>
  <c r="AC34" i="1"/>
  <c r="AA34" i="1"/>
  <c r="Z34" i="1"/>
  <c r="Y34" i="1"/>
  <c r="X34" i="1"/>
  <c r="W34" i="1"/>
  <c r="T34" i="1"/>
  <c r="S34" i="1"/>
  <c r="R34" i="1"/>
  <c r="Q34" i="1"/>
  <c r="P34" i="1"/>
  <c r="O34" i="1"/>
  <c r="K34" i="1"/>
  <c r="J34" i="1"/>
  <c r="I34" i="1"/>
  <c r="H34" i="1"/>
  <c r="G34" i="1"/>
  <c r="F34" i="1"/>
  <c r="E34" i="1"/>
  <c r="BU33" i="1"/>
  <c r="BT33" i="1"/>
  <c r="BS33" i="1"/>
  <c r="BR33" i="1"/>
  <c r="BQ33" i="1"/>
  <c r="BP33" i="1"/>
  <c r="BO33" i="1"/>
  <c r="BJ33" i="1"/>
  <c r="BI33" i="1"/>
  <c r="BH33" i="1"/>
  <c r="BG33" i="1"/>
  <c r="BF33" i="1"/>
  <c r="BE33" i="1"/>
  <c r="BD33" i="1"/>
  <c r="BC33" i="1"/>
  <c r="BB33" i="1"/>
  <c r="AX33" i="1"/>
  <c r="AW33" i="1"/>
  <c r="AV33" i="1"/>
  <c r="AS33" i="1"/>
  <c r="AR33" i="1"/>
  <c r="AQ33" i="1"/>
  <c r="AP33" i="1"/>
  <c r="AO33" i="1"/>
  <c r="AN33" i="1"/>
  <c r="AM33" i="1"/>
  <c r="AL33" i="1"/>
  <c r="AH33" i="1"/>
  <c r="AG33" i="1"/>
  <c r="AF33" i="1"/>
  <c r="AE33" i="1"/>
  <c r="AD33" i="1"/>
  <c r="AC33" i="1"/>
  <c r="AA33" i="1"/>
  <c r="Z33" i="1"/>
  <c r="Y33" i="1"/>
  <c r="X33" i="1"/>
  <c r="W33" i="1"/>
  <c r="T33" i="1"/>
  <c r="S33" i="1"/>
  <c r="R33" i="1"/>
  <c r="Q33" i="1"/>
  <c r="P33" i="1"/>
  <c r="O33" i="1"/>
  <c r="K33" i="1"/>
  <c r="J33" i="1"/>
  <c r="I33" i="1"/>
  <c r="H33" i="1"/>
  <c r="G33" i="1"/>
  <c r="F33" i="1"/>
  <c r="E33" i="1"/>
  <c r="BU32" i="1"/>
  <c r="BT32" i="1"/>
  <c r="BS32" i="1"/>
  <c r="BR32" i="1"/>
  <c r="BQ32" i="1"/>
  <c r="BP32" i="1"/>
  <c r="BO32" i="1"/>
  <c r="BJ32" i="1"/>
  <c r="BI32" i="1"/>
  <c r="BH32" i="1"/>
  <c r="BG32" i="1"/>
  <c r="BF32" i="1"/>
  <c r="BE32" i="1"/>
  <c r="BD32" i="1"/>
  <c r="BC32" i="1"/>
  <c r="BB32" i="1"/>
  <c r="AX32" i="1"/>
  <c r="AW32" i="1"/>
  <c r="AV32" i="1"/>
  <c r="AS32" i="1"/>
  <c r="AR32" i="1"/>
  <c r="AQ32" i="1"/>
  <c r="AP32" i="1"/>
  <c r="AO32" i="1"/>
  <c r="AN32" i="1"/>
  <c r="AM32" i="1"/>
  <c r="AL32" i="1"/>
  <c r="AH32" i="1"/>
  <c r="AG32" i="1"/>
  <c r="AF32" i="1"/>
  <c r="AE32" i="1"/>
  <c r="AD32" i="1"/>
  <c r="AC32" i="1"/>
  <c r="AA32" i="1"/>
  <c r="Z32" i="1"/>
  <c r="Y32" i="1"/>
  <c r="X32" i="1"/>
  <c r="W32" i="1"/>
  <c r="T32" i="1"/>
  <c r="S32" i="1"/>
  <c r="R32" i="1"/>
  <c r="Q32" i="1"/>
  <c r="P32" i="1"/>
  <c r="O32" i="1"/>
  <c r="K32" i="1"/>
  <c r="J32" i="1"/>
  <c r="I32" i="1"/>
  <c r="H32" i="1"/>
  <c r="G32" i="1"/>
  <c r="F32" i="1"/>
  <c r="E32" i="1"/>
  <c r="BU31" i="1"/>
  <c r="BT31" i="1"/>
  <c r="BS31" i="1"/>
  <c r="BR31" i="1"/>
  <c r="BQ31" i="1"/>
  <c r="BP31" i="1"/>
  <c r="BO31" i="1"/>
  <c r="BJ31" i="1"/>
  <c r="BI31" i="1"/>
  <c r="BH31" i="1"/>
  <c r="BG31" i="1"/>
  <c r="BF31" i="1"/>
  <c r="BE31" i="1"/>
  <c r="BD31" i="1"/>
  <c r="BC31" i="1"/>
  <c r="BB31" i="1"/>
  <c r="AX31" i="1"/>
  <c r="AW31" i="1"/>
  <c r="AV31" i="1"/>
  <c r="AS31" i="1"/>
  <c r="AR31" i="1"/>
  <c r="AQ31" i="1"/>
  <c r="AP31" i="1"/>
  <c r="AO31" i="1"/>
  <c r="AN31" i="1"/>
  <c r="AM31" i="1"/>
  <c r="AL31" i="1"/>
  <c r="AH31" i="1"/>
  <c r="AG31" i="1"/>
  <c r="AF31" i="1"/>
  <c r="AE31" i="1"/>
  <c r="AD31" i="1"/>
  <c r="AC31" i="1"/>
  <c r="AA31" i="1"/>
  <c r="Z31" i="1"/>
  <c r="Y31" i="1"/>
  <c r="X31" i="1"/>
  <c r="W31" i="1"/>
  <c r="T31" i="1"/>
  <c r="S31" i="1"/>
  <c r="R31" i="1"/>
  <c r="Q31" i="1"/>
  <c r="P31" i="1"/>
  <c r="O31" i="1"/>
  <c r="K31" i="1"/>
  <c r="J31" i="1"/>
  <c r="I31" i="1"/>
  <c r="H31" i="1"/>
  <c r="G31" i="1"/>
  <c r="F31" i="1"/>
  <c r="E31" i="1"/>
  <c r="BU30" i="1"/>
  <c r="BT30" i="1"/>
  <c r="BS30" i="1"/>
  <c r="BR30" i="1"/>
  <c r="BQ30" i="1"/>
  <c r="BP30" i="1"/>
  <c r="BO30" i="1"/>
  <c r="BJ30" i="1"/>
  <c r="BI30" i="1"/>
  <c r="BH30" i="1"/>
  <c r="BG30" i="1"/>
  <c r="BF30" i="1"/>
  <c r="BE30" i="1"/>
  <c r="BD30" i="1"/>
  <c r="BC30" i="1"/>
  <c r="BB30" i="1"/>
  <c r="AX30" i="1"/>
  <c r="AW30" i="1"/>
  <c r="AV30" i="1"/>
  <c r="AS30" i="1"/>
  <c r="AR30" i="1"/>
  <c r="AQ30" i="1"/>
  <c r="AP30" i="1"/>
  <c r="AO30" i="1"/>
  <c r="AN30" i="1"/>
  <c r="AM30" i="1"/>
  <c r="AL30" i="1"/>
  <c r="AH30" i="1"/>
  <c r="AG30" i="1"/>
  <c r="AF30" i="1"/>
  <c r="AE30" i="1"/>
  <c r="AD30" i="1"/>
  <c r="AC30" i="1"/>
  <c r="AA30" i="1"/>
  <c r="Z30" i="1"/>
  <c r="Y30" i="1"/>
  <c r="X30" i="1"/>
  <c r="W30" i="1"/>
  <c r="T30" i="1"/>
  <c r="S30" i="1"/>
  <c r="R30" i="1"/>
  <c r="Q30" i="1"/>
  <c r="P30" i="1"/>
  <c r="O30" i="1"/>
  <c r="K30" i="1"/>
  <c r="J30" i="1"/>
  <c r="I30" i="1"/>
  <c r="H30" i="1"/>
  <c r="G30" i="1"/>
  <c r="F30" i="1"/>
  <c r="E30" i="1"/>
  <c r="BU29" i="1"/>
  <c r="BT29" i="1"/>
  <c r="BS29" i="1"/>
  <c r="BR29" i="1"/>
  <c r="BQ29" i="1"/>
  <c r="BP29" i="1"/>
  <c r="BO29" i="1"/>
  <c r="BJ29" i="1"/>
  <c r="BI29" i="1"/>
  <c r="BH29" i="1"/>
  <c r="BG29" i="1"/>
  <c r="BF29" i="1"/>
  <c r="BE29" i="1"/>
  <c r="BD29" i="1"/>
  <c r="BC29" i="1"/>
  <c r="BB29" i="1"/>
  <c r="AX29" i="1"/>
  <c r="AW29" i="1"/>
  <c r="AV29" i="1"/>
  <c r="AS29" i="1"/>
  <c r="AR29" i="1"/>
  <c r="AQ29" i="1"/>
  <c r="AP29" i="1"/>
  <c r="AO29" i="1"/>
  <c r="AN29" i="1"/>
  <c r="AM29" i="1"/>
  <c r="AL29" i="1"/>
  <c r="AH29" i="1"/>
  <c r="AG29" i="1"/>
  <c r="AF29" i="1"/>
  <c r="AE29" i="1"/>
  <c r="AD29" i="1"/>
  <c r="AC29" i="1"/>
  <c r="AA29" i="1"/>
  <c r="Z29" i="1"/>
  <c r="Y29" i="1"/>
  <c r="X29" i="1"/>
  <c r="W29" i="1"/>
  <c r="T29" i="1"/>
  <c r="S29" i="1"/>
  <c r="R29" i="1"/>
  <c r="Q29" i="1"/>
  <c r="P29" i="1"/>
  <c r="O29" i="1"/>
  <c r="K29" i="1"/>
  <c r="J29" i="1"/>
  <c r="I29" i="1"/>
  <c r="H29" i="1"/>
  <c r="G29" i="1"/>
  <c r="F29" i="1"/>
  <c r="E29" i="1"/>
  <c r="BU28" i="1"/>
  <c r="BT28" i="1"/>
  <c r="BS28" i="1"/>
  <c r="BR28" i="1"/>
  <c r="BQ28" i="1"/>
  <c r="BP28" i="1"/>
  <c r="BO28" i="1"/>
  <c r="BJ28" i="1"/>
  <c r="BI28" i="1"/>
  <c r="BH28" i="1"/>
  <c r="BG28" i="1"/>
  <c r="BF28" i="1"/>
  <c r="BE28" i="1"/>
  <c r="BD28" i="1"/>
  <c r="BC28" i="1"/>
  <c r="BB28" i="1"/>
  <c r="AX28" i="1"/>
  <c r="AW28" i="1"/>
  <c r="AV28" i="1"/>
  <c r="AS28" i="1"/>
  <c r="AR28" i="1"/>
  <c r="AQ28" i="1"/>
  <c r="AP28" i="1"/>
  <c r="AO28" i="1"/>
  <c r="AN28" i="1"/>
  <c r="AM28" i="1"/>
  <c r="AL28" i="1"/>
  <c r="AH28" i="1"/>
  <c r="AG28" i="1"/>
  <c r="AF28" i="1"/>
  <c r="AE28" i="1"/>
  <c r="AD28" i="1"/>
  <c r="AC28" i="1"/>
  <c r="AA28" i="1"/>
  <c r="Z28" i="1"/>
  <c r="Y28" i="1"/>
  <c r="X28" i="1"/>
  <c r="W28" i="1"/>
  <c r="T28" i="1"/>
  <c r="S28" i="1"/>
  <c r="R28" i="1"/>
  <c r="Q28" i="1"/>
  <c r="P28" i="1"/>
  <c r="O28" i="1"/>
  <c r="K28" i="1"/>
  <c r="J28" i="1"/>
  <c r="I28" i="1"/>
  <c r="H28" i="1"/>
  <c r="G28" i="1"/>
  <c r="F28" i="1"/>
  <c r="E28" i="1"/>
  <c r="BU27" i="1"/>
  <c r="BT27" i="1"/>
  <c r="BS27" i="1"/>
  <c r="BR27" i="1"/>
  <c r="BQ27" i="1"/>
  <c r="BP27" i="1"/>
  <c r="BO27" i="1"/>
  <c r="BJ27" i="1"/>
  <c r="BI27" i="1"/>
  <c r="BH27" i="1"/>
  <c r="BG27" i="1"/>
  <c r="BF27" i="1"/>
  <c r="BE27" i="1"/>
  <c r="BD27" i="1"/>
  <c r="BC27" i="1"/>
  <c r="BB27" i="1"/>
  <c r="AX27" i="1"/>
  <c r="AW27" i="1"/>
  <c r="AV27" i="1"/>
  <c r="AS27" i="1"/>
  <c r="AR27" i="1"/>
  <c r="AQ27" i="1"/>
  <c r="AP27" i="1"/>
  <c r="AO27" i="1"/>
  <c r="AN27" i="1"/>
  <c r="AM27" i="1"/>
  <c r="AL27" i="1"/>
  <c r="AH27" i="1"/>
  <c r="AG27" i="1"/>
  <c r="AF27" i="1"/>
  <c r="AE27" i="1"/>
  <c r="AD27" i="1"/>
  <c r="AC27" i="1"/>
  <c r="AA27" i="1"/>
  <c r="Z27" i="1"/>
  <c r="Y27" i="1"/>
  <c r="X27" i="1"/>
  <c r="W27" i="1"/>
  <c r="T27" i="1"/>
  <c r="S27" i="1"/>
  <c r="R27" i="1"/>
  <c r="Q27" i="1"/>
  <c r="P27" i="1"/>
  <c r="O27" i="1"/>
  <c r="K27" i="1"/>
  <c r="J27" i="1"/>
  <c r="I27" i="1"/>
  <c r="H27" i="1"/>
  <c r="G27" i="1"/>
  <c r="F27" i="1"/>
  <c r="E27" i="1"/>
  <c r="BU26" i="1"/>
  <c r="BT26" i="1"/>
  <c r="BS26" i="1"/>
  <c r="BR26" i="1"/>
  <c r="BQ26" i="1"/>
  <c r="BP26" i="1"/>
  <c r="BO26" i="1"/>
  <c r="BJ26" i="1"/>
  <c r="BI26" i="1"/>
  <c r="BH26" i="1"/>
  <c r="BG26" i="1"/>
  <c r="BF26" i="1"/>
  <c r="BE26" i="1"/>
  <c r="BD26" i="1"/>
  <c r="BC26" i="1"/>
  <c r="BB26" i="1"/>
  <c r="AX26" i="1"/>
  <c r="AW26" i="1"/>
  <c r="AV26" i="1"/>
  <c r="AS26" i="1"/>
  <c r="AR26" i="1"/>
  <c r="AQ26" i="1"/>
  <c r="AP26" i="1"/>
  <c r="AO26" i="1"/>
  <c r="AN26" i="1"/>
  <c r="AM26" i="1"/>
  <c r="AL26" i="1"/>
  <c r="AH26" i="1"/>
  <c r="AG26" i="1"/>
  <c r="AF26" i="1"/>
  <c r="AE26" i="1"/>
  <c r="AD26" i="1"/>
  <c r="AC26" i="1"/>
  <c r="AA26" i="1"/>
  <c r="Z26" i="1"/>
  <c r="Y26" i="1"/>
  <c r="X26" i="1"/>
  <c r="W26" i="1"/>
  <c r="T26" i="1"/>
  <c r="S26" i="1"/>
  <c r="R26" i="1"/>
  <c r="Q26" i="1"/>
  <c r="P26" i="1"/>
  <c r="O26" i="1"/>
  <c r="K26" i="1"/>
  <c r="J26" i="1"/>
  <c r="I26" i="1"/>
  <c r="H26" i="1"/>
  <c r="G26" i="1"/>
  <c r="F26" i="1"/>
  <c r="E26" i="1"/>
  <c r="BU25" i="1"/>
  <c r="BT25" i="1"/>
  <c r="BS25" i="1"/>
  <c r="BR25" i="1"/>
  <c r="BQ25" i="1"/>
  <c r="BP25" i="1"/>
  <c r="BO25" i="1"/>
  <c r="BJ25" i="1"/>
  <c r="BI25" i="1"/>
  <c r="BH25" i="1"/>
  <c r="BG25" i="1"/>
  <c r="BF25" i="1"/>
  <c r="BE25" i="1"/>
  <c r="BD25" i="1"/>
  <c r="BC25" i="1"/>
  <c r="BB25" i="1"/>
  <c r="AX25" i="1"/>
  <c r="AW25" i="1"/>
  <c r="AV25" i="1"/>
  <c r="AS25" i="1"/>
  <c r="AR25" i="1"/>
  <c r="AQ25" i="1"/>
  <c r="AP25" i="1"/>
  <c r="AO25" i="1"/>
  <c r="AN25" i="1"/>
  <c r="AM25" i="1"/>
  <c r="AL25" i="1"/>
  <c r="AH25" i="1"/>
  <c r="AG25" i="1"/>
  <c r="AF25" i="1"/>
  <c r="AE25" i="1"/>
  <c r="AD25" i="1"/>
  <c r="AC25" i="1"/>
  <c r="AA25" i="1"/>
  <c r="Z25" i="1"/>
  <c r="Y25" i="1"/>
  <c r="X25" i="1"/>
  <c r="W25" i="1"/>
  <c r="T25" i="1"/>
  <c r="S25" i="1"/>
  <c r="R25" i="1"/>
  <c r="Q25" i="1"/>
  <c r="P25" i="1"/>
  <c r="O25" i="1"/>
  <c r="K25" i="1"/>
  <c r="J25" i="1"/>
  <c r="I25" i="1"/>
  <c r="H25" i="1"/>
  <c r="G25" i="1"/>
  <c r="F25" i="1"/>
  <c r="E25" i="1"/>
  <c r="BU24" i="1"/>
  <c r="BT24" i="1"/>
  <c r="BS24" i="1"/>
  <c r="BR24" i="1"/>
  <c r="BQ24" i="1"/>
  <c r="BP24" i="1"/>
  <c r="BO24" i="1"/>
  <c r="BJ24" i="1"/>
  <c r="BI24" i="1"/>
  <c r="BH24" i="1"/>
  <c r="BG24" i="1"/>
  <c r="BF24" i="1"/>
  <c r="BE24" i="1"/>
  <c r="BD24" i="1"/>
  <c r="BC24" i="1"/>
  <c r="BB24" i="1"/>
  <c r="AX24" i="1"/>
  <c r="AW24" i="1"/>
  <c r="AV24" i="1"/>
  <c r="AS24" i="1"/>
  <c r="AR24" i="1"/>
  <c r="AQ24" i="1"/>
  <c r="AP24" i="1"/>
  <c r="AO24" i="1"/>
  <c r="AN24" i="1"/>
  <c r="AM24" i="1"/>
  <c r="AL24" i="1"/>
  <c r="AH24" i="1"/>
  <c r="AG24" i="1"/>
  <c r="AF24" i="1"/>
  <c r="AE24" i="1"/>
  <c r="AD24" i="1"/>
  <c r="AC24" i="1"/>
  <c r="AA24" i="1"/>
  <c r="Z24" i="1"/>
  <c r="Y24" i="1"/>
  <c r="X24" i="1"/>
  <c r="W24" i="1"/>
  <c r="T24" i="1"/>
  <c r="S24" i="1"/>
  <c r="R24" i="1"/>
  <c r="Q24" i="1"/>
  <c r="P24" i="1"/>
  <c r="O24" i="1"/>
  <c r="K24" i="1"/>
  <c r="J24" i="1"/>
  <c r="I24" i="1"/>
  <c r="H24" i="1"/>
  <c r="G24" i="1"/>
  <c r="F24" i="1"/>
  <c r="E24" i="1"/>
  <c r="BU23" i="1"/>
  <c r="BT23" i="1"/>
  <c r="BS23" i="1"/>
  <c r="BR23" i="1"/>
  <c r="BQ23" i="1"/>
  <c r="BP23" i="1"/>
  <c r="BO23" i="1"/>
  <c r="BJ23" i="1"/>
  <c r="BI23" i="1"/>
  <c r="BH23" i="1"/>
  <c r="BG23" i="1"/>
  <c r="BF23" i="1"/>
  <c r="BE23" i="1"/>
  <c r="BD23" i="1"/>
  <c r="BC23" i="1"/>
  <c r="BB23" i="1"/>
  <c r="AX23" i="1"/>
  <c r="AW23" i="1"/>
  <c r="AV23" i="1"/>
  <c r="AS23" i="1"/>
  <c r="AR23" i="1"/>
  <c r="AQ23" i="1"/>
  <c r="AP23" i="1"/>
  <c r="AO23" i="1"/>
  <c r="AN23" i="1"/>
  <c r="AM23" i="1"/>
  <c r="AL23" i="1"/>
  <c r="AH23" i="1"/>
  <c r="AG23" i="1"/>
  <c r="AF23" i="1"/>
  <c r="AE23" i="1"/>
  <c r="AD23" i="1"/>
  <c r="AC23" i="1"/>
  <c r="AA23" i="1"/>
  <c r="Z23" i="1"/>
  <c r="Y23" i="1"/>
  <c r="X23" i="1"/>
  <c r="W23" i="1"/>
  <c r="T23" i="1"/>
  <c r="S23" i="1"/>
  <c r="R23" i="1"/>
  <c r="Q23" i="1"/>
  <c r="P23" i="1"/>
  <c r="O23" i="1"/>
  <c r="K23" i="1"/>
  <c r="J23" i="1"/>
  <c r="I23" i="1"/>
  <c r="H23" i="1"/>
  <c r="G23" i="1"/>
  <c r="F23" i="1"/>
  <c r="E23" i="1"/>
  <c r="BU22" i="1"/>
  <c r="BT22" i="1"/>
  <c r="BS22" i="1"/>
  <c r="BR22" i="1"/>
  <c r="BQ22" i="1"/>
  <c r="BP22" i="1"/>
  <c r="BO22" i="1"/>
  <c r="BJ22" i="1"/>
  <c r="BI22" i="1"/>
  <c r="BH22" i="1"/>
  <c r="BG22" i="1"/>
  <c r="BF22" i="1"/>
  <c r="BE22" i="1"/>
  <c r="BD22" i="1"/>
  <c r="BC22" i="1"/>
  <c r="BB22" i="1"/>
  <c r="AX22" i="1"/>
  <c r="AW22" i="1"/>
  <c r="AV22" i="1"/>
  <c r="AS22" i="1"/>
  <c r="AR22" i="1"/>
  <c r="AQ22" i="1"/>
  <c r="AP22" i="1"/>
  <c r="AO22" i="1"/>
  <c r="AN22" i="1"/>
  <c r="AM22" i="1"/>
  <c r="AL22" i="1"/>
  <c r="AH22" i="1"/>
  <c r="AG22" i="1"/>
  <c r="AF22" i="1"/>
  <c r="AE22" i="1"/>
  <c r="AD22" i="1"/>
  <c r="AC22" i="1"/>
  <c r="AA22" i="1"/>
  <c r="Z22" i="1"/>
  <c r="Y22" i="1"/>
  <c r="X22" i="1"/>
  <c r="W22" i="1"/>
  <c r="T22" i="1"/>
  <c r="S22" i="1"/>
  <c r="R22" i="1"/>
  <c r="Q22" i="1"/>
  <c r="P22" i="1"/>
  <c r="O22" i="1"/>
  <c r="K22" i="1"/>
  <c r="J22" i="1"/>
  <c r="I22" i="1"/>
  <c r="H22" i="1"/>
  <c r="G22" i="1"/>
  <c r="F22" i="1"/>
  <c r="E22" i="1"/>
  <c r="BU21" i="1"/>
  <c r="BT21" i="1"/>
  <c r="BS21" i="1"/>
  <c r="BR21" i="1"/>
  <c r="BQ21" i="1"/>
  <c r="BP21" i="1"/>
  <c r="BO21" i="1"/>
  <c r="BJ21" i="1"/>
  <c r="BI21" i="1"/>
  <c r="BH21" i="1"/>
  <c r="BG21" i="1"/>
  <c r="BF21" i="1"/>
  <c r="BE21" i="1"/>
  <c r="BD21" i="1"/>
  <c r="BC21" i="1"/>
  <c r="BB21" i="1"/>
  <c r="AX21" i="1"/>
  <c r="AW21" i="1"/>
  <c r="AV21" i="1"/>
  <c r="AS21" i="1"/>
  <c r="AR21" i="1"/>
  <c r="AQ21" i="1"/>
  <c r="AP21" i="1"/>
  <c r="AO21" i="1"/>
  <c r="AN21" i="1"/>
  <c r="AM21" i="1"/>
  <c r="AL21" i="1"/>
  <c r="AH21" i="1"/>
  <c r="AG21" i="1"/>
  <c r="AF21" i="1"/>
  <c r="AE21" i="1"/>
  <c r="AD21" i="1"/>
  <c r="AC21" i="1"/>
  <c r="AA21" i="1"/>
  <c r="Z21" i="1"/>
  <c r="Y21" i="1"/>
  <c r="X21" i="1"/>
  <c r="W21" i="1"/>
  <c r="T21" i="1"/>
  <c r="S21" i="1"/>
  <c r="R21" i="1"/>
  <c r="Q21" i="1"/>
  <c r="P21" i="1"/>
  <c r="O21" i="1"/>
  <c r="K21" i="1"/>
  <c r="J21" i="1"/>
  <c r="I21" i="1"/>
  <c r="H21" i="1"/>
  <c r="G21" i="1"/>
  <c r="F21" i="1"/>
  <c r="E21" i="1"/>
  <c r="BU20" i="1"/>
  <c r="BT20" i="1"/>
  <c r="BS20" i="1"/>
  <c r="BR20" i="1"/>
  <c r="BQ20" i="1"/>
  <c r="BP20" i="1"/>
  <c r="BO20" i="1"/>
  <c r="BJ20" i="1"/>
  <c r="BI20" i="1"/>
  <c r="BH20" i="1"/>
  <c r="BG20" i="1"/>
  <c r="BF20" i="1"/>
  <c r="BE20" i="1"/>
  <c r="BD20" i="1"/>
  <c r="BC20" i="1"/>
  <c r="BB20" i="1"/>
  <c r="AX20" i="1"/>
  <c r="AW20" i="1"/>
  <c r="AV20" i="1"/>
  <c r="AS20" i="1"/>
  <c r="AR20" i="1"/>
  <c r="AQ20" i="1"/>
  <c r="AP20" i="1"/>
  <c r="AO20" i="1"/>
  <c r="AN20" i="1"/>
  <c r="AM20" i="1"/>
  <c r="AL20" i="1"/>
  <c r="AH20" i="1"/>
  <c r="AG20" i="1"/>
  <c r="AF20" i="1"/>
  <c r="AE20" i="1"/>
  <c r="AD20" i="1"/>
  <c r="AC20" i="1"/>
  <c r="AA20" i="1"/>
  <c r="Z20" i="1"/>
  <c r="Y20" i="1"/>
  <c r="X20" i="1"/>
  <c r="W20" i="1"/>
  <c r="T20" i="1"/>
  <c r="S20" i="1"/>
  <c r="R20" i="1"/>
  <c r="Q20" i="1"/>
  <c r="P20" i="1"/>
  <c r="O20" i="1"/>
  <c r="K20" i="1"/>
  <c r="J20" i="1"/>
  <c r="I20" i="1"/>
  <c r="H20" i="1"/>
  <c r="G20" i="1"/>
  <c r="F20" i="1"/>
  <c r="E20" i="1"/>
  <c r="BU19" i="1"/>
  <c r="BT19" i="1"/>
  <c r="BS19" i="1"/>
  <c r="BR19" i="1"/>
  <c r="BQ19" i="1"/>
  <c r="BP19" i="1"/>
  <c r="BO19" i="1"/>
  <c r="BJ19" i="1"/>
  <c r="BI19" i="1"/>
  <c r="BH19" i="1"/>
  <c r="BG19" i="1"/>
  <c r="BF19" i="1"/>
  <c r="BE19" i="1"/>
  <c r="BD19" i="1"/>
  <c r="BC19" i="1"/>
  <c r="BB19" i="1"/>
  <c r="AX19" i="1"/>
  <c r="AW19" i="1"/>
  <c r="AV19" i="1"/>
  <c r="AS19" i="1"/>
  <c r="AR19" i="1"/>
  <c r="AQ19" i="1"/>
  <c r="AP19" i="1"/>
  <c r="AO19" i="1"/>
  <c r="AN19" i="1"/>
  <c r="AM19" i="1"/>
  <c r="AL19" i="1"/>
  <c r="AH19" i="1"/>
  <c r="AG19" i="1"/>
  <c r="AF19" i="1"/>
  <c r="AE19" i="1"/>
  <c r="AD19" i="1"/>
  <c r="AC19" i="1"/>
  <c r="AA19" i="1"/>
  <c r="Z19" i="1"/>
  <c r="Y19" i="1"/>
  <c r="X19" i="1"/>
  <c r="W19" i="1"/>
  <c r="T19" i="1"/>
  <c r="S19" i="1"/>
  <c r="R19" i="1"/>
  <c r="Q19" i="1"/>
  <c r="P19" i="1"/>
  <c r="O19" i="1"/>
  <c r="K19" i="1"/>
  <c r="J19" i="1"/>
  <c r="I19" i="1"/>
  <c r="H19" i="1"/>
  <c r="G19" i="1"/>
  <c r="F19" i="1"/>
  <c r="E19" i="1"/>
  <c r="BU18" i="1"/>
  <c r="BT18" i="1"/>
  <c r="BS18" i="1"/>
  <c r="BR18" i="1"/>
  <c r="BQ18" i="1"/>
  <c r="BP18" i="1"/>
  <c r="BO18" i="1"/>
  <c r="BJ18" i="1"/>
  <c r="BI18" i="1"/>
  <c r="BH18" i="1"/>
  <c r="BG18" i="1"/>
  <c r="BF18" i="1"/>
  <c r="BE18" i="1"/>
  <c r="BD18" i="1"/>
  <c r="BC18" i="1"/>
  <c r="BB18" i="1"/>
  <c r="AX18" i="1"/>
  <c r="AW18" i="1"/>
  <c r="AV18" i="1"/>
  <c r="AS18" i="1"/>
  <c r="AR18" i="1"/>
  <c r="AQ18" i="1"/>
  <c r="AP18" i="1"/>
  <c r="AO18" i="1"/>
  <c r="AN18" i="1"/>
  <c r="AM18" i="1"/>
  <c r="AL18" i="1"/>
  <c r="AH18" i="1"/>
  <c r="AG18" i="1"/>
  <c r="AF18" i="1"/>
  <c r="AE18" i="1"/>
  <c r="AD18" i="1"/>
  <c r="AC18" i="1"/>
  <c r="AA18" i="1"/>
  <c r="Z18" i="1"/>
  <c r="Y18" i="1"/>
  <c r="X18" i="1"/>
  <c r="W18" i="1"/>
  <c r="T18" i="1"/>
  <c r="S18" i="1"/>
  <c r="R18" i="1"/>
  <c r="Q18" i="1"/>
  <c r="P18" i="1"/>
  <c r="O18" i="1"/>
  <c r="K18" i="1"/>
  <c r="J18" i="1"/>
  <c r="I18" i="1"/>
  <c r="H18" i="1"/>
  <c r="G18" i="1"/>
  <c r="F18" i="1"/>
  <c r="E18" i="1"/>
  <c r="BU17" i="1"/>
  <c r="BT17" i="1"/>
  <c r="BS17" i="1"/>
  <c r="BR17" i="1"/>
  <c r="BQ17" i="1"/>
  <c r="BP17" i="1"/>
  <c r="BO17" i="1"/>
  <c r="BJ17" i="1"/>
  <c r="BI17" i="1"/>
  <c r="BH17" i="1"/>
  <c r="BG17" i="1"/>
  <c r="BF17" i="1"/>
  <c r="BE17" i="1"/>
  <c r="BD17" i="1"/>
  <c r="BC17" i="1"/>
  <c r="BB17" i="1"/>
  <c r="AX17" i="1"/>
  <c r="AW17" i="1"/>
  <c r="AV17" i="1"/>
  <c r="AS17" i="1"/>
  <c r="AR17" i="1"/>
  <c r="AQ17" i="1"/>
  <c r="AP17" i="1"/>
  <c r="AO17" i="1"/>
  <c r="AN17" i="1"/>
  <c r="AM17" i="1"/>
  <c r="AL17" i="1"/>
  <c r="AH17" i="1"/>
  <c r="AG17" i="1"/>
  <c r="AF17" i="1"/>
  <c r="AE17" i="1"/>
  <c r="AD17" i="1"/>
  <c r="AC17" i="1"/>
  <c r="AA17" i="1"/>
  <c r="Z17" i="1"/>
  <c r="Y17" i="1"/>
  <c r="X17" i="1"/>
  <c r="W17" i="1"/>
  <c r="T17" i="1"/>
  <c r="S17" i="1"/>
  <c r="R17" i="1"/>
  <c r="Q17" i="1"/>
  <c r="P17" i="1"/>
  <c r="O17" i="1"/>
  <c r="K17" i="1"/>
  <c r="J17" i="1"/>
  <c r="I17" i="1"/>
  <c r="H17" i="1"/>
  <c r="G17" i="1"/>
  <c r="F17" i="1"/>
  <c r="E17" i="1"/>
  <c r="BU16" i="1"/>
  <c r="BT16" i="1"/>
  <c r="BS16" i="1"/>
  <c r="BR16" i="1"/>
  <c r="BQ16" i="1"/>
  <c r="BP16" i="1"/>
  <c r="BO16" i="1"/>
  <c r="BJ16" i="1"/>
  <c r="BI16" i="1"/>
  <c r="BH16" i="1"/>
  <c r="BG16" i="1"/>
  <c r="BF16" i="1"/>
  <c r="BE16" i="1"/>
  <c r="BD16" i="1"/>
  <c r="BC16" i="1"/>
  <c r="BB16" i="1"/>
  <c r="AX16" i="1"/>
  <c r="AW16" i="1"/>
  <c r="AV16" i="1"/>
  <c r="AS16" i="1"/>
  <c r="AR16" i="1"/>
  <c r="AQ16" i="1"/>
  <c r="AP16" i="1"/>
  <c r="AO16" i="1"/>
  <c r="AN16" i="1"/>
  <c r="AM16" i="1"/>
  <c r="AL16" i="1"/>
  <c r="AH16" i="1"/>
  <c r="AG16" i="1"/>
  <c r="AF16" i="1"/>
  <c r="AE16" i="1"/>
  <c r="AD16" i="1"/>
  <c r="AC16" i="1"/>
  <c r="AA16" i="1"/>
  <c r="Z16" i="1"/>
  <c r="Y16" i="1"/>
  <c r="X16" i="1"/>
  <c r="W16" i="1"/>
  <c r="T16" i="1"/>
  <c r="S16" i="1"/>
  <c r="R16" i="1"/>
  <c r="Q16" i="1"/>
  <c r="P16" i="1"/>
  <c r="O16" i="1"/>
  <c r="K16" i="1"/>
  <c r="J16" i="1"/>
  <c r="I16" i="1"/>
  <c r="H16" i="1"/>
  <c r="G16" i="1"/>
  <c r="F16" i="1"/>
  <c r="E16" i="1"/>
  <c r="BU15" i="1"/>
  <c r="BT15" i="1"/>
  <c r="BS15" i="1"/>
  <c r="BR15" i="1"/>
  <c r="BQ15" i="1"/>
  <c r="BP15" i="1"/>
  <c r="BO15" i="1"/>
  <c r="BJ15" i="1"/>
  <c r="BI15" i="1"/>
  <c r="BH15" i="1"/>
  <c r="BG15" i="1"/>
  <c r="BF15" i="1"/>
  <c r="BE15" i="1"/>
  <c r="BD15" i="1"/>
  <c r="BC15" i="1"/>
  <c r="BB15" i="1"/>
  <c r="AX15" i="1"/>
  <c r="AW15" i="1"/>
  <c r="AV15" i="1"/>
  <c r="AS15" i="1"/>
  <c r="AR15" i="1"/>
  <c r="AQ15" i="1"/>
  <c r="AP15" i="1"/>
  <c r="AO15" i="1"/>
  <c r="AN15" i="1"/>
  <c r="AM15" i="1"/>
  <c r="AL15" i="1"/>
  <c r="AH15" i="1"/>
  <c r="AG15" i="1"/>
  <c r="AF15" i="1"/>
  <c r="AE15" i="1"/>
  <c r="AD15" i="1"/>
  <c r="AC15" i="1"/>
  <c r="AA15" i="1"/>
  <c r="Z15" i="1"/>
  <c r="Y15" i="1"/>
  <c r="X15" i="1"/>
  <c r="W15" i="1"/>
  <c r="T15" i="1"/>
  <c r="S15" i="1"/>
  <c r="R15" i="1"/>
  <c r="Q15" i="1"/>
  <c r="P15" i="1"/>
  <c r="O15" i="1"/>
  <c r="K15" i="1"/>
  <c r="J15" i="1"/>
  <c r="I15" i="1"/>
  <c r="H15" i="1"/>
  <c r="G15" i="1"/>
  <c r="F15" i="1"/>
  <c r="E15" i="1"/>
  <c r="BU14" i="1"/>
  <c r="BT14" i="1"/>
  <c r="BS14" i="1"/>
  <c r="BR14" i="1"/>
  <c r="BQ14" i="1"/>
  <c r="BP14" i="1"/>
  <c r="BO14" i="1"/>
  <c r="BJ14" i="1"/>
  <c r="BI14" i="1"/>
  <c r="BH14" i="1"/>
  <c r="BG14" i="1"/>
  <c r="BF14" i="1"/>
  <c r="BE14" i="1"/>
  <c r="BD14" i="1"/>
  <c r="BC14" i="1"/>
  <c r="BB14" i="1"/>
  <c r="AX14" i="1"/>
  <c r="AW14" i="1"/>
  <c r="AV14" i="1"/>
  <c r="AS14" i="1"/>
  <c r="AR14" i="1"/>
  <c r="AQ14" i="1"/>
  <c r="AP14" i="1"/>
  <c r="AO14" i="1"/>
  <c r="AN14" i="1"/>
  <c r="AM14" i="1"/>
  <c r="AL14" i="1"/>
  <c r="AH14" i="1"/>
  <c r="AG14" i="1"/>
  <c r="AF14" i="1"/>
  <c r="AE14" i="1"/>
  <c r="AD14" i="1"/>
  <c r="AC14" i="1"/>
  <c r="AA14" i="1"/>
  <c r="Z14" i="1"/>
  <c r="Y14" i="1"/>
  <c r="X14" i="1"/>
  <c r="W14" i="1"/>
  <c r="T14" i="1"/>
  <c r="S14" i="1"/>
  <c r="R14" i="1"/>
  <c r="Q14" i="1"/>
  <c r="P14" i="1"/>
  <c r="O14" i="1"/>
  <c r="K14" i="1"/>
  <c r="J14" i="1"/>
  <c r="I14" i="1"/>
  <c r="H14" i="1"/>
  <c r="G14" i="1"/>
  <c r="F14" i="1"/>
  <c r="E14" i="1"/>
  <c r="BU13" i="1"/>
  <c r="BT13" i="1"/>
  <c r="BS13" i="1"/>
  <c r="BR13" i="1"/>
  <c r="BQ13" i="1"/>
  <c r="BP13" i="1"/>
  <c r="BO13" i="1"/>
  <c r="BJ13" i="1"/>
  <c r="BI13" i="1"/>
  <c r="BH13" i="1"/>
  <c r="BG13" i="1"/>
  <c r="BF13" i="1"/>
  <c r="BE13" i="1"/>
  <c r="BD13" i="1"/>
  <c r="BC13" i="1"/>
  <c r="BB13" i="1"/>
  <c r="AX13" i="1"/>
  <c r="AW13" i="1"/>
  <c r="AV13" i="1"/>
  <c r="AS13" i="1"/>
  <c r="AR13" i="1"/>
  <c r="AQ13" i="1"/>
  <c r="AP13" i="1"/>
  <c r="AO13" i="1"/>
  <c r="AN13" i="1"/>
  <c r="AM13" i="1"/>
  <c r="AL13" i="1"/>
  <c r="AH13" i="1"/>
  <c r="AG13" i="1"/>
  <c r="AF13" i="1"/>
  <c r="AE13" i="1"/>
  <c r="AD13" i="1"/>
  <c r="AC13" i="1"/>
  <c r="AA13" i="1"/>
  <c r="Z13" i="1"/>
  <c r="Y13" i="1"/>
  <c r="X13" i="1"/>
  <c r="W13" i="1"/>
  <c r="T13" i="1"/>
  <c r="S13" i="1"/>
  <c r="R13" i="1"/>
  <c r="Q13" i="1"/>
  <c r="P13" i="1"/>
  <c r="O13" i="1"/>
  <c r="K13" i="1"/>
  <c r="J13" i="1"/>
  <c r="I13" i="1"/>
  <c r="H13" i="1"/>
  <c r="G13" i="1"/>
  <c r="F13" i="1"/>
  <c r="E13" i="1"/>
  <c r="BU12" i="1"/>
  <c r="BT12" i="1"/>
  <c r="BS12" i="1"/>
  <c r="BR12" i="1"/>
  <c r="BQ12" i="1"/>
  <c r="BP12" i="1"/>
  <c r="BO12" i="1"/>
  <c r="BJ12" i="1"/>
  <c r="BI12" i="1"/>
  <c r="BH12" i="1"/>
  <c r="BG12" i="1"/>
  <c r="BF12" i="1"/>
  <c r="BE12" i="1"/>
  <c r="BD12" i="1"/>
  <c r="BC12" i="1"/>
  <c r="BB12" i="1"/>
  <c r="AX12" i="1"/>
  <c r="AW12" i="1"/>
  <c r="AV12" i="1"/>
  <c r="AS12" i="1"/>
  <c r="AR12" i="1"/>
  <c r="AQ12" i="1"/>
  <c r="AP12" i="1"/>
  <c r="AO12" i="1"/>
  <c r="AN12" i="1"/>
  <c r="AM12" i="1"/>
  <c r="AL12" i="1"/>
  <c r="AH12" i="1"/>
  <c r="AG12" i="1"/>
  <c r="AF12" i="1"/>
  <c r="AE12" i="1"/>
  <c r="AD12" i="1"/>
  <c r="AC12" i="1"/>
  <c r="AA12" i="1"/>
  <c r="Z12" i="1"/>
  <c r="Y12" i="1"/>
  <c r="X12" i="1"/>
  <c r="W12" i="1"/>
  <c r="T12" i="1"/>
  <c r="S12" i="1"/>
  <c r="R12" i="1"/>
  <c r="Q12" i="1"/>
  <c r="P12" i="1"/>
  <c r="O12" i="1"/>
  <c r="K12" i="1"/>
  <c r="J12" i="1"/>
  <c r="I12" i="1"/>
  <c r="H12" i="1"/>
  <c r="G12" i="1"/>
  <c r="F12" i="1"/>
  <c r="E12" i="1"/>
  <c r="BU11" i="1"/>
  <c r="BT11" i="1"/>
  <c r="BS11" i="1"/>
  <c r="BR11" i="1"/>
  <c r="BQ11" i="1"/>
  <c r="BP11" i="1"/>
  <c r="BO11" i="1"/>
  <c r="BJ11" i="1"/>
  <c r="BI11" i="1"/>
  <c r="BH11" i="1"/>
  <c r="BG11" i="1"/>
  <c r="BF11" i="1"/>
  <c r="BE11" i="1"/>
  <c r="BD11" i="1"/>
  <c r="BC11" i="1"/>
  <c r="BB11" i="1"/>
  <c r="AX11" i="1"/>
  <c r="AW11" i="1"/>
  <c r="AV11" i="1"/>
  <c r="AS11" i="1"/>
  <c r="AR11" i="1"/>
  <c r="AQ11" i="1"/>
  <c r="AP11" i="1"/>
  <c r="AO11" i="1"/>
  <c r="AN11" i="1"/>
  <c r="AM11" i="1"/>
  <c r="AL11" i="1"/>
  <c r="AH11" i="1"/>
  <c r="AG11" i="1"/>
  <c r="AF11" i="1"/>
  <c r="AE11" i="1"/>
  <c r="AD11" i="1"/>
  <c r="AC11" i="1"/>
  <c r="AA11" i="1"/>
  <c r="Z11" i="1"/>
  <c r="Y11" i="1"/>
  <c r="X11" i="1"/>
  <c r="W11" i="1"/>
  <c r="T11" i="1"/>
  <c r="S11" i="1"/>
  <c r="R11" i="1"/>
  <c r="Q11" i="1"/>
  <c r="P11" i="1"/>
  <c r="O11" i="1"/>
  <c r="K11" i="1"/>
  <c r="J11" i="1"/>
  <c r="I11" i="1"/>
  <c r="H11" i="1"/>
  <c r="G11" i="1"/>
  <c r="F11" i="1"/>
  <c r="E11" i="1"/>
  <c r="BU10" i="1"/>
  <c r="BT10" i="1"/>
  <c r="BS10" i="1"/>
  <c r="BR10" i="1"/>
  <c r="BQ10" i="1"/>
  <c r="BP10" i="1"/>
  <c r="BO10" i="1"/>
  <c r="BJ10" i="1"/>
  <c r="BI10" i="1"/>
  <c r="BH10" i="1"/>
  <c r="BG10" i="1"/>
  <c r="BF10" i="1"/>
  <c r="BE10" i="1"/>
  <c r="BD10" i="1"/>
  <c r="BC10" i="1"/>
  <c r="BB10" i="1"/>
  <c r="AX10" i="1"/>
  <c r="AW10" i="1"/>
  <c r="AV10" i="1"/>
  <c r="AS10" i="1"/>
  <c r="AR10" i="1"/>
  <c r="AQ10" i="1"/>
  <c r="AP10" i="1"/>
  <c r="AO10" i="1"/>
  <c r="AN10" i="1"/>
  <c r="AM10" i="1"/>
  <c r="AL10" i="1"/>
  <c r="AH10" i="1"/>
  <c r="AG10" i="1"/>
  <c r="AF10" i="1"/>
  <c r="AE10" i="1"/>
  <c r="AD10" i="1"/>
  <c r="AC10" i="1"/>
  <c r="AA10" i="1"/>
  <c r="Z10" i="1"/>
  <c r="Y10" i="1"/>
  <c r="X10" i="1"/>
  <c r="W10" i="1"/>
  <c r="T10" i="1"/>
  <c r="S10" i="1"/>
  <c r="R10" i="1"/>
  <c r="Q10" i="1"/>
  <c r="P10" i="1"/>
  <c r="O10" i="1"/>
  <c r="K10" i="1"/>
  <c r="J10" i="1"/>
  <c r="I10" i="1"/>
  <c r="H10" i="1"/>
  <c r="G10" i="1"/>
  <c r="F10" i="1"/>
  <c r="E10" i="1"/>
  <c r="BU9" i="1"/>
  <c r="BT9" i="1"/>
  <c r="BS9" i="1"/>
  <c r="BR9" i="1"/>
  <c r="BQ9" i="1"/>
  <c r="BP9" i="1"/>
  <c r="BO9" i="1"/>
  <c r="BJ9" i="1"/>
  <c r="BI9" i="1"/>
  <c r="BH9" i="1"/>
  <c r="BG9" i="1"/>
  <c r="BF9" i="1"/>
  <c r="BE9" i="1"/>
  <c r="BD9" i="1"/>
  <c r="BC9" i="1"/>
  <c r="BB9" i="1"/>
  <c r="AX9" i="1"/>
  <c r="AW9" i="1"/>
  <c r="AV9" i="1"/>
  <c r="AS9" i="1"/>
  <c r="AR9" i="1"/>
  <c r="AQ9" i="1"/>
  <c r="AP9" i="1"/>
  <c r="AO9" i="1"/>
  <c r="AN9" i="1"/>
  <c r="AM9" i="1"/>
  <c r="AL9" i="1"/>
  <c r="AH9" i="1"/>
  <c r="AG9" i="1"/>
  <c r="AF9" i="1"/>
  <c r="AE9" i="1"/>
  <c r="AD9" i="1"/>
  <c r="AC9" i="1"/>
  <c r="AA9" i="1"/>
  <c r="Z9" i="1"/>
  <c r="Y9" i="1"/>
  <c r="X9" i="1"/>
  <c r="W9" i="1"/>
  <c r="T9" i="1"/>
  <c r="S9" i="1"/>
  <c r="R9" i="1"/>
  <c r="Q9" i="1"/>
  <c r="P9" i="1"/>
  <c r="O9" i="1"/>
  <c r="K9" i="1"/>
  <c r="J9" i="1"/>
  <c r="I9" i="1"/>
  <c r="H9" i="1"/>
  <c r="G9" i="1"/>
  <c r="F9" i="1"/>
  <c r="E9" i="1"/>
  <c r="BU8" i="1"/>
  <c r="BT8" i="1"/>
  <c r="BS8" i="1"/>
  <c r="BR8" i="1"/>
  <c r="BQ8" i="1"/>
  <c r="BP8" i="1"/>
  <c r="BO8" i="1"/>
  <c r="BJ8" i="1"/>
  <c r="BI8" i="1"/>
  <c r="BH8" i="1"/>
  <c r="BG8" i="1"/>
  <c r="BF8" i="1"/>
  <c r="BE8" i="1"/>
  <c r="BD8" i="1"/>
  <c r="BC8" i="1"/>
  <c r="BB8" i="1"/>
  <c r="AX8" i="1"/>
  <c r="AW8" i="1"/>
  <c r="AV8" i="1"/>
  <c r="AS8" i="1"/>
  <c r="AR8" i="1"/>
  <c r="AQ8" i="1"/>
  <c r="AP8" i="1"/>
  <c r="AO8" i="1"/>
  <c r="AN8" i="1"/>
  <c r="AM8" i="1"/>
  <c r="AL8" i="1"/>
  <c r="AH8" i="1"/>
  <c r="AG8" i="1"/>
  <c r="AF8" i="1"/>
  <c r="AE8" i="1"/>
  <c r="AD8" i="1"/>
  <c r="AC8" i="1"/>
  <c r="AA8" i="1"/>
  <c r="Z8" i="1"/>
  <c r="Y8" i="1"/>
  <c r="X8" i="1"/>
  <c r="W8" i="1"/>
  <c r="T8" i="1"/>
  <c r="S8" i="1"/>
  <c r="R8" i="1"/>
  <c r="Q8" i="1"/>
  <c r="P8" i="1"/>
  <c r="O8" i="1"/>
  <c r="K8" i="1"/>
  <c r="J8" i="1"/>
  <c r="I8" i="1"/>
  <c r="H8" i="1"/>
  <c r="G8" i="1"/>
  <c r="F8" i="1"/>
  <c r="E8" i="1"/>
  <c r="BU7" i="1"/>
  <c r="BT7" i="1"/>
  <c r="BS7" i="1"/>
  <c r="BR7" i="1"/>
  <c r="BQ7" i="1"/>
  <c r="BP7" i="1"/>
  <c r="BO7" i="1"/>
  <c r="BJ7" i="1"/>
  <c r="BI7" i="1"/>
  <c r="BH7" i="1"/>
  <c r="BG7" i="1"/>
  <c r="BF7" i="1"/>
  <c r="BE7" i="1"/>
  <c r="BD7" i="1"/>
  <c r="BC7" i="1"/>
  <c r="BB7" i="1"/>
  <c r="AX7" i="1"/>
  <c r="AW7" i="1"/>
  <c r="AV7" i="1"/>
  <c r="AS7" i="1"/>
  <c r="AR7" i="1"/>
  <c r="AQ7" i="1"/>
  <c r="AP7" i="1"/>
  <c r="AO7" i="1"/>
  <c r="AN7" i="1"/>
  <c r="AM7" i="1"/>
  <c r="AL7" i="1"/>
  <c r="AH7" i="1"/>
  <c r="AG7" i="1"/>
  <c r="AF7" i="1"/>
  <c r="AE7" i="1"/>
  <c r="AD7" i="1"/>
  <c r="AC7" i="1"/>
  <c r="AA7" i="1"/>
  <c r="Z7" i="1"/>
  <c r="Y7" i="1"/>
  <c r="X7" i="1"/>
  <c r="W7" i="1"/>
  <c r="T7" i="1"/>
  <c r="S7" i="1"/>
  <c r="R7" i="1"/>
  <c r="Q7" i="1"/>
  <c r="P7" i="1"/>
  <c r="O7" i="1"/>
  <c r="K7" i="1"/>
  <c r="J7" i="1"/>
  <c r="I7" i="1"/>
  <c r="H7" i="1"/>
  <c r="G7" i="1"/>
  <c r="F7" i="1"/>
  <c r="E7" i="1"/>
  <c r="BU6" i="1"/>
  <c r="BT6" i="1"/>
  <c r="BS6" i="1"/>
  <c r="BR6" i="1"/>
  <c r="BQ6" i="1"/>
  <c r="BP6" i="1"/>
  <c r="BO6" i="1"/>
  <c r="BJ6" i="1"/>
  <c r="BI6" i="1"/>
  <c r="BH6" i="1"/>
  <c r="BG6" i="1"/>
  <c r="BF6" i="1"/>
  <c r="BE6" i="1"/>
  <c r="BD6" i="1"/>
  <c r="BC6" i="1"/>
  <c r="BB6" i="1"/>
  <c r="AX6" i="1"/>
  <c r="AW6" i="1"/>
  <c r="AV6" i="1"/>
  <c r="AS6" i="1"/>
  <c r="AR6" i="1"/>
  <c r="AQ6" i="1"/>
  <c r="AP6" i="1"/>
  <c r="AO6" i="1"/>
  <c r="AN6" i="1"/>
  <c r="AM6" i="1"/>
  <c r="AL6" i="1"/>
  <c r="AH6" i="1"/>
  <c r="AG6" i="1"/>
  <c r="AF6" i="1"/>
  <c r="AE6" i="1"/>
  <c r="AD6" i="1"/>
  <c r="AC6" i="1"/>
  <c r="AA6" i="1"/>
  <c r="Z6" i="1"/>
  <c r="Y6" i="1"/>
  <c r="X6" i="1"/>
  <c r="W6" i="1"/>
  <c r="T6" i="1"/>
  <c r="S6" i="1"/>
  <c r="R6" i="1"/>
  <c r="Q6" i="1"/>
  <c r="P6" i="1"/>
  <c r="O6" i="1"/>
  <c r="K6" i="1"/>
  <c r="J6" i="1"/>
  <c r="I6" i="1"/>
  <c r="H6" i="1"/>
  <c r="G6" i="1"/>
  <c r="F6" i="1"/>
  <c r="E6" i="1"/>
  <c r="BU5" i="1"/>
  <c r="BT5" i="1"/>
  <c r="BS5" i="1"/>
  <c r="BR5" i="1"/>
  <c r="BQ5" i="1"/>
  <c r="BP5" i="1"/>
  <c r="BO5" i="1"/>
  <c r="BJ5" i="1"/>
  <c r="BI5" i="1"/>
  <c r="BH5" i="1"/>
  <c r="BG5" i="1"/>
  <c r="BF5" i="1"/>
  <c r="BE5" i="1"/>
  <c r="BD5" i="1"/>
  <c r="BC5" i="1"/>
  <c r="BB5" i="1"/>
  <c r="AX5" i="1"/>
  <c r="AW5" i="1"/>
  <c r="AV5" i="1"/>
  <c r="AS5" i="1"/>
  <c r="AR5" i="1"/>
  <c r="AQ5" i="1"/>
  <c r="AP5" i="1"/>
  <c r="AO5" i="1"/>
  <c r="AN5" i="1"/>
  <c r="AM5" i="1"/>
  <c r="AL5" i="1"/>
  <c r="AH5" i="1"/>
  <c r="AG5" i="1"/>
  <c r="AF5" i="1"/>
  <c r="AE5" i="1"/>
  <c r="AD5" i="1"/>
  <c r="AC5" i="1"/>
  <c r="AA5" i="1"/>
  <c r="Z5" i="1"/>
  <c r="Y5" i="1"/>
  <c r="X5" i="1"/>
  <c r="W5" i="1"/>
  <c r="T5" i="1"/>
  <c r="S5" i="1"/>
  <c r="R5" i="1"/>
  <c r="Q5" i="1"/>
  <c r="P5" i="1"/>
  <c r="O5" i="1"/>
  <c r="K5" i="1"/>
  <c r="J5" i="1"/>
  <c r="I5" i="1"/>
  <c r="H5" i="1"/>
  <c r="G5" i="1"/>
  <c r="F5" i="1"/>
  <c r="E5" i="1"/>
  <c r="BU4" i="1"/>
  <c r="BT4" i="1"/>
  <c r="BS4" i="1"/>
  <c r="BR4" i="1"/>
  <c r="BQ4" i="1"/>
  <c r="BP4" i="1"/>
  <c r="BO4" i="1"/>
  <c r="BJ4" i="1"/>
  <c r="BI4" i="1"/>
  <c r="BH4" i="1"/>
  <c r="BG4" i="1"/>
  <c r="BF4" i="1"/>
  <c r="BE4" i="1"/>
  <c r="BD4" i="1"/>
  <c r="BC4" i="1"/>
  <c r="BB4" i="1"/>
  <c r="AX4" i="1"/>
  <c r="AW4" i="1"/>
  <c r="AV4" i="1"/>
  <c r="AS4" i="1"/>
  <c r="AR4" i="1"/>
  <c r="AQ4" i="1"/>
  <c r="AP4" i="1"/>
  <c r="AO4" i="1"/>
  <c r="AN4" i="1"/>
  <c r="AM4" i="1"/>
  <c r="AL4" i="1"/>
  <c r="AH4" i="1"/>
  <c r="AG4" i="1"/>
  <c r="AF4" i="1"/>
  <c r="AE4" i="1"/>
  <c r="AD4" i="1"/>
  <c r="AC4" i="1"/>
  <c r="AA4" i="1"/>
  <c r="Z4" i="1"/>
  <c r="Y4" i="1"/>
  <c r="X4" i="1"/>
  <c r="W4" i="1"/>
  <c r="T4" i="1"/>
  <c r="S4" i="1"/>
  <c r="R4" i="1"/>
  <c r="Q4" i="1"/>
  <c r="P4" i="1"/>
  <c r="O4" i="1"/>
  <c r="K4" i="1"/>
  <c r="J4" i="1"/>
  <c r="I4" i="1"/>
  <c r="H4" i="1"/>
  <c r="G4" i="1"/>
  <c r="F4" i="1"/>
  <c r="E4" i="1"/>
  <c r="BU3" i="1"/>
  <c r="BT3" i="1"/>
  <c r="BS3" i="1"/>
  <c r="BR3" i="1"/>
  <c r="BQ3" i="1"/>
  <c r="BP3" i="1"/>
  <c r="BO3" i="1"/>
  <c r="BJ3" i="1"/>
  <c r="BI3" i="1"/>
  <c r="BH3" i="1"/>
  <c r="BG3" i="1"/>
  <c r="BF3" i="1"/>
  <c r="BE3" i="1"/>
  <c r="BD3" i="1"/>
  <c r="BC3" i="1"/>
  <c r="BB3" i="1"/>
  <c r="AX3" i="1"/>
  <c r="AW3" i="1"/>
  <c r="AV3" i="1"/>
  <c r="AS3" i="1"/>
  <c r="AR3" i="1"/>
  <c r="AQ3" i="1"/>
  <c r="AP3" i="1"/>
  <c r="AO3" i="1"/>
  <c r="AN3" i="1"/>
  <c r="AM3" i="1"/>
  <c r="AL3" i="1"/>
  <c r="AH3" i="1"/>
  <c r="AG3" i="1"/>
  <c r="AF3" i="1"/>
  <c r="AE3" i="1"/>
  <c r="AD3" i="1"/>
  <c r="AC3" i="1"/>
  <c r="AA3" i="1"/>
  <c r="Z3" i="1"/>
  <c r="Y3" i="1"/>
  <c r="X3" i="1"/>
  <c r="W3" i="1"/>
  <c r="T3" i="1"/>
  <c r="S3" i="1"/>
  <c r="R3" i="1"/>
  <c r="Q3" i="1"/>
  <c r="P3" i="1"/>
  <c r="O3" i="1"/>
  <c r="K3" i="1"/>
  <c r="J3" i="1"/>
  <c r="I3" i="1"/>
  <c r="H3" i="1"/>
  <c r="G3" i="1"/>
  <c r="F3" i="1"/>
  <c r="E3" i="1"/>
  <c r="AW30" i="6" l="1"/>
  <c r="AV30" i="6"/>
  <c r="BJ62" i="3"/>
  <c r="BI62" i="3"/>
  <c r="BH62" i="3"/>
  <c r="BG62" i="3"/>
  <c r="BF62" i="3"/>
  <c r="BE62" i="3"/>
  <c r="BD62" i="3"/>
  <c r="BC62" i="3"/>
  <c r="BB62" i="3"/>
  <c r="BU137" i="2"/>
  <c r="BT137" i="2"/>
  <c r="BS137" i="2"/>
  <c r="BR137" i="2"/>
  <c r="BQ137" i="2"/>
  <c r="BP137" i="2"/>
  <c r="BO137" i="2"/>
  <c r="BJ137" i="2"/>
  <c r="BI137" i="2"/>
  <c r="BH137" i="2"/>
  <c r="BG137" i="2"/>
  <c r="BF137" i="2"/>
  <c r="BE137" i="2"/>
  <c r="BD137" i="2"/>
  <c r="BC137" i="2"/>
  <c r="BB137" i="2"/>
  <c r="AX137" i="2"/>
  <c r="AW137" i="2"/>
  <c r="AV137" i="2"/>
  <c r="AS137" i="2"/>
  <c r="AR137" i="2"/>
  <c r="AQ137" i="2"/>
  <c r="AP137" i="2"/>
  <c r="AO137" i="2"/>
  <c r="AN137" i="2"/>
  <c r="AM137" i="2"/>
  <c r="AL137" i="2"/>
  <c r="AH137" i="2"/>
  <c r="AG137" i="2"/>
  <c r="AF137" i="2"/>
  <c r="AE137" i="2"/>
  <c r="AD137" i="2"/>
  <c r="AC137" i="2"/>
  <c r="T137" i="2"/>
  <c r="S137" i="2"/>
  <c r="R137" i="2"/>
  <c r="Q137" i="2"/>
  <c r="P137" i="2"/>
  <c r="O137" i="2"/>
  <c r="BS53" i="9"/>
  <c r="BO53" i="9"/>
  <c r="BH53" i="9"/>
  <c r="BB53" i="9"/>
  <c r="AR53" i="9"/>
  <c r="AN53" i="9"/>
  <c r="BU53" i="9"/>
  <c r="AQ53" i="9"/>
  <c r="AE53" i="9"/>
  <c r="Q53" i="9"/>
  <c r="AX53" i="9"/>
  <c r="BT53" i="9"/>
  <c r="BD53" i="9"/>
  <c r="T53" i="9"/>
  <c r="BG53" i="9"/>
  <c r="AW53" i="9"/>
  <c r="AO53" i="9"/>
  <c r="AL53" i="9"/>
  <c r="P53" i="9"/>
  <c r="BJ53" i="9"/>
  <c r="BC53" i="9"/>
  <c r="AP53" i="9"/>
  <c r="AG53" i="9"/>
  <c r="AC53" i="9"/>
  <c r="R53" i="9"/>
  <c r="BE53" i="9"/>
  <c r="AS53" i="9"/>
  <c r="AH53" i="9"/>
  <c r="AD53" i="9"/>
  <c r="S53" i="9"/>
  <c r="BF53" i="9"/>
  <c r="AV53" i="9"/>
  <c r="BO54" i="9"/>
  <c r="BE54" i="9"/>
  <c r="BD54" i="9"/>
  <c r="BC54" i="9"/>
  <c r="BB54" i="9"/>
  <c r="AX54" i="9"/>
  <c r="AW54" i="9"/>
  <c r="AV54" i="9"/>
  <c r="AS54" i="9"/>
  <c r="AR54" i="9"/>
  <c r="AQ54" i="9"/>
  <c r="AP54" i="9"/>
  <c r="AO54" i="9"/>
  <c r="AN54" i="9"/>
  <c r="AL54" i="9"/>
  <c r="AH54" i="9"/>
  <c r="AG54" i="9"/>
  <c r="AE54" i="9"/>
  <c r="AD54" i="9"/>
  <c r="AC54" i="9"/>
  <c r="T54" i="9"/>
  <c r="S54" i="9"/>
  <c r="R54" i="9"/>
  <c r="Q54" i="9"/>
  <c r="P54" i="9"/>
  <c r="O53" i="9"/>
  <c r="BR53" i="9"/>
  <c r="BQ53" i="9"/>
  <c r="BP53" i="9"/>
  <c r="BI53" i="9"/>
  <c r="AM53" i="9"/>
  <c r="AF53" i="9"/>
  <c r="BU21" i="8"/>
  <c r="BT21" i="8"/>
  <c r="BS21" i="8"/>
  <c r="BR21" i="8"/>
  <c r="BQ21" i="8"/>
  <c r="BP21" i="8"/>
  <c r="BO21" i="8"/>
  <c r="BJ21" i="8"/>
  <c r="BI21" i="8"/>
  <c r="BH21" i="8"/>
  <c r="BG21" i="8"/>
  <c r="BF21" i="8"/>
  <c r="BE21" i="8"/>
  <c r="BD21" i="8"/>
  <c r="BC21" i="8"/>
  <c r="BB21" i="8"/>
  <c r="AX21" i="8"/>
  <c r="AW21" i="8"/>
  <c r="AV21" i="8"/>
  <c r="AS21" i="8"/>
  <c r="AR21" i="8"/>
  <c r="AQ21" i="8"/>
  <c r="AP21" i="8"/>
  <c r="AO21" i="8"/>
  <c r="AN21" i="8"/>
  <c r="AM21" i="8"/>
  <c r="AL21" i="8"/>
  <c r="AH21" i="8"/>
  <c r="AG21" i="8"/>
  <c r="AF21" i="8"/>
  <c r="AE21" i="8"/>
  <c r="AD21" i="8"/>
  <c r="AC21" i="8"/>
  <c r="T21" i="8"/>
  <c r="S21" i="8"/>
  <c r="R21" i="8"/>
  <c r="Q21" i="8"/>
  <c r="P21" i="8"/>
  <c r="O21" i="8"/>
  <c r="BU18" i="7"/>
  <c r="BT18" i="7"/>
  <c r="BS18" i="7"/>
  <c r="BR18" i="7"/>
  <c r="BQ18" i="7"/>
  <c r="BP18" i="7"/>
  <c r="BO18" i="7"/>
  <c r="BJ18" i="7"/>
  <c r="BI18" i="7"/>
  <c r="BH18" i="7"/>
  <c r="BG18" i="7"/>
  <c r="BF18" i="7"/>
  <c r="BE18" i="7"/>
  <c r="BD18" i="7"/>
  <c r="BC18" i="7"/>
  <c r="BB18" i="7"/>
  <c r="AX18" i="7"/>
  <c r="AW18" i="7"/>
  <c r="AV18" i="7"/>
  <c r="AS18" i="7"/>
  <c r="AR18" i="7"/>
  <c r="AQ18" i="7"/>
  <c r="AP18" i="7"/>
  <c r="AO18" i="7"/>
  <c r="AN18" i="7"/>
  <c r="AM18" i="7"/>
  <c r="AL18" i="7"/>
  <c r="AH18" i="7"/>
  <c r="AG18" i="7"/>
  <c r="AF18" i="7"/>
  <c r="AE18" i="7"/>
  <c r="AD18" i="7"/>
  <c r="AC18" i="7"/>
  <c r="T18" i="7"/>
  <c r="S18" i="7"/>
  <c r="R18" i="7"/>
  <c r="Q18" i="7"/>
  <c r="P18" i="7"/>
  <c r="O18" i="7"/>
  <c r="BU30" i="6"/>
  <c r="BT30" i="6"/>
  <c r="BS30" i="6"/>
  <c r="BR30" i="6"/>
  <c r="BQ30" i="6"/>
  <c r="BP30" i="6"/>
  <c r="BO30" i="6"/>
  <c r="BJ30" i="6"/>
  <c r="BI30" i="6"/>
  <c r="BH30" i="6"/>
  <c r="BG30" i="6"/>
  <c r="BF30" i="6"/>
  <c r="BE30" i="6"/>
  <c r="BD30" i="6"/>
  <c r="BC30" i="6"/>
  <c r="BB30" i="6"/>
  <c r="AS30" i="6"/>
  <c r="AR30" i="6"/>
  <c r="AQ30" i="6"/>
  <c r="AP30" i="6"/>
  <c r="AO30" i="6"/>
  <c r="AN30" i="6"/>
  <c r="AM30" i="6"/>
  <c r="AL30" i="6"/>
  <c r="AH30" i="6"/>
  <c r="AG30" i="6"/>
  <c r="AF30" i="6"/>
  <c r="AE30" i="6"/>
  <c r="AD30" i="6"/>
  <c r="AC30" i="6"/>
  <c r="T30" i="6"/>
  <c r="S30" i="6"/>
  <c r="R30" i="6"/>
  <c r="Q30" i="6"/>
  <c r="P30" i="6"/>
  <c r="O30" i="6"/>
  <c r="BQ14" i="5"/>
  <c r="BU15" i="5"/>
  <c r="BT15" i="5"/>
  <c r="BS15" i="5"/>
  <c r="BR15" i="5"/>
  <c r="BQ15" i="5"/>
  <c r="BP15" i="5"/>
  <c r="BO15" i="5"/>
  <c r="BJ15" i="5"/>
  <c r="BI15" i="5"/>
  <c r="BH15" i="5"/>
  <c r="BG15" i="5"/>
  <c r="BF15" i="5"/>
  <c r="BE15" i="5"/>
  <c r="BD15" i="5"/>
  <c r="BC15" i="5"/>
  <c r="BB15" i="5"/>
  <c r="AX15" i="5"/>
  <c r="AW15" i="5"/>
  <c r="AV15" i="5"/>
  <c r="AS15" i="5"/>
  <c r="AR15" i="5"/>
  <c r="AQ15" i="5"/>
  <c r="AP15" i="5"/>
  <c r="AO15" i="5"/>
  <c r="AN15" i="5"/>
  <c r="AM15" i="5"/>
  <c r="AL15" i="5"/>
  <c r="AH15" i="5"/>
  <c r="AG15" i="5"/>
  <c r="AF15" i="5"/>
  <c r="AE15" i="5"/>
  <c r="AD15" i="5"/>
  <c r="AC15" i="5"/>
  <c r="T15" i="5"/>
  <c r="S15" i="5"/>
  <c r="R15" i="5"/>
  <c r="Q15" i="5"/>
  <c r="P15" i="5"/>
  <c r="O15" i="5"/>
  <c r="BU63" i="3"/>
  <c r="BT63" i="3"/>
  <c r="BS63" i="3"/>
  <c r="BR63" i="3"/>
  <c r="BQ63" i="3"/>
  <c r="BP63" i="3"/>
  <c r="BO63" i="3"/>
  <c r="BJ63" i="3"/>
  <c r="BI63" i="3"/>
  <c r="BH63" i="3"/>
  <c r="BG63" i="3"/>
  <c r="BF63" i="3"/>
  <c r="BE63" i="3"/>
  <c r="BD63" i="3"/>
  <c r="BC63" i="3"/>
  <c r="BB63" i="3"/>
  <c r="AX63" i="3"/>
  <c r="AW63" i="3"/>
  <c r="AV63" i="3"/>
  <c r="T63" i="3"/>
  <c r="S63" i="3"/>
  <c r="R63" i="3"/>
  <c r="Q63" i="3"/>
  <c r="P63" i="3"/>
  <c r="O63" i="3"/>
  <c r="AH63" i="3"/>
  <c r="AG63" i="3"/>
  <c r="AF63" i="3"/>
  <c r="AE63" i="3"/>
  <c r="AD63" i="3"/>
  <c r="AC63" i="3"/>
  <c r="AR63" i="3"/>
  <c r="AQ63" i="3"/>
  <c r="AP63" i="3"/>
  <c r="AO63" i="3"/>
  <c r="AN63" i="3"/>
  <c r="AM63" i="3"/>
  <c r="AL63" i="3"/>
  <c r="BU20" i="4"/>
  <c r="BT20" i="4"/>
  <c r="BS20" i="4"/>
  <c r="BR20" i="4"/>
  <c r="BQ20" i="4"/>
  <c r="BP20" i="4"/>
  <c r="BO20" i="4"/>
  <c r="BK11" i="10"/>
  <c r="AI11" i="10"/>
  <c r="L11" i="10"/>
  <c r="BK10" i="10"/>
  <c r="AI10" i="10"/>
  <c r="L10" i="10"/>
  <c r="BK9" i="10"/>
  <c r="AI9" i="10"/>
  <c r="L9" i="10"/>
  <c r="BK8" i="10"/>
  <c r="AI8" i="10"/>
  <c r="L8" i="10"/>
  <c r="BK7" i="10"/>
  <c r="AI7" i="10"/>
  <c r="L7" i="10"/>
  <c r="BK6" i="10"/>
  <c r="AI6" i="10"/>
  <c r="L6" i="10"/>
  <c r="BK5" i="10"/>
  <c r="AI5" i="10"/>
  <c r="L5" i="10"/>
  <c r="BK4" i="10"/>
  <c r="AI4" i="10"/>
  <c r="L4" i="10"/>
  <c r="BK3" i="10"/>
  <c r="AI3" i="10"/>
  <c r="L3" i="10"/>
  <c r="BK52" i="9"/>
  <c r="AI52" i="9"/>
  <c r="L52" i="9"/>
  <c r="BK51" i="9"/>
  <c r="AI51" i="9"/>
  <c r="L51" i="9"/>
  <c r="BK50" i="9"/>
  <c r="AI50" i="9"/>
  <c r="L50" i="9"/>
  <c r="BK49" i="9"/>
  <c r="AI49" i="9"/>
  <c r="L49" i="9"/>
  <c r="BK48" i="9"/>
  <c r="AI48" i="9"/>
  <c r="L48" i="9"/>
  <c r="BK47" i="9"/>
  <c r="AI47" i="9"/>
  <c r="L47" i="9"/>
  <c r="BK46" i="9"/>
  <c r="AI46" i="9"/>
  <c r="L46" i="9"/>
  <c r="BK45" i="9"/>
  <c r="AI45" i="9"/>
  <c r="L45" i="9"/>
  <c r="BK44" i="9"/>
  <c r="AI44" i="9"/>
  <c r="L44" i="9"/>
  <c r="BK43" i="9"/>
  <c r="AI43" i="9"/>
  <c r="L43" i="9"/>
  <c r="BK42" i="9"/>
  <c r="AI42" i="9"/>
  <c r="L42" i="9"/>
  <c r="BK41" i="9"/>
  <c r="AI41" i="9"/>
  <c r="L41" i="9"/>
  <c r="BK40" i="9"/>
  <c r="AI40" i="9"/>
  <c r="L40" i="9"/>
  <c r="BK39" i="9"/>
  <c r="AI39" i="9"/>
  <c r="L39" i="9"/>
  <c r="BK38" i="9"/>
  <c r="AI38" i="9"/>
  <c r="L38" i="9"/>
  <c r="BK37" i="9"/>
  <c r="AI37" i="9"/>
  <c r="L37" i="9"/>
  <c r="BK36" i="9"/>
  <c r="AI36" i="9"/>
  <c r="L36" i="9"/>
  <c r="BK35" i="9"/>
  <c r="AI35" i="9"/>
  <c r="L35" i="9"/>
  <c r="BK34" i="9"/>
  <c r="AI34" i="9"/>
  <c r="L34" i="9"/>
  <c r="BK33" i="9"/>
  <c r="AI33" i="9"/>
  <c r="L33" i="9"/>
  <c r="BK32" i="9"/>
  <c r="AI32" i="9"/>
  <c r="L32" i="9"/>
  <c r="BK31" i="9"/>
  <c r="AI31" i="9"/>
  <c r="L31" i="9"/>
  <c r="BK30" i="9"/>
  <c r="AI30" i="9"/>
  <c r="L30" i="9"/>
  <c r="BK29" i="9"/>
  <c r="AI29" i="9"/>
  <c r="L29" i="9"/>
  <c r="BK28" i="9"/>
  <c r="AI28" i="9"/>
  <c r="L28" i="9"/>
  <c r="BK27" i="9"/>
  <c r="AI27" i="9"/>
  <c r="L27" i="9"/>
  <c r="BK26" i="9"/>
  <c r="AI26" i="9"/>
  <c r="L26" i="9"/>
  <c r="BK25" i="9"/>
  <c r="AI25" i="9"/>
  <c r="L25" i="9"/>
  <c r="BK24" i="9"/>
  <c r="AI24" i="9"/>
  <c r="L24" i="9"/>
  <c r="BK23" i="9"/>
  <c r="AI23" i="9"/>
  <c r="L23" i="9"/>
  <c r="BK22" i="9"/>
  <c r="AI22" i="9"/>
  <c r="L22" i="9"/>
  <c r="BK21" i="9"/>
  <c r="AI21" i="9"/>
  <c r="BK3" i="8"/>
  <c r="L3" i="8"/>
  <c r="AI16" i="7"/>
  <c r="BK15" i="7"/>
  <c r="AI15" i="7"/>
  <c r="L13" i="7"/>
  <c r="BK12" i="7"/>
  <c r="BK11" i="7"/>
  <c r="L8" i="7"/>
  <c r="L4" i="7"/>
  <c r="AI28" i="6"/>
  <c r="L27" i="6"/>
  <c r="BK26" i="6"/>
  <c r="BK25" i="6"/>
  <c r="AI25" i="6"/>
  <c r="L25" i="6"/>
  <c r="BK20" i="6"/>
  <c r="BK18" i="6"/>
  <c r="L17" i="6"/>
  <c r="L16" i="6"/>
  <c r="BK14" i="6"/>
  <c r="AI14" i="6"/>
  <c r="AI10" i="6"/>
  <c r="L4" i="6"/>
  <c r="BK3" i="6"/>
  <c r="AI3" i="6"/>
  <c r="L3" i="6"/>
  <c r="L13" i="5"/>
  <c r="AI11" i="5"/>
  <c r="BK10" i="5"/>
  <c r="AI46" i="3"/>
  <c r="AI9" i="3"/>
  <c r="AI7" i="3"/>
  <c r="AI6" i="3"/>
  <c r="L21" i="9"/>
  <c r="BK20" i="9"/>
  <c r="AI20" i="9"/>
  <c r="L20" i="9"/>
  <c r="BK19" i="9"/>
  <c r="AI19" i="9"/>
  <c r="L19" i="9"/>
  <c r="BK18" i="9"/>
  <c r="AI18" i="9"/>
  <c r="L18" i="9"/>
  <c r="BK17" i="9"/>
  <c r="AI17" i="9"/>
  <c r="L17" i="9"/>
  <c r="BK16" i="9"/>
  <c r="AI16" i="9"/>
  <c r="L16" i="9"/>
  <c r="BK15" i="9"/>
  <c r="AI15" i="9"/>
  <c r="L15" i="9"/>
  <c r="BK14" i="9"/>
  <c r="AI14" i="9"/>
  <c r="L14" i="9"/>
  <c r="BK13" i="9"/>
  <c r="AI13" i="9"/>
  <c r="L13" i="9"/>
  <c r="BK12" i="9"/>
  <c r="AI12" i="9"/>
  <c r="L12" i="9"/>
  <c r="BK11" i="9"/>
  <c r="AI11" i="9"/>
  <c r="L11" i="9"/>
  <c r="BK10" i="9"/>
  <c r="AI10" i="9"/>
  <c r="L10" i="9"/>
  <c r="BK9" i="9"/>
  <c r="AI9" i="9"/>
  <c r="L9" i="9"/>
  <c r="BK8" i="9"/>
  <c r="AI8" i="9"/>
  <c r="L8" i="9"/>
  <c r="BK7" i="9"/>
  <c r="AI7" i="9"/>
  <c r="L7" i="9"/>
  <c r="BK6" i="9"/>
  <c r="AI6" i="9"/>
  <c r="L6" i="9"/>
  <c r="BK5" i="9"/>
  <c r="AI5" i="9"/>
  <c r="L5" i="9"/>
  <c r="BK4" i="9"/>
  <c r="AI4" i="9"/>
  <c r="L4" i="9"/>
  <c r="BK3" i="9"/>
  <c r="AI3" i="9"/>
  <c r="L3" i="9"/>
  <c r="BK19" i="8"/>
  <c r="AI19" i="8"/>
  <c r="L19" i="8"/>
  <c r="BK18" i="8"/>
  <c r="AI18" i="8"/>
  <c r="L18" i="8"/>
  <c r="BK17" i="8"/>
  <c r="AI17" i="8"/>
  <c r="L17" i="8"/>
  <c r="BK16" i="8"/>
  <c r="AI16" i="8"/>
  <c r="L16" i="8"/>
  <c r="BK15" i="8"/>
  <c r="AI15" i="8"/>
  <c r="L15" i="8"/>
  <c r="BK14" i="8"/>
  <c r="AI14" i="8"/>
  <c r="L14" i="8"/>
  <c r="BK13" i="8"/>
  <c r="AI13" i="8"/>
  <c r="L13" i="8"/>
  <c r="BK12" i="8"/>
  <c r="AI12" i="8"/>
  <c r="L12" i="8"/>
  <c r="BK11" i="8"/>
  <c r="AI11" i="8"/>
  <c r="L11" i="8"/>
  <c r="BK10" i="8"/>
  <c r="AI10" i="8"/>
  <c r="L10" i="8"/>
  <c r="BK9" i="8"/>
  <c r="AI9" i="8"/>
  <c r="L9" i="8"/>
  <c r="BK8" i="8"/>
  <c r="AI8" i="8"/>
  <c r="L8" i="8"/>
  <c r="BK7" i="8"/>
  <c r="AI7" i="8"/>
  <c r="L7" i="8"/>
  <c r="BK6" i="8"/>
  <c r="AI6" i="8"/>
  <c r="L6" i="8"/>
  <c r="BK5" i="8"/>
  <c r="AI5" i="8"/>
  <c r="L5" i="8"/>
  <c r="BK4" i="8"/>
  <c r="AI4" i="8"/>
  <c r="L4" i="8"/>
  <c r="AI3" i="8"/>
  <c r="BK16" i="7"/>
  <c r="L16" i="7"/>
  <c r="L15" i="7"/>
  <c r="AI12" i="7"/>
  <c r="AI11" i="7"/>
  <c r="L11" i="7"/>
  <c r="AI9" i="7"/>
  <c r="BK8" i="7"/>
  <c r="L7" i="7"/>
  <c r="AI5" i="7"/>
  <c r="L28" i="6"/>
  <c r="AI26" i="6"/>
  <c r="BK24" i="6"/>
  <c r="L23" i="6"/>
  <c r="L22" i="6"/>
  <c r="BK19" i="6"/>
  <c r="AI17" i="6"/>
  <c r="L13" i="6"/>
  <c r="L12" i="6"/>
  <c r="BK11" i="6"/>
  <c r="AI11" i="6"/>
  <c r="BK8" i="6"/>
  <c r="BK9" i="6"/>
  <c r="AI9" i="6"/>
  <c r="L8" i="6"/>
  <c r="AI6" i="6"/>
  <c r="L6" i="6"/>
  <c r="BK5" i="6"/>
  <c r="L5" i="6"/>
  <c r="BK4" i="6"/>
  <c r="BK12" i="5"/>
  <c r="AI12" i="5"/>
  <c r="BK11" i="5"/>
  <c r="L11" i="5"/>
  <c r="BK9" i="5"/>
  <c r="AI9" i="5"/>
  <c r="L9" i="5"/>
  <c r="BK8" i="5"/>
  <c r="AI8" i="5"/>
  <c r="L8" i="5"/>
  <c r="BK7" i="5"/>
  <c r="AI7" i="5"/>
  <c r="L7" i="5"/>
  <c r="BK6" i="5"/>
  <c r="AI6" i="5"/>
  <c r="L6" i="5"/>
  <c r="BK5" i="5"/>
  <c r="AI5" i="5"/>
  <c r="L5" i="5"/>
  <c r="BK4" i="5"/>
  <c r="AI4" i="5"/>
  <c r="L4" i="5"/>
  <c r="BK3" i="5"/>
  <c r="AI3" i="5"/>
  <c r="L3" i="5"/>
  <c r="BK18" i="4"/>
  <c r="AI18" i="4"/>
  <c r="L18" i="4"/>
  <c r="BK17" i="4"/>
  <c r="AI17" i="4"/>
  <c r="L17" i="4"/>
  <c r="BK16" i="4"/>
  <c r="AI16" i="4"/>
  <c r="L16" i="4"/>
  <c r="BK15" i="4"/>
  <c r="AI15" i="4"/>
  <c r="L15" i="4"/>
  <c r="BK14" i="4"/>
  <c r="AI14" i="4"/>
  <c r="L14" i="4"/>
  <c r="BK13" i="4"/>
  <c r="AI13" i="4"/>
  <c r="L13" i="4"/>
  <c r="BK12" i="4"/>
  <c r="AI12" i="4"/>
  <c r="L12" i="4"/>
  <c r="BK11" i="4"/>
  <c r="AI11" i="4"/>
  <c r="L11" i="4"/>
  <c r="BK10" i="4"/>
  <c r="AI10" i="4"/>
  <c r="L10" i="4"/>
  <c r="BK9" i="4"/>
  <c r="AI9" i="4"/>
  <c r="L9" i="4"/>
  <c r="BK8" i="4"/>
  <c r="AI8" i="4"/>
  <c r="L8" i="4"/>
  <c r="BK7" i="4"/>
  <c r="AI7" i="4"/>
  <c r="L7" i="4"/>
  <c r="BK6" i="4"/>
  <c r="AI6" i="4"/>
  <c r="L6" i="4"/>
  <c r="BK5" i="4"/>
  <c r="AI5" i="4"/>
  <c r="L5" i="4"/>
  <c r="BK4" i="4"/>
  <c r="AI4" i="4"/>
  <c r="L4" i="4"/>
  <c r="BK3" i="4"/>
  <c r="AI3" i="4"/>
  <c r="L3" i="4"/>
  <c r="BK61" i="3"/>
  <c r="AI61" i="3"/>
  <c r="L61" i="3"/>
  <c r="BK60" i="3"/>
  <c r="AI60" i="3"/>
  <c r="L60" i="3"/>
  <c r="BK59" i="3"/>
  <c r="AI59" i="3"/>
  <c r="L59" i="3"/>
  <c r="BK58" i="3"/>
  <c r="AI58" i="3"/>
  <c r="L58" i="3"/>
  <c r="BK57" i="3"/>
  <c r="AI57" i="3"/>
  <c r="L57" i="3"/>
  <c r="BK56" i="3"/>
  <c r="AI56" i="3"/>
  <c r="L56" i="3"/>
  <c r="BK55" i="3"/>
  <c r="AI55" i="3"/>
  <c r="L55" i="3"/>
  <c r="BK54" i="3"/>
  <c r="AI54" i="3"/>
  <c r="L54" i="3"/>
  <c r="BK53" i="3"/>
  <c r="AI53" i="3"/>
  <c r="L53" i="3"/>
  <c r="BK52" i="3"/>
  <c r="AI52" i="3"/>
  <c r="L52" i="3"/>
  <c r="BK51" i="3"/>
  <c r="AI51" i="3"/>
  <c r="L51" i="3"/>
  <c r="BK50" i="3"/>
  <c r="AI50" i="3"/>
  <c r="L50" i="3"/>
  <c r="BK49" i="3"/>
  <c r="AI49" i="3"/>
  <c r="L49" i="3"/>
  <c r="BK48" i="3"/>
  <c r="AI48" i="3"/>
  <c r="L48" i="3"/>
  <c r="BK47" i="3"/>
  <c r="AI47" i="3"/>
  <c r="L47" i="3"/>
  <c r="L45" i="3"/>
  <c r="BK44" i="3"/>
  <c r="AI44" i="3"/>
  <c r="L44" i="3"/>
  <c r="BK43" i="3"/>
  <c r="AI43" i="3"/>
  <c r="L43" i="3"/>
  <c r="BK42" i="3"/>
  <c r="AI42" i="3"/>
  <c r="L42" i="3"/>
  <c r="BK41" i="3"/>
  <c r="AI41" i="3"/>
  <c r="L41" i="3"/>
  <c r="BK40" i="3"/>
  <c r="AI40" i="3"/>
  <c r="L40" i="3"/>
  <c r="BK39" i="3"/>
  <c r="AI39" i="3"/>
  <c r="L39" i="3"/>
  <c r="BK38" i="3"/>
  <c r="AI38" i="3"/>
  <c r="L38" i="3"/>
  <c r="BK37" i="3"/>
  <c r="AI37" i="3"/>
  <c r="L37" i="3"/>
  <c r="BK36" i="3"/>
  <c r="AI36" i="3"/>
  <c r="L36" i="3"/>
  <c r="BK35" i="3"/>
  <c r="AI35" i="3"/>
  <c r="L35" i="3"/>
  <c r="BK34" i="3"/>
  <c r="AI34" i="3"/>
  <c r="L34" i="3"/>
  <c r="BK33" i="3"/>
  <c r="AI33" i="3"/>
  <c r="L33" i="3"/>
  <c r="BK32" i="3"/>
  <c r="AI32" i="3"/>
  <c r="L32" i="3"/>
  <c r="BK31" i="3"/>
  <c r="AI31" i="3"/>
  <c r="L31" i="3"/>
  <c r="BK30" i="3"/>
  <c r="AI30" i="3"/>
  <c r="L30" i="3"/>
  <c r="BK29" i="3"/>
  <c r="AI29" i="3"/>
  <c r="L29" i="3"/>
  <c r="BK28" i="3"/>
  <c r="AI28" i="3"/>
  <c r="L28" i="3"/>
  <c r="BK27" i="3"/>
  <c r="AI27" i="3"/>
  <c r="L27" i="3"/>
  <c r="BK26" i="3"/>
  <c r="AI26" i="3"/>
  <c r="L26" i="3"/>
  <c r="BK25" i="3"/>
  <c r="AI25" i="3"/>
  <c r="L25" i="3"/>
  <c r="BK24" i="3"/>
  <c r="AI24" i="3"/>
  <c r="L24" i="3"/>
  <c r="BK23" i="3"/>
  <c r="AI23" i="3"/>
  <c r="L23" i="3"/>
  <c r="BK22" i="3"/>
  <c r="AI22" i="3"/>
  <c r="L22" i="3"/>
  <c r="BK21" i="3"/>
  <c r="AI21" i="3"/>
  <c r="L21" i="3"/>
  <c r="BK20" i="3"/>
  <c r="AI20" i="3"/>
  <c r="L20" i="3"/>
  <c r="BK19" i="3"/>
  <c r="AI19" i="3"/>
  <c r="L19" i="3"/>
  <c r="BK18" i="3"/>
  <c r="AI18" i="3"/>
  <c r="L18" i="3"/>
  <c r="BK17" i="3"/>
  <c r="AI17" i="3"/>
  <c r="L17" i="3"/>
  <c r="BK16" i="3"/>
  <c r="AI16" i="3"/>
  <c r="L16" i="3"/>
  <c r="BK15" i="3"/>
  <c r="AI15" i="3"/>
  <c r="L15" i="3"/>
  <c r="BK14" i="3"/>
  <c r="AI14" i="3"/>
  <c r="L14" i="3"/>
  <c r="BK13" i="3"/>
  <c r="AI13" i="3"/>
  <c r="L13" i="3"/>
  <c r="BK12" i="3"/>
  <c r="AI12" i="3"/>
  <c r="L12" i="3"/>
  <c r="BK11" i="3"/>
  <c r="AI11" i="3"/>
  <c r="L11" i="3"/>
  <c r="BK10" i="3"/>
  <c r="AI10" i="3"/>
  <c r="L10" i="3"/>
  <c r="BK9" i="3"/>
  <c r="BK8" i="3"/>
  <c r="AI8" i="3"/>
  <c r="L6" i="3"/>
  <c r="AI5" i="3"/>
  <c r="L5" i="3"/>
  <c r="BK4" i="3"/>
  <c r="AI4" i="3"/>
  <c r="L4" i="3"/>
  <c r="BK3" i="3"/>
  <c r="AI3" i="3"/>
  <c r="L3" i="3"/>
  <c r="BK135" i="2"/>
  <c r="AI135" i="2"/>
  <c r="L135" i="2"/>
  <c r="BK134" i="2"/>
  <c r="AI134" i="2"/>
  <c r="L134" i="2"/>
  <c r="BK133" i="2"/>
  <c r="AI133" i="2"/>
  <c r="L133" i="2"/>
  <c r="BK132" i="2"/>
  <c r="AI132" i="2"/>
  <c r="L132" i="2"/>
  <c r="BK131" i="2"/>
  <c r="AI131" i="2"/>
  <c r="L131" i="2"/>
  <c r="BK130" i="2"/>
  <c r="AI130" i="2"/>
  <c r="L130" i="2"/>
  <c r="BK129" i="2"/>
  <c r="AI129" i="2"/>
  <c r="L129" i="2"/>
  <c r="BK128" i="2"/>
  <c r="AI128" i="2"/>
  <c r="L128" i="2"/>
  <c r="BK127" i="2"/>
  <c r="AI127" i="2"/>
  <c r="L127" i="2"/>
  <c r="BK126" i="2"/>
  <c r="AI126" i="2"/>
  <c r="L126" i="2"/>
  <c r="BK125" i="2"/>
  <c r="AI125" i="2"/>
  <c r="L125" i="2"/>
  <c r="BK124" i="2"/>
  <c r="AI124" i="2"/>
  <c r="L124" i="2"/>
  <c r="BK123" i="2"/>
  <c r="AI123" i="2"/>
  <c r="L123" i="2"/>
  <c r="BK122" i="2"/>
  <c r="AI122" i="2"/>
  <c r="L122" i="2"/>
  <c r="BK121" i="2"/>
  <c r="AI121" i="2"/>
  <c r="L121" i="2"/>
  <c r="BK120" i="2"/>
  <c r="AI120" i="2"/>
  <c r="L120" i="2"/>
  <c r="BK119" i="2"/>
  <c r="AI119" i="2"/>
  <c r="L119" i="2"/>
  <c r="BK118" i="2"/>
  <c r="AI118" i="2"/>
  <c r="L118" i="2"/>
  <c r="BK117" i="2"/>
  <c r="AI117" i="2"/>
  <c r="L117" i="2"/>
  <c r="BK116" i="2"/>
  <c r="AI116" i="2"/>
  <c r="L116" i="2"/>
  <c r="BK115" i="2"/>
  <c r="AI115" i="2"/>
  <c r="L115" i="2"/>
  <c r="BK114" i="2"/>
  <c r="AI114" i="2"/>
  <c r="L114" i="2"/>
  <c r="BK113" i="2"/>
  <c r="AI113" i="2"/>
  <c r="L113" i="2"/>
  <c r="BK112" i="2"/>
  <c r="AI112" i="2"/>
  <c r="L112" i="2"/>
  <c r="BK111" i="2"/>
  <c r="AI111" i="2"/>
  <c r="L111" i="2"/>
  <c r="BK110" i="2"/>
  <c r="AI110" i="2"/>
  <c r="L110" i="2"/>
  <c r="BK109" i="2"/>
  <c r="AI109" i="2"/>
  <c r="L109" i="2"/>
  <c r="BK108" i="2"/>
  <c r="AI108" i="2"/>
  <c r="L108" i="2"/>
  <c r="BK107" i="2"/>
  <c r="AI107" i="2"/>
  <c r="L107" i="2"/>
  <c r="BK106" i="2"/>
  <c r="AI106" i="2"/>
  <c r="L106" i="2"/>
  <c r="BK105" i="2"/>
  <c r="AI105" i="2"/>
  <c r="L105" i="2"/>
  <c r="BK104" i="2"/>
  <c r="AI104" i="2"/>
  <c r="L104" i="2"/>
  <c r="BK103" i="2"/>
  <c r="AI103" i="2"/>
  <c r="L103" i="2"/>
  <c r="BK102" i="2"/>
  <c r="AI102" i="2"/>
  <c r="L102" i="2"/>
  <c r="BK101" i="2"/>
  <c r="AI101" i="2"/>
  <c r="L101" i="2"/>
  <c r="BK100" i="2"/>
  <c r="AI100" i="2"/>
  <c r="L100" i="2"/>
  <c r="BK99" i="2"/>
  <c r="AI99" i="2"/>
  <c r="L99" i="2"/>
  <c r="BK61" i="2"/>
  <c r="AI61" i="2"/>
  <c r="BK59" i="2"/>
  <c r="AI59" i="2"/>
  <c r="L33" i="2"/>
  <c r="L32" i="2"/>
  <c r="AI31" i="2"/>
  <c r="L31" i="2"/>
  <c r="AI30" i="2"/>
  <c r="L29" i="2"/>
  <c r="BK28" i="2"/>
  <c r="L28" i="2"/>
  <c r="BK27" i="2"/>
  <c r="L27" i="2"/>
  <c r="BK26" i="2"/>
  <c r="AI26" i="2"/>
  <c r="AI25" i="2"/>
  <c r="BK23" i="2"/>
  <c r="AI23" i="2"/>
  <c r="L23" i="2"/>
  <c r="L22" i="2"/>
  <c r="AI21" i="2"/>
  <c r="L20" i="2"/>
  <c r="BK19" i="2"/>
  <c r="L122" i="1"/>
  <c r="AI24" i="6"/>
  <c r="L21" i="6"/>
  <c r="BK98" i="2"/>
  <c r="AI98" i="2"/>
  <c r="L98" i="2"/>
  <c r="BK97" i="2"/>
  <c r="AI97" i="2"/>
  <c r="L97" i="2"/>
  <c r="BK96" i="2"/>
  <c r="AI96" i="2"/>
  <c r="L96" i="2"/>
  <c r="BK95" i="2"/>
  <c r="AI95" i="2"/>
  <c r="L95" i="2"/>
  <c r="BK94" i="2"/>
  <c r="AI94" i="2"/>
  <c r="L94" i="2"/>
  <c r="BK93" i="2"/>
  <c r="AI93" i="2"/>
  <c r="L93" i="2"/>
  <c r="BK92" i="2"/>
  <c r="AI92" i="2"/>
  <c r="L92" i="2"/>
  <c r="BK91" i="2"/>
  <c r="AI91" i="2"/>
  <c r="L91" i="2"/>
  <c r="BK90" i="2"/>
  <c r="AI90" i="2"/>
  <c r="L90" i="2"/>
  <c r="BK89" i="2"/>
  <c r="AI89" i="2"/>
  <c r="L89" i="2"/>
  <c r="BK88" i="2"/>
  <c r="AI88" i="2"/>
  <c r="L88" i="2"/>
  <c r="BK87" i="2"/>
  <c r="AI87" i="2"/>
  <c r="L87" i="2"/>
  <c r="BK86" i="2"/>
  <c r="AI86" i="2"/>
  <c r="L86" i="2"/>
  <c r="BK85" i="2"/>
  <c r="AI85" i="2"/>
  <c r="L85" i="2"/>
  <c r="BK84" i="2"/>
  <c r="AI84" i="2"/>
  <c r="L84" i="2"/>
  <c r="BK83" i="2"/>
  <c r="AI83" i="2"/>
  <c r="L83" i="2"/>
  <c r="BK82" i="2"/>
  <c r="AI82" i="2"/>
  <c r="L82" i="2"/>
  <c r="BK81" i="2"/>
  <c r="AI81" i="2"/>
  <c r="L81" i="2"/>
  <c r="BK80" i="2"/>
  <c r="AI80" i="2"/>
  <c r="L80" i="2"/>
  <c r="BK79" i="2"/>
  <c r="AI79" i="2"/>
  <c r="L79" i="2"/>
  <c r="BK78" i="2"/>
  <c r="AI78" i="2"/>
  <c r="L78" i="2"/>
  <c r="BK77" i="2"/>
  <c r="AI77" i="2"/>
  <c r="L77" i="2"/>
  <c r="BK76" i="2"/>
  <c r="AI76" i="2"/>
  <c r="L76" i="2"/>
  <c r="BK75" i="2"/>
  <c r="AI75" i="2"/>
  <c r="L75" i="2"/>
  <c r="BK74" i="2"/>
  <c r="AI74" i="2"/>
  <c r="L74" i="2"/>
  <c r="BK73" i="2"/>
  <c r="AI73" i="2"/>
  <c r="L73" i="2"/>
  <c r="BK72" i="2"/>
  <c r="AI72" i="2"/>
  <c r="L72" i="2"/>
  <c r="BK71" i="2"/>
  <c r="AI71" i="2"/>
  <c r="L71" i="2"/>
  <c r="BK70" i="2"/>
  <c r="AI70" i="2"/>
  <c r="L70" i="2"/>
  <c r="BK69" i="2"/>
  <c r="AI69" i="2"/>
  <c r="L69" i="2"/>
  <c r="BK68" i="2"/>
  <c r="AI68" i="2"/>
  <c r="L68" i="2"/>
  <c r="BK67" i="2"/>
  <c r="AI67" i="2"/>
  <c r="L67" i="2"/>
  <c r="BK66" i="2"/>
  <c r="AI66" i="2"/>
  <c r="L66" i="2"/>
  <c r="BK65" i="2"/>
  <c r="AI65" i="2"/>
  <c r="L65" i="2"/>
  <c r="BK64" i="2"/>
  <c r="AI64" i="2"/>
  <c r="L64" i="2"/>
  <c r="BK63" i="2"/>
  <c r="AI63" i="2"/>
  <c r="L63" i="2"/>
  <c r="BK62" i="2"/>
  <c r="AI62" i="2"/>
  <c r="L62" i="2"/>
  <c r="L61" i="2"/>
  <c r="BK60" i="2"/>
  <c r="AI60" i="2"/>
  <c r="L60" i="2"/>
  <c r="AI33" i="2"/>
  <c r="BK32" i="2"/>
  <c r="L30" i="2"/>
  <c r="BK29" i="2"/>
  <c r="AI29" i="2"/>
  <c r="AI28" i="2"/>
  <c r="AI27" i="2"/>
  <c r="L26" i="2"/>
  <c r="BK25" i="2"/>
  <c r="L25" i="2"/>
  <c r="BK24" i="2"/>
  <c r="AI24" i="2"/>
  <c r="L24" i="2"/>
  <c r="BK22" i="2"/>
  <c r="AI22" i="2"/>
  <c r="L21" i="2"/>
  <c r="L18" i="6"/>
  <c r="AI16" i="6"/>
  <c r="BK7" i="6"/>
  <c r="AI7" i="6"/>
  <c r="BK6" i="6"/>
  <c r="AI5" i="6"/>
  <c r="AI4" i="6"/>
  <c r="L59" i="2"/>
  <c r="BK58" i="2"/>
  <c r="AI58" i="2"/>
  <c r="L58" i="2"/>
  <c r="BK57" i="2"/>
  <c r="AI57" i="2"/>
  <c r="L57" i="2"/>
  <c r="BK56" i="2"/>
  <c r="AI56" i="2"/>
  <c r="L56" i="2"/>
  <c r="BK55" i="2"/>
  <c r="AI55" i="2"/>
  <c r="L55" i="2"/>
  <c r="BK54" i="2"/>
  <c r="AI54" i="2"/>
  <c r="L54" i="2"/>
  <c r="BK53" i="2"/>
  <c r="AI53" i="2"/>
  <c r="L53" i="2"/>
  <c r="BK52" i="2"/>
  <c r="AI52" i="2"/>
  <c r="L52" i="2"/>
  <c r="BK51" i="2"/>
  <c r="AI51" i="2"/>
  <c r="L51" i="2"/>
  <c r="BK50" i="2"/>
  <c r="AI50" i="2"/>
  <c r="L50" i="2"/>
  <c r="BK49" i="2"/>
  <c r="AI49" i="2"/>
  <c r="L49" i="2"/>
  <c r="BK48" i="2"/>
  <c r="AI48" i="2"/>
  <c r="L48" i="2"/>
  <c r="BK47" i="2"/>
  <c r="AI47" i="2"/>
  <c r="L47" i="2"/>
  <c r="BK46" i="2"/>
  <c r="AI46" i="2"/>
  <c r="L46" i="2"/>
  <c r="BK45" i="2"/>
  <c r="AI45" i="2"/>
  <c r="L45" i="2"/>
  <c r="BK44" i="2"/>
  <c r="AI44" i="2"/>
  <c r="L44" i="2"/>
  <c r="BK43" i="2"/>
  <c r="AI43" i="2"/>
  <c r="L43" i="2"/>
  <c r="BK42" i="2"/>
  <c r="AI42" i="2"/>
  <c r="L42" i="2"/>
  <c r="BK41" i="2"/>
  <c r="AI41" i="2"/>
  <c r="L41" i="2"/>
  <c r="BK40" i="2"/>
  <c r="AI40" i="2"/>
  <c r="L40" i="2"/>
  <c r="BK39" i="2"/>
  <c r="AI39" i="2"/>
  <c r="L39" i="2"/>
  <c r="BK38" i="2"/>
  <c r="AI38" i="2"/>
  <c r="L38" i="2"/>
  <c r="BK37" i="2"/>
  <c r="AI37" i="2"/>
  <c r="L37" i="2"/>
  <c r="BK36" i="2"/>
  <c r="AI36" i="2"/>
  <c r="L36" i="2"/>
  <c r="BK35" i="2"/>
  <c r="AI35" i="2"/>
  <c r="L35" i="2"/>
  <c r="BK34" i="2"/>
  <c r="AI34" i="2"/>
  <c r="L34" i="2"/>
  <c r="BK33" i="2"/>
  <c r="AI32" i="2"/>
  <c r="BK31" i="2"/>
  <c r="BK30" i="2"/>
  <c r="BK21" i="2"/>
  <c r="BK20" i="2"/>
  <c r="AI20" i="2"/>
  <c r="AI122" i="1"/>
  <c r="BK22" i="6"/>
  <c r="L20" i="6"/>
  <c r="AI18" i="6"/>
  <c r="L14" i="6"/>
  <c r="BK13" i="6"/>
  <c r="BK12" i="6"/>
  <c r="L11" i="6"/>
  <c r="L46" i="3"/>
  <c r="L7" i="3"/>
  <c r="AI19" i="2"/>
  <c r="L19" i="2"/>
  <c r="BK18" i="2"/>
  <c r="AI18" i="2"/>
  <c r="L18" i="2"/>
  <c r="BK17" i="2"/>
  <c r="AI17" i="2"/>
  <c r="L17" i="2"/>
  <c r="BK16" i="2"/>
  <c r="AI16" i="2"/>
  <c r="L16" i="2"/>
  <c r="BK15" i="2"/>
  <c r="AI15" i="2"/>
  <c r="L15" i="2"/>
  <c r="BK14" i="2"/>
  <c r="AI14" i="2"/>
  <c r="L14" i="2"/>
  <c r="BK13" i="2"/>
  <c r="AI13" i="2"/>
  <c r="L13" i="2"/>
  <c r="BK12" i="2"/>
  <c r="AI12" i="2"/>
  <c r="L12" i="2"/>
  <c r="BK11" i="2"/>
  <c r="AI11" i="2"/>
  <c r="L11" i="2"/>
  <c r="BK10" i="2"/>
  <c r="AI10" i="2"/>
  <c r="L10" i="2"/>
  <c r="BK9" i="2"/>
  <c r="AI9" i="2"/>
  <c r="L9" i="2"/>
  <c r="BK8" i="2"/>
  <c r="AI8" i="2"/>
  <c r="L8" i="2"/>
  <c r="BK7" i="2"/>
  <c r="AI7" i="2"/>
  <c r="L7" i="2"/>
  <c r="BK6" i="2"/>
  <c r="AI6" i="2"/>
  <c r="L6" i="2"/>
  <c r="BK5" i="2"/>
  <c r="AI5" i="2"/>
  <c r="L5" i="2"/>
  <c r="BK4" i="2"/>
  <c r="AI4" i="2"/>
  <c r="L4" i="2"/>
  <c r="BK3" i="2"/>
  <c r="AI3" i="2"/>
  <c r="L3" i="2"/>
  <c r="BK144" i="1"/>
  <c r="AI144" i="1"/>
  <c r="L144" i="1"/>
  <c r="BK143" i="1"/>
  <c r="AI143" i="1"/>
  <c r="L143" i="1"/>
  <c r="BK142" i="1"/>
  <c r="AI142" i="1"/>
  <c r="L142" i="1"/>
  <c r="BK141" i="1"/>
  <c r="AI141" i="1"/>
  <c r="L141" i="1"/>
  <c r="BK140" i="1"/>
  <c r="AI140" i="1"/>
  <c r="L140" i="1"/>
  <c r="BK139" i="1"/>
  <c r="AI139" i="1"/>
  <c r="L139" i="1"/>
  <c r="BK138" i="1"/>
  <c r="AI138" i="1"/>
  <c r="L138" i="1"/>
  <c r="BK137" i="1"/>
  <c r="AI137" i="1"/>
  <c r="L137" i="1"/>
  <c r="BK136" i="1"/>
  <c r="AI136" i="1"/>
  <c r="L136" i="1"/>
  <c r="BK135" i="1"/>
  <c r="AI135" i="1"/>
  <c r="L135" i="1"/>
  <c r="BK134" i="1"/>
  <c r="AI134" i="1"/>
  <c r="L134" i="1"/>
  <c r="BK133" i="1"/>
  <c r="AI133" i="1"/>
  <c r="L133" i="1"/>
  <c r="BK132" i="1"/>
  <c r="AI132" i="1"/>
  <c r="L132" i="1"/>
  <c r="BK131" i="1"/>
  <c r="AI131" i="1"/>
  <c r="L131" i="1"/>
  <c r="BK130" i="1"/>
  <c r="AI130" i="1"/>
  <c r="L130" i="1"/>
  <c r="BK129" i="1"/>
  <c r="AI129" i="1"/>
  <c r="L129" i="1"/>
  <c r="BK128" i="1"/>
  <c r="AI128" i="1"/>
  <c r="L128" i="1"/>
  <c r="BK127" i="1"/>
  <c r="AI127" i="1"/>
  <c r="L127" i="1"/>
  <c r="BK126" i="1"/>
  <c r="AI126" i="1"/>
  <c r="L126" i="1"/>
  <c r="BK125" i="1"/>
  <c r="AI125" i="1"/>
  <c r="L125" i="1"/>
  <c r="BK124" i="1"/>
  <c r="AI124" i="1"/>
  <c r="L124" i="1"/>
  <c r="BK123" i="1"/>
  <c r="AI123" i="1"/>
  <c r="L123" i="1"/>
  <c r="BK122" i="1"/>
  <c r="AI19" i="6"/>
  <c r="BK17" i="6"/>
  <c r="L15" i="6"/>
  <c r="AI13" i="6"/>
  <c r="AI12" i="6"/>
  <c r="BK10" i="6"/>
  <c r="L10" i="6"/>
  <c r="L9" i="6"/>
  <c r="AI8" i="6"/>
  <c r="L7" i="6"/>
  <c r="AI13" i="5"/>
  <c r="BK121" i="1"/>
  <c r="AI121" i="1"/>
  <c r="L121" i="1"/>
  <c r="BK120" i="1"/>
  <c r="AI120" i="1"/>
  <c r="L120" i="1"/>
  <c r="BK119" i="1"/>
  <c r="AI119" i="1"/>
  <c r="L119" i="1"/>
  <c r="BK118" i="1"/>
  <c r="AI118" i="1"/>
  <c r="L118" i="1"/>
  <c r="BK117" i="1"/>
  <c r="AI117" i="1"/>
  <c r="L117" i="1"/>
  <c r="BK116" i="1"/>
  <c r="AI116" i="1"/>
  <c r="L116" i="1"/>
  <c r="BK115" i="1"/>
  <c r="AI115" i="1"/>
  <c r="L115" i="1"/>
  <c r="BK114" i="1"/>
  <c r="AI114" i="1"/>
  <c r="L114" i="1"/>
  <c r="BK113" i="1"/>
  <c r="AI113" i="1"/>
  <c r="L113" i="1"/>
  <c r="BK112" i="1"/>
  <c r="AI112" i="1"/>
  <c r="L112" i="1"/>
  <c r="BK111" i="1"/>
  <c r="AI111" i="1"/>
  <c r="L111" i="1"/>
  <c r="BK110" i="1"/>
  <c r="AI110" i="1"/>
  <c r="L110" i="1"/>
  <c r="BK109" i="1"/>
  <c r="AI109" i="1"/>
  <c r="L109" i="1"/>
  <c r="BK108" i="1"/>
  <c r="AI108" i="1"/>
  <c r="L108" i="1"/>
  <c r="BK107" i="1"/>
  <c r="AI107" i="1"/>
  <c r="L107" i="1"/>
  <c r="BK106" i="1"/>
  <c r="AI106" i="1"/>
  <c r="L106" i="1"/>
  <c r="BK105" i="1"/>
  <c r="AI105" i="1"/>
  <c r="L105" i="1"/>
  <c r="BK104" i="1"/>
  <c r="AI104" i="1"/>
  <c r="L104" i="1"/>
  <c r="BK103" i="1"/>
  <c r="AI103" i="1"/>
  <c r="L103" i="1"/>
  <c r="BK102" i="1"/>
  <c r="AI102" i="1"/>
  <c r="L102" i="1"/>
  <c r="BK101" i="1"/>
  <c r="AI101" i="1"/>
  <c r="L101" i="1"/>
  <c r="BK100" i="1"/>
  <c r="AI100" i="1"/>
  <c r="L100" i="1"/>
  <c r="BK99" i="1"/>
  <c r="AI99" i="1"/>
  <c r="L99" i="1"/>
  <c r="BK98" i="1"/>
  <c r="AI98" i="1"/>
  <c r="L98" i="1"/>
  <c r="BK97" i="1"/>
  <c r="AI97" i="1"/>
  <c r="L97" i="1"/>
  <c r="BK96" i="1"/>
  <c r="AI96" i="1"/>
  <c r="L96" i="1"/>
  <c r="BK95" i="1"/>
  <c r="AI95" i="1"/>
  <c r="L95" i="1"/>
  <c r="BK94" i="1"/>
  <c r="AI94" i="1"/>
  <c r="L94" i="1"/>
  <c r="BK93" i="1"/>
  <c r="AI93" i="1"/>
  <c r="L93" i="1"/>
  <c r="BK92" i="1"/>
  <c r="AI92" i="1"/>
  <c r="L92" i="1"/>
  <c r="BK91" i="1"/>
  <c r="AI91" i="1"/>
  <c r="L91" i="1"/>
  <c r="BK90" i="1"/>
  <c r="AI90" i="1"/>
  <c r="L90" i="1"/>
  <c r="BK89" i="1"/>
  <c r="AI89" i="1"/>
  <c r="L89" i="1"/>
  <c r="BK88" i="1"/>
  <c r="AI88" i="1"/>
  <c r="L88" i="1"/>
  <c r="BK87" i="1"/>
  <c r="AI87" i="1"/>
  <c r="L87" i="1"/>
  <c r="BK86" i="1"/>
  <c r="AI86" i="1"/>
  <c r="L86" i="1"/>
  <c r="BK85" i="1"/>
  <c r="AI85" i="1"/>
  <c r="L85" i="1"/>
  <c r="BK84" i="1"/>
  <c r="AI84" i="1"/>
  <c r="L84" i="1"/>
  <c r="BK83" i="1"/>
  <c r="AI83" i="1"/>
  <c r="L83" i="1"/>
  <c r="BK82" i="1"/>
  <c r="AI82" i="1"/>
  <c r="AI22" i="6"/>
  <c r="BK21" i="6"/>
  <c r="AI15" i="6"/>
  <c r="BK13" i="5"/>
  <c r="L12" i="5"/>
  <c r="AI10" i="5"/>
  <c r="L10" i="5"/>
  <c r="BK46" i="3"/>
  <c r="L9" i="3"/>
  <c r="BK6" i="3"/>
  <c r="L82" i="1"/>
  <c r="BK81" i="1"/>
  <c r="AI81" i="1"/>
  <c r="L81" i="1"/>
  <c r="BK80" i="1"/>
  <c r="AI80" i="1"/>
  <c r="L80" i="1"/>
  <c r="BK79" i="1"/>
  <c r="AI79" i="1"/>
  <c r="L79" i="1"/>
  <c r="BK78" i="1"/>
  <c r="AI78" i="1"/>
  <c r="L78" i="1"/>
  <c r="BK77" i="1"/>
  <c r="AI77" i="1"/>
  <c r="L77" i="1"/>
  <c r="BK76" i="1"/>
  <c r="AI76" i="1"/>
  <c r="L76" i="1"/>
  <c r="BK75" i="1"/>
  <c r="AI75" i="1"/>
  <c r="L75" i="1"/>
  <c r="BK74" i="1"/>
  <c r="AI74" i="1"/>
  <c r="L74" i="1"/>
  <c r="BK73" i="1"/>
  <c r="AI73" i="1"/>
  <c r="L73" i="1"/>
  <c r="BK72" i="1"/>
  <c r="AI72" i="1"/>
  <c r="L72" i="1"/>
  <c r="BK71" i="1"/>
  <c r="AI71" i="1"/>
  <c r="L71" i="1"/>
  <c r="BK70" i="1"/>
  <c r="AI70" i="1"/>
  <c r="L70" i="1"/>
  <c r="BK69" i="1"/>
  <c r="AI69" i="1"/>
  <c r="L69" i="1"/>
  <c r="BK68" i="1"/>
  <c r="AI68" i="1"/>
  <c r="L68" i="1"/>
  <c r="BK67" i="1"/>
  <c r="AI67" i="1"/>
  <c r="L67" i="1"/>
  <c r="BK66" i="1"/>
  <c r="AI66" i="1"/>
  <c r="L66" i="1"/>
  <c r="BK65" i="1"/>
  <c r="AI65" i="1"/>
  <c r="L65" i="1"/>
  <c r="BK64" i="1"/>
  <c r="AI64" i="1"/>
  <c r="L64" i="1"/>
  <c r="BK63" i="1"/>
  <c r="AI63" i="1"/>
  <c r="L63" i="1"/>
  <c r="BK62" i="1"/>
  <c r="AI62" i="1"/>
  <c r="L62" i="1"/>
  <c r="BK61" i="1"/>
  <c r="AI61" i="1"/>
  <c r="L61" i="1"/>
  <c r="BK60" i="1"/>
  <c r="AI60" i="1"/>
  <c r="L60" i="1"/>
  <c r="BK59" i="1"/>
  <c r="AI59" i="1"/>
  <c r="L59" i="1"/>
  <c r="BK58" i="1"/>
  <c r="AI58" i="1"/>
  <c r="L58" i="1"/>
  <c r="BK57" i="1"/>
  <c r="AI57" i="1"/>
  <c r="L57" i="1"/>
  <c r="BK56" i="1"/>
  <c r="AI56" i="1"/>
  <c r="L56" i="1"/>
  <c r="BK55" i="1"/>
  <c r="AI55" i="1"/>
  <c r="L55" i="1"/>
  <c r="BK54" i="1"/>
  <c r="AI54" i="1"/>
  <c r="L54" i="1"/>
  <c r="BK53" i="1"/>
  <c r="AI53" i="1"/>
  <c r="L53" i="1"/>
  <c r="BK52" i="1"/>
  <c r="AI52" i="1"/>
  <c r="L52" i="1"/>
  <c r="BK51" i="1"/>
  <c r="AI51" i="1"/>
  <c r="L51" i="1"/>
  <c r="BK50" i="1"/>
  <c r="AI50" i="1"/>
  <c r="L50" i="1"/>
  <c r="BK49" i="1"/>
  <c r="AI49" i="1"/>
  <c r="L49" i="1"/>
  <c r="BK48" i="1"/>
  <c r="AI48" i="1"/>
  <c r="L48" i="1"/>
  <c r="BK47" i="1"/>
  <c r="AI47" i="1"/>
  <c r="L47" i="1"/>
  <c r="BK46" i="1"/>
  <c r="AI46" i="1"/>
  <c r="L46" i="1"/>
  <c r="BK45" i="1"/>
  <c r="AI45" i="1"/>
  <c r="L45" i="1"/>
  <c r="BK44" i="1"/>
  <c r="AI44" i="1"/>
  <c r="L44" i="1"/>
  <c r="BK43" i="1"/>
  <c r="AI43" i="1"/>
  <c r="L43" i="1"/>
  <c r="BK42" i="1"/>
  <c r="AI14" i="7"/>
  <c r="L14" i="7"/>
  <c r="AI13" i="7"/>
  <c r="AI10" i="7"/>
  <c r="BK9" i="7"/>
  <c r="L9" i="7"/>
  <c r="BK7" i="7"/>
  <c r="L5" i="7"/>
  <c r="AI4" i="7"/>
  <c r="BK28" i="6"/>
  <c r="BK27" i="6"/>
  <c r="L26" i="6"/>
  <c r="L24" i="6"/>
  <c r="BK23" i="6"/>
  <c r="AI23" i="6"/>
  <c r="AI21" i="6"/>
  <c r="BK16" i="6"/>
  <c r="BK45" i="3"/>
  <c r="AI45" i="3"/>
  <c r="L8" i="3"/>
  <c r="BK7" i="3"/>
  <c r="BK5" i="3"/>
  <c r="AI42" i="1"/>
  <c r="L42" i="1"/>
  <c r="BK41" i="1"/>
  <c r="AI41" i="1"/>
  <c r="L41" i="1"/>
  <c r="BK40" i="1"/>
  <c r="AI40" i="1"/>
  <c r="L40" i="1"/>
  <c r="BK39" i="1"/>
  <c r="AI39" i="1"/>
  <c r="L39" i="1"/>
  <c r="BK38" i="1"/>
  <c r="AI38" i="1"/>
  <c r="L38" i="1"/>
  <c r="BK37" i="1"/>
  <c r="AI37" i="1"/>
  <c r="L37" i="1"/>
  <c r="BK36" i="1"/>
  <c r="AI36" i="1"/>
  <c r="L36" i="1"/>
  <c r="BK35" i="1"/>
  <c r="AI35" i="1"/>
  <c r="L35" i="1"/>
  <c r="BK34" i="1"/>
  <c r="AI34" i="1"/>
  <c r="L34" i="1"/>
  <c r="BK33" i="1"/>
  <c r="AI33" i="1"/>
  <c r="L33" i="1"/>
  <c r="BK32" i="1"/>
  <c r="AI32" i="1"/>
  <c r="L32" i="1"/>
  <c r="BK31" i="1"/>
  <c r="AI31" i="1"/>
  <c r="L31" i="1"/>
  <c r="BK30" i="1"/>
  <c r="AI30" i="1"/>
  <c r="L30" i="1"/>
  <c r="BK29" i="1"/>
  <c r="AI29" i="1"/>
  <c r="L29" i="1"/>
  <c r="BK28" i="1"/>
  <c r="AI28" i="1"/>
  <c r="L28" i="1"/>
  <c r="BK27" i="1"/>
  <c r="AI27" i="1"/>
  <c r="L27" i="1"/>
  <c r="BK26" i="1"/>
  <c r="AI26" i="1"/>
  <c r="L26" i="1"/>
  <c r="BK25" i="1"/>
  <c r="AI25" i="1"/>
  <c r="L25" i="1"/>
  <c r="BK24" i="1"/>
  <c r="AI24" i="1"/>
  <c r="L24" i="1"/>
  <c r="BK23" i="1"/>
  <c r="AI23" i="1"/>
  <c r="L23" i="1"/>
  <c r="BK22" i="1"/>
  <c r="AI22" i="1"/>
  <c r="L22" i="1"/>
  <c r="BK21" i="1"/>
  <c r="AI21" i="1"/>
  <c r="L21" i="1"/>
  <c r="BK20" i="1"/>
  <c r="AI20" i="1"/>
  <c r="L20" i="1"/>
  <c r="BK19" i="1"/>
  <c r="AI19" i="1"/>
  <c r="L19" i="1"/>
  <c r="BK18" i="1"/>
  <c r="AI18" i="1"/>
  <c r="L18" i="1"/>
  <c r="BK17" i="1"/>
  <c r="AI17" i="1"/>
  <c r="L17" i="1"/>
  <c r="BK16" i="1"/>
  <c r="AI16" i="1"/>
  <c r="L16" i="1"/>
  <c r="BK15" i="1"/>
  <c r="AI15" i="1"/>
  <c r="L15" i="1"/>
  <c r="BK14" i="1"/>
  <c r="AI14" i="1"/>
  <c r="L14" i="1"/>
  <c r="BK13" i="1"/>
  <c r="AI13" i="1"/>
  <c r="L13" i="1"/>
  <c r="BK12" i="1"/>
  <c r="AI12" i="1"/>
  <c r="L12" i="1"/>
  <c r="BK11" i="1"/>
  <c r="AI11" i="1"/>
  <c r="L11" i="1"/>
  <c r="BK10" i="1"/>
  <c r="AI10" i="1"/>
  <c r="L10" i="1"/>
  <c r="BK9" i="1"/>
  <c r="AI9" i="1"/>
  <c r="L9" i="1"/>
  <c r="BK8" i="1"/>
  <c r="AI8" i="1"/>
  <c r="L8" i="1"/>
  <c r="BK7" i="1"/>
  <c r="AI7" i="1"/>
  <c r="L7" i="1"/>
  <c r="BK6" i="1"/>
  <c r="AI6" i="1"/>
  <c r="L6" i="1"/>
  <c r="BK5" i="1"/>
  <c r="AI5" i="1"/>
  <c r="L5" i="1"/>
  <c r="BK4" i="1"/>
  <c r="AI4" i="1"/>
  <c r="L4" i="1"/>
  <c r="BK3" i="1"/>
  <c r="AI3" i="1"/>
  <c r="L3" i="1"/>
  <c r="BK14" i="7"/>
  <c r="BK13" i="7"/>
  <c r="L12" i="7"/>
  <c r="BK10" i="7"/>
  <c r="L10" i="7"/>
  <c r="AI8" i="7"/>
  <c r="AI7" i="7"/>
  <c r="BK6" i="7"/>
  <c r="AI6" i="7"/>
  <c r="L6" i="7"/>
  <c r="BK5" i="7"/>
  <c r="BK4" i="7"/>
  <c r="BK3" i="7"/>
  <c r="AI3" i="7"/>
  <c r="L3" i="7"/>
  <c r="AI27" i="6"/>
  <c r="AI20" i="6"/>
  <c r="L19" i="6"/>
  <c r="BK15" i="6"/>
  <c r="AM54" i="9" l="1"/>
  <c r="AF54" i="9"/>
  <c r="O54" i="9"/>
  <c r="BT54" i="9"/>
  <c r="BP54" i="9"/>
  <c r="BI54" i="9"/>
  <c r="BG54" i="9"/>
  <c r="BU54" i="9"/>
  <c r="BS54" i="9"/>
  <c r="BR54" i="9"/>
  <c r="BQ54" i="9"/>
  <c r="BJ54" i="9"/>
  <c r="BH54" i="9"/>
  <c r="BF54" i="9"/>
</calcChain>
</file>

<file path=xl/sharedStrings.xml><?xml version="1.0" encoding="utf-8"?>
<sst xmlns="http://schemas.openxmlformats.org/spreadsheetml/2006/main" count="8860" uniqueCount="822">
  <si>
    <t>Finished</t>
  </si>
  <si>
    <t>RecordedDate</t>
  </si>
  <si>
    <t>ResponseId</t>
  </si>
  <si>
    <t>Q5</t>
  </si>
  <si>
    <t>Game Enthusiast or Collector</t>
  </si>
  <si>
    <t>Game Historian or Researcher (E.g., Community, Journalist, or Independent)</t>
  </si>
  <si>
    <t>Game Historian or Researcher (E.g., Industry, Academic)</t>
  </si>
  <si>
    <t>Game Industry (Non-Indie or Solo-dev)</t>
  </si>
  <si>
    <t>Game Industry (Indie, Solo-dev)</t>
  </si>
  <si>
    <t>Game Education (Instructor, Student)</t>
  </si>
  <si>
    <t>Cultural Heritage Institutions (E.g., Libraries, Archives, or Museums)</t>
  </si>
  <si>
    <t>HAT SCORE</t>
  </si>
  <si>
    <t>Q5_8_TEXT</t>
  </si>
  <si>
    <t>Q1</t>
  </si>
  <si>
    <t>The digital library portal</t>
  </si>
  <si>
    <t>Game preservation advocacy</t>
  </si>
  <si>
    <t>Prototype and source code recovery</t>
  </si>
  <si>
    <t>Published research (YouTube, blog posts)</t>
  </si>
  <si>
    <t>VGHF presence at game events (E.g., pop-up museum, panels)</t>
  </si>
  <si>
    <t>Game industry partnerships (E.g., working on commercial games)</t>
  </si>
  <si>
    <t>Q1_7_TEXT</t>
  </si>
  <si>
    <t>Q39</t>
  </si>
  <si>
    <t>Recently</t>
  </si>
  <si>
    <t>Last Year</t>
  </si>
  <si>
    <t>2-3 Years Ago</t>
  </si>
  <si>
    <t>4-6 Years Ago</t>
  </si>
  <si>
    <t>Longer Than 6 Years</t>
  </si>
  <si>
    <t>Q2</t>
  </si>
  <si>
    <t>Bluesky</t>
  </si>
  <si>
    <t>Discord</t>
  </si>
  <si>
    <t>Instagram</t>
  </si>
  <si>
    <t>Email</t>
  </si>
  <si>
    <t>Patreon</t>
  </si>
  <si>
    <t>Youtube</t>
  </si>
  <si>
    <t>Ball-Knowers</t>
  </si>
  <si>
    <t>Q2_6_TEXT</t>
  </si>
  <si>
    <t>Q3</t>
  </si>
  <si>
    <t>Oral histories (E.g., interviews)</t>
  </si>
  <si>
    <t>Mass print materials (E.g., magazines, art, or flyers)</t>
  </si>
  <si>
    <t>Web materials (E.g., websites, game reviews)</t>
  </si>
  <si>
    <t>Development materials (E.g., design documents, concept art, or memos)</t>
  </si>
  <si>
    <t>Non-development materials (E.g., merchandise)</t>
  </si>
  <si>
    <t>Video game prototypes</t>
  </si>
  <si>
    <t>Hardware (E.g., controllers, consoles)</t>
  </si>
  <si>
    <t>Retail video games</t>
  </si>
  <si>
    <t>Q3_9_TEXT</t>
  </si>
  <si>
    <t>Q4</t>
  </si>
  <si>
    <t>No</t>
  </si>
  <si>
    <t>Yes</t>
  </si>
  <si>
    <t>Unsure</t>
  </si>
  <si>
    <t>Q6</t>
  </si>
  <si>
    <t>Q7</t>
  </si>
  <si>
    <t>Q8</t>
  </si>
  <si>
    <t>Fact-checking claims</t>
  </si>
  <si>
    <t>To answer questions about games history</t>
  </si>
  <si>
    <t>Find primary source information (such as original sale prices of videogame products)</t>
  </si>
  <si>
    <t>Research historical games cultures</t>
  </si>
  <si>
    <t>Find information on specific games</t>
  </si>
  <si>
    <t>Share cultural artifacts with others</t>
  </si>
  <si>
    <t>Academic research</t>
  </si>
  <si>
    <t>Educational usage</t>
  </si>
  <si>
    <t>Personal enjoyment</t>
  </si>
  <si>
    <t>Busy Bees</t>
  </si>
  <si>
    <t>Q8_10_TEXT</t>
  </si>
  <si>
    <t>Q9</t>
  </si>
  <si>
    <t>Q11</t>
  </si>
  <si>
    <t>Improved tagging and metadata</t>
  </si>
  <si>
    <t>Stronger advanced search options</t>
  </si>
  <si>
    <t>Deeper document descriptions</t>
  </si>
  <si>
    <t>Connections to related objects</t>
  </si>
  <si>
    <t>Showing previously viewed documents</t>
  </si>
  <si>
    <t>Additional materials</t>
  </si>
  <si>
    <t>I am satisfied with my experience</t>
  </si>
  <si>
    <t>Q11_7_TEXT</t>
  </si>
  <si>
    <t>Q14</t>
  </si>
  <si>
    <t>Q14_5_TEXT</t>
  </si>
  <si>
    <t>Q16</t>
  </si>
  <si>
    <t>Q15</t>
  </si>
  <si>
    <t>Q15_5_TEXT</t>
  </si>
  <si>
    <t>Q19</t>
  </si>
  <si>
    <t>Q20</t>
  </si>
  <si>
    <t>Q21</t>
  </si>
  <si>
    <t>Q21_5_TEXT</t>
  </si>
  <si>
    <t>Q22</t>
  </si>
  <si>
    <t>Q23</t>
  </si>
  <si>
    <t>Q26</t>
  </si>
  <si>
    <t>Q27</t>
  </si>
  <si>
    <t>Q28</t>
  </si>
  <si>
    <t>Q28_8_TEXT</t>
  </si>
  <si>
    <t>Q29</t>
  </si>
  <si>
    <t>Q31</t>
  </si>
  <si>
    <t>Q33</t>
  </si>
  <si>
    <t>Q33_7_TEXT</t>
  </si>
  <si>
    <t>Q34</t>
  </si>
  <si>
    <t>Q35</t>
  </si>
  <si>
    <t>Q40</t>
  </si>
  <si>
    <t>Q40_8_TEXT</t>
  </si>
  <si>
    <t>Q41</t>
  </si>
  <si>
    <t>Q42</t>
  </si>
  <si>
    <t>Q42_8_TEXT</t>
  </si>
  <si>
    <t>Q47</t>
  </si>
  <si>
    <t>Q45</t>
  </si>
  <si>
    <t>Q45_6_TEXT</t>
  </si>
  <si>
    <t>Q46</t>
  </si>
  <si>
    <t>Q46_8_TEXT</t>
  </si>
  <si>
    <t>Q48</t>
  </si>
  <si>
    <t>Q54</t>
  </si>
  <si>
    <t>Recorded Date</t>
  </si>
  <si>
    <t>Response ID</t>
  </si>
  <si>
    <t>Which of the following games preservation perspectives do you identify with? - Selected Choice</t>
  </si>
  <si>
    <t>Which of the following games preservation perspectives do you identify with? - Other - Text</t>
  </si>
  <si>
    <t>What types of VGHF projects are you most interested in? - Selected Choice</t>
  </si>
  <si>
    <t>What types of VGHF projects are you most interested in? - Other - Text</t>
  </si>
  <si>
    <t>About how long ago did you hear about the VGHF?</t>
  </si>
  <si>
    <t>Where do you obtain information regarding the activities of the VGHF? - Selected Choice</t>
  </si>
  <si>
    <t>Where do you obtain information regarding the activities of the VGHF? - Other - Text</t>
  </si>
  <si>
    <t>Which of the following digital game preservation formats do you most associate with the VGHF? (Note: some of the following options are extremely uncommon or non-existent in the VGHF collection) - Selected Choice</t>
  </si>
  <si>
    <t>Which of the following digital game preservation formats do you most associate with the VGHF? (Note: some of the following options are extremely uncommon or non-existent in the VGHF collection) - Other - Text</t>
  </si>
  <si>
    <t>Have you ever donated to the VGHF before? (E.g., Patreon, direct donation, Humble Bundle, associated fundraisers)</t>
  </si>
  <si>
    <t>Have you ever utilized the VGHF digital library?</t>
  </si>
  <si>
    <t>Did you know before today that the VGHF provides a free digital library anyone can use to examine rare historical and consumer documents from our library's collection?</t>
  </si>
  <si>
    <t>How do the materials hosted by the VGHF Digital Library benefit you and/or your work? - Selected Choice</t>
  </si>
  <si>
    <t>How do the materials hosted by the VGHF Digital Library benefit you and/or your work? - Other - Text</t>
  </si>
  <si>
    <t>How did discoverability features in the Digital Library support your experience? When you used the Digital Library how well did our discoverability features address your needs?</t>
  </si>
  <si>
    <t>What would you improve to increase usability of the collection and better address users needs? - Selected Choice</t>
  </si>
  <si>
    <t>What would you improve to increase usability of the collection and better address users needs? - Other (Please describe) - Text</t>
  </si>
  <si>
    <t>Which parts of our community outreach have you interacted with? - Selected Choice</t>
  </si>
  <si>
    <t>Which parts of our community outreach have you interacted with? - Other - Text</t>
  </si>
  <si>
    <t>(Optional) Which VGHF activities or content are you the most excited for?</t>
  </si>
  <si>
    <t>Are there parts of our community would you like to see more emphasized? - Selected Choice</t>
  </si>
  <si>
    <t>Are there parts of our community would you like to see more emphasized? - Other - Text</t>
  </si>
  <si>
    <t>Are there preservation policies for game related materials/artifacts at the company you work/worked for?</t>
  </si>
  <si>
    <t>Is there a dedicated individual/team to perform this work?</t>
  </si>
  <si>
    <t>How are the materials in your archive or Content Management System (CMS) utilized? - Selected Choice</t>
  </si>
  <si>
    <t>How are the materials in your archive or Content Management System (CMS) utilized? - Other - Text</t>
  </si>
  <si>
    <t>How concerned are you with preserving your game related work?</t>
  </si>
  <si>
    <t>In your opinion, how much effort is being put into preserving game-related materials at your company?</t>
  </si>
  <si>
    <t>Which of the following preservation-related operations or tasks have you done with your own work?</t>
  </si>
  <si>
    <t>What file formats are most important to you and your work? List up to six file formats (.cs, .asset, .wav, .png, .fbx etc.)</t>
  </si>
  <si>
    <t>(Optional) Please select the releases/build versions that you feel are important to preserve: - Selected Choice</t>
  </si>
  <si>
    <t>(Optional) Please select the releases/build versions that you feel are important to preserve: - Other - Text</t>
  </si>
  <si>
    <t>To the best of your knowledge, what would the minimum storage requirements be for archiving materials that are relevant to your work?</t>
  </si>
  <si>
    <t>Does your institution currently collect digital games and/or game-related materials?</t>
  </si>
  <si>
    <t>What types of materials are a part of your collection or collection development policy? - Selected Choice</t>
  </si>
  <si>
    <t>What types of materials are a part of your collection or collection development policy? - Other - Text</t>
  </si>
  <si>
    <t>What type(s) of digital game metadata do you find important important to capture for your collection?</t>
  </si>
  <si>
    <t>Have there been requests for digital games and/or related materials at your institution?</t>
  </si>
  <si>
    <t>What types of videogame materials are important for your work with contributing to Games Education? - Selected Choice</t>
  </si>
  <si>
    <t>What types of videogame materials are important for your work with contributing to Games Education? - Other - Text</t>
  </si>
  <si>
    <t>Please describe the ways that you use videogame materials within your work in education. Especially any ways you find particularly interesting in how you use materials that you selected in the question above.</t>
  </si>
  <si>
    <t>What types of videogame materials are important for your work contributing to games research? - Selected Choice</t>
  </si>
  <si>
    <t>What types of videogame materials are important for your work contributing to games research? - Other - Text</t>
  </si>
  <si>
    <t>Please describe the ways that you use videogame materials within your research. Especially any methods or uses that you find particularly interesting related to your selections in the question above.</t>
  </si>
  <si>
    <t>Which of the following online databases or archives do you use for your research? - Selected Choice</t>
  </si>
  <si>
    <t>Which of the following online databases or archives do you use for your research? - Other - Text</t>
  </si>
  <si>
    <t>What types of videogame materials are important for your work contributing to game research? - Selected Choice</t>
  </si>
  <si>
    <t>What types of videogame materials are important for your work contributing to game research? - Other - Text</t>
  </si>
  <si>
    <t>And finally, our community is dying to know: Bubsy or Gex</t>
  </si>
  <si>
    <t>R_6bP56beGvUqCEX9</t>
  </si>
  <si>
    <t>Game Enthusiast or Collector,Game Industry (Indie, Solo-dev),Game Education (Instructor, Student)</t>
  </si>
  <si>
    <t>The digital library portal,Game preservation advocacy (Legislative, industry, and community),Prototype and source code recovery,Published research (YouTube, blog posts),VGHF presence at game events (E.g., pop-up museum, panels),Game industry partnerships (E.g., working on commercial games),Other</t>
  </si>
  <si>
    <t>A physical mailer that highlights the work of VGHF</t>
  </si>
  <si>
    <t>Bluesky,Discord,Other</t>
  </si>
  <si>
    <t>VGHF website</t>
  </si>
  <si>
    <t>Mass print materials (E.g., magazines, art, or flyers),Development materials (E.g., design documents, concept art, or memos),Video game prototypes,Hardware (E.g., controllers, consoles)</t>
  </si>
  <si>
    <t>Fact-checking claims,To answer questions about games history,Find primary source information (such as original sale prices of videogame products),Research historical games cultures,Find information on specific games,Share cultural artifacts with others,Academic research,Educational usage,Personal enjoyment</t>
  </si>
  <si>
    <t>Moderately well</t>
  </si>
  <si>
    <t>Improved tagging and metadata,Stronger advanced search options,Connections to related objects,Showing previously viewed documents,Additional materials,Other (Please describe)</t>
  </si>
  <si>
    <t>Additional filter options when searching</t>
  </si>
  <si>
    <t>Social media (E.g., YouTube, Bluesky),Conventions (Panels, pop-up museum)</t>
  </si>
  <si>
    <t>All of it! I would love to work with VGHF in some capacity. Seeing the recent update about creating a new fundraiser position gives me hope that there may one day be a need for a data scientist.</t>
  </si>
  <si>
    <t>Patreon Rewards (E.g., Discord, monthly call with Frank),Social Media,Podcast,Conventions,Other</t>
  </si>
  <si>
    <t>All of it</t>
  </si>
  <si>
    <t>Organizing files into folders for future use,Labeling work with dates to prepare for storage,Condensing builds for storage (e.g, ZIP, 7z),Condensing assets for storage,Uploading to a cloud storage solution,Backing up builds or assets on a separate drive,Adding resource comments to your folders (Example: README.txt)</t>
  </si>
  <si>
    <t>.md, .gltf, .gd, .uproject, .wav, .png</t>
  </si>
  <si>
    <t>Prototype,Beta,Demo,Release,1-Week post-release patch,1-Month post release,Final Version,Other</t>
  </si>
  <si>
    <t>Preserving every version is important</t>
  </si>
  <si>
    <t>50GB+</t>
  </si>
  <si>
    <t>Software (Digital),Software (Physical),Hardware components (consoles or computing devices),Videogame accessories (controllers or peripherals),Production information &amp; metadata,Usage or player information data (e.g., statistics, scores, lets plays),Historical production documentation</t>
  </si>
  <si>
    <t>I am not a formal educator (yet), but my partner is. We have had numerous conversations about the use of videogames in education. The modern capabilities of photo modes within games to teach artistic concepts is extremely valuable. Photo modes can be used to simulate lighting, composition, posing, framing, and a variety of other topics in the field of photography. Games like Kerbal Space Program can give physics and engineering students a sandbox to play in to develop their understanding of dynamic systems. There are many more examples, but I do not want to exceed any character limit in this text field.</t>
  </si>
  <si>
    <t>Gex 🕶️</t>
  </si>
  <si>
    <t>R_1mfaeOyTRg9daTs</t>
  </si>
  <si>
    <t>The digital library portal,VGHF presence at game events (E.g., pop-up museum, panels)</t>
  </si>
  <si>
    <t>Other</t>
  </si>
  <si>
    <t>google</t>
  </si>
  <si>
    <t>To answer questions about games history,Research historical games cultures,Personal enjoyment</t>
  </si>
  <si>
    <t>R_3VsCfrtDmXVmi0p</t>
  </si>
  <si>
    <t>The digital library portal,Game preservation advocacy (Legislative, industry, and community),Prototype and source code recovery,Published research (YouTube, blog posts),VGHF presence at game events (E.g., pop-up museum, panels),Game industry partnerships (E.g., working on commercial games)</t>
  </si>
  <si>
    <t>Instagram,Email</t>
  </si>
  <si>
    <t>Oral histories (E.g., interviews),Mass print materials (E.g., magazines, art, or flyers),Web materials (E.g., websites, game reviews),Development materials (E.g., design documents, concept art, or memos),Video game prototypes</t>
  </si>
  <si>
    <t>Extremely well</t>
  </si>
  <si>
    <t>R_2K0YIAuT54BkLhD</t>
  </si>
  <si>
    <t>Game Enthusiast or Collector,Game Historian or Researcher (E.g., Community, Journalist, or Independent),Cultural Heritage Institutions (E.g., Libraries, Archives, or Museums)</t>
  </si>
  <si>
    <t>The digital library portal,Game preservation advocacy (Legislative, industry, and community),Prototype and source code recovery,Other</t>
  </si>
  <si>
    <t>finding and researching proto's of videogames.</t>
  </si>
  <si>
    <t>google is your friend</t>
  </si>
  <si>
    <t>Video game prototypes,Hardware (E.g., controllers, consoles),Retail video games</t>
  </si>
  <si>
    <t>Find primary source information (such as original sale prices of videogame products),Research historical games cultures,Find information on specific games,Personal enjoyment</t>
  </si>
  <si>
    <t>Improved tagging and metadata,Stronger advanced search options,Connections to related objects,I am satisfied with my experience,Other (Please describe)</t>
  </si>
  <si>
    <t>share proto versions</t>
  </si>
  <si>
    <t>Modern physical digital games (Currently supported platform),Other</t>
  </si>
  <si>
    <t>roms &amp; source codes</t>
  </si>
  <si>
    <t>Video Game History Foundation Digital Library,The Internet Archive,MobyGames,The Cutting Room Floor,Hidden Palace,Fan wikis,Museum collections (E.g., The Strong National Museum of Play),Industry data services (Steamdb, IGDB),Other</t>
  </si>
  <si>
    <t>Software (Digital),Software (Physical),Hardware components (consoles or computing devices),Videogame accessories (controllers or peripherals),Production information &amp; metadata,Other</t>
  </si>
  <si>
    <t>roms, beta, alpha &amp; proto versions</t>
  </si>
  <si>
    <t xml:space="preserve">i love finding, collecting, researching games and spreading the gospel to a new generation. if unreleased and unfinished art is still considered art, the an unfinished and unreleased videogame is still a videogame. People worked on these for  days, weeks, months or sometimes years on these projects... </t>
  </si>
  <si>
    <t>R_7c6jCp6Eyw4udml</t>
  </si>
  <si>
    <t>Game Enthusiast or Collector,Game Historian or Researcher (E.g., Community, Journalist, or Independent)</t>
  </si>
  <si>
    <t>The digital library portal,Game preservation advocacy (Legislative, industry, and community),Published research (YouTube, blog posts)</t>
  </si>
  <si>
    <t>Bluesky,Patreon,Discord,Email</t>
  </si>
  <si>
    <t>Oral histories (E.g., interviews),Mass print materials (E.g., magazines, art, or flyers),Web materials (E.g., websites, game reviews),Development materials (E.g., design documents, concept art, or memos)</t>
  </si>
  <si>
    <t>Fact-checking claims,To answer questions about games history,Find primary source information (such as original sale prices of videogame products),Research historical games cultures,Share cultural artifacts with others</t>
  </si>
  <si>
    <t>Social media (E.g., YouTube, Bluesky),Podcast</t>
  </si>
  <si>
    <t>Video Game History Foundation Digital Library,The Internet Archive,MobyGames,The Cutting Room Floor,Fan wikis</t>
  </si>
  <si>
    <t>Production information &amp; metadata,Usage or player information data (e.g., statistics, scores, lets plays),Historical production documentation</t>
  </si>
  <si>
    <t>This is Ty Schalter from the FunFactor podcast! As Frank and Phil know, we're a regular podcast dedicated to classic video game magazines (and viewing games culture, then and now, through the lens of old games media). We use VGHF not just to view magazines themselves, but also information related to their publication, and/or the games, consoles, and companies those magazines cover/review/preview.</t>
  </si>
  <si>
    <t>R_5XsoestwxgzX5st</t>
  </si>
  <si>
    <t>Academic research,Educational usage</t>
  </si>
  <si>
    <t>Slightly well</t>
  </si>
  <si>
    <t>Improved tagging and metadata,Additional materials</t>
  </si>
  <si>
    <t>Patreon Rewards (E.g., Discord, monthly call with Frank),Social media (E.g., YouTube, Bluesky),Podcast</t>
  </si>
  <si>
    <t>R_2y4x9Ex1H0qUM1u</t>
  </si>
  <si>
    <t>Game preservation advocacy (Legislative, industry, and community),Published research (YouTube, blog posts)</t>
  </si>
  <si>
    <t>research</t>
  </si>
  <si>
    <t>Oral histories (E.g., interviews),Web materials (E.g., websites, game reviews),Video game prototypes</t>
  </si>
  <si>
    <t>Research historical games cultures,Personal enjoyment</t>
  </si>
  <si>
    <t>R_1j8Sji2lPv32aSJ</t>
  </si>
  <si>
    <t>Game Enthusiast or Collector,Game Historian or Researcher (E.g., Community, Journalist, or Independent),Other</t>
  </si>
  <si>
    <t>Wiki contributor</t>
  </si>
  <si>
    <t>The digital library portal,Prototype and source code recovery,Published research (YouTube, blog posts),VGHF presence at game events (E.g., pop-up museum, panels)</t>
  </si>
  <si>
    <t>Bluesky,Discord</t>
  </si>
  <si>
    <t>Fact-checking claims,To answer questions about games history,Find primary source information (such as original sale prices of videogame products),Research historical games cultures,Find information on specific games,Share cultural artifacts with others,Personal enjoyment</t>
  </si>
  <si>
    <t>Very well</t>
  </si>
  <si>
    <t>Improved tagging and metadata,Deeper document descriptions</t>
  </si>
  <si>
    <t>Social Media,Conventions</t>
  </si>
  <si>
    <t>Video Game History Foundation Digital Library,The Internet Archive,MobyGames,The Cutting Room Floor,Hidden Palace,Fan wikis,Community Discord servers</t>
  </si>
  <si>
    <t>Software (Digital),Software (Physical),Hardware components (consoles or computing devices),Videogame accessories (controllers or peripherals),Production information &amp; metadata,Historical production documentation</t>
  </si>
  <si>
    <t>I use these materials as a way to understand the context of a particular video game at that moment of time.</t>
  </si>
  <si>
    <t>Bubsy ❗</t>
  </si>
  <si>
    <t>R_2TozglYXINDMyDz</t>
  </si>
  <si>
    <t>The digital library portal,Game preservation advocacy (Legislative, industry, and community),Prototype and source code recovery,Published research (YouTube, blog posts)</t>
  </si>
  <si>
    <t>Oral histories (E.g., interviews),Mass print materials (E.g., magazines, art, or flyers),Development materials (E.g., design documents, concept art, or memos),Non-development materials (E.g., merchandise)</t>
  </si>
  <si>
    <t>R_30SAU8jxa1vAO2L</t>
  </si>
  <si>
    <t>Game Enthusiast or Collector,Game Historian or Researcher (E.g., Community, Journalist, or Independent),Game Historian or Researcher (E.g., Industry, Academic)</t>
  </si>
  <si>
    <t>The digital library portal,Prototype and source code recovery,Published research (YouTube, blog posts)</t>
  </si>
  <si>
    <t>Bluesky,Email</t>
  </si>
  <si>
    <t>Oral histories (E.g., interviews),Mass print materials (E.g., magazines, art, or flyers),Development materials (E.g., design documents, concept art, or memos),Video game prototypes</t>
  </si>
  <si>
    <t>Fact-checking claims,To answer questions about games history,Find primary source information (such as original sale prices of videogame products),Research historical games cultures,Find information on specific games,Academic research,Personal enjoyment</t>
  </si>
  <si>
    <t>Stronger advanced search options,Deeper document descriptions,Showing previously viewed documents</t>
  </si>
  <si>
    <t>Video Game History Foundation Digital Library,The Internet Archive,MobyGames,The Cutting Room Floor,Hidden Palace,Fan wikis,Industry data services (Steamdb, IGDB)</t>
  </si>
  <si>
    <t>Production information &amp; metadata,Historical production documentation</t>
  </si>
  <si>
    <t>R_8VCHSokUeVIxwnG</t>
  </si>
  <si>
    <t>Mass print materials (E.g., magazines, art, or flyers),Web materials (E.g., websites, game reviews),Video game prototypes</t>
  </si>
  <si>
    <t>Fact-checking claims,To answer questions about games history,Find primary source information (such as original sale prices of videogame products),Research historical games cultures,Find information on specific games,Personal enjoyment</t>
  </si>
  <si>
    <t>Improved tagging and metadata,Stronger advanced search options,Connections to related objects,Additional materials</t>
  </si>
  <si>
    <t>Social media (E.g., YouTube, Bluesky)</t>
  </si>
  <si>
    <t>Social Media,Podcast,Conventions</t>
  </si>
  <si>
    <t>Video Game History Foundation Digital Library,The Internet Archive,MobyGames,Fan wikis</t>
  </si>
  <si>
    <t>R_61xzyDodY8Jj1IJ</t>
  </si>
  <si>
    <t>Oral histories (E.g., interviews),Mass print materials (E.g., magazines, art, or flyers),Development materials (E.g., design documents, concept art, or memos)</t>
  </si>
  <si>
    <t>Stronger advanced search options,Connections to related objects,I am satisfied with my experience</t>
  </si>
  <si>
    <t>Video Game History Foundation Digital Library,The Internet Archive</t>
  </si>
  <si>
    <t>Software (Physical),Hardware components (consoles or computing devices),Videogame accessories (controllers or peripherals),Usage or player information data (e.g., statistics, scores, lets plays),Historical production documentation</t>
  </si>
  <si>
    <t>Being able to have physical scans of documents is such an amazing help. Alongside the studies and interviews, being able to bring up the actual paperwork for something when I am talking about game history in my own content (YT/twitch) all in one convenient place with high quality scans means so much to be able to share this history with others.</t>
  </si>
  <si>
    <t>R_5nfk9vTDkVYgNDA</t>
  </si>
  <si>
    <t>Game preservation advocacy (Legislative, industry, and community)</t>
  </si>
  <si>
    <t>Mass print materials (E.g., magazines, art, or flyers),Web materials (E.g., websites, game reviews),Development materials (E.g., design documents, concept art, or memos),Video game prototypes,Hardware (E.g., controllers, consoles)</t>
  </si>
  <si>
    <t>Not well at all</t>
  </si>
  <si>
    <t>Improved tagging and metadata,Stronger advanced search options,Other (Please describe)</t>
  </si>
  <si>
    <t xml:space="preserve">I searched Nintendo power it instead gave me results for issues from other magazines </t>
  </si>
  <si>
    <t>R_6OJB2qCO4XKvTtD</t>
  </si>
  <si>
    <t>Game Enthusiast or Collector,Game Historian or Researcher (E.g., Community, Journalist, or Independent),Game Historian or Researcher (E.g., Industry, Academic),Game Education (Instructor, Student)</t>
  </si>
  <si>
    <t>The digital library portal,Game preservation advocacy (Legislative, industry, and community),Prototype and source code recovery,Published research (YouTube, blog posts),VGHF presence at game events (E.g., pop-up museum, panels)</t>
  </si>
  <si>
    <t>Patreon,Other</t>
  </si>
  <si>
    <t>Website</t>
  </si>
  <si>
    <t>To answer questions about games history,Find primary source information (such as original sale prices of videogame products),Research historical games cultures,Academic research,Educational usage,Personal enjoyment</t>
  </si>
  <si>
    <t>Improved tagging and metadata,Connections to related objects,Showing previously viewed documents</t>
  </si>
  <si>
    <t>Patreon Rewards (E.g., Discord, monthly call with Frank),Social media (E.g., YouTube, Bluesky),Podcast,Conventions (Panels, pop-up museum)</t>
  </si>
  <si>
    <t>Social Media</t>
  </si>
  <si>
    <t>My course is on games as artifacts and communication. The history portion is secondary to, and supportive of, the examination of games as communication and media. Both of these are strongly uplifted by the work of archivists and librarians such as yourselves, and enable me to deliver better material to my students. Thank you :)</t>
  </si>
  <si>
    <t>Videogame accessories (controllers or peripherals),Production information &amp; metadata,Usage or player information data (e.g., statistics, scores, lets plays),Historical production documentation</t>
  </si>
  <si>
    <t>I am working on a paper chronicling the development history of a specific peripheral. I've used the library as a starting point for some leads, which led me down a very intense rabbit hole.</t>
  </si>
  <si>
    <t>Video Game History Foundation Digital Library,The Internet Archive,The Cutting Room Floor,Fan wikis,Community Discord servers,Museum collections (E.g., The Strong National Museum of Play)</t>
  </si>
  <si>
    <t>Software (Digital),Hardware components (consoles or computing devices),Videogame accessories (controllers or peripherals),Production information &amp; metadata,Historical production documentation</t>
  </si>
  <si>
    <t>I go on tangents... Tangents require super niche information that nobody in their right mind would possible know...</t>
  </si>
  <si>
    <t>R_5VLb5gI4QmhSNSp</t>
  </si>
  <si>
    <t>Game Enthusiast or Collector,Game Education (Instructor, Student),Cultural Heritage Institutions (E.g., Libraries, Archives, or Museums)</t>
  </si>
  <si>
    <t>Patreon,Email</t>
  </si>
  <si>
    <t>Mass print materials (E.g., magazines, art, or flyers),Development materials (E.g., design documents, concept art, or memos)</t>
  </si>
  <si>
    <t>To answer questions about games history,Find primary source information (such as original sale prices of videogame products),Research historical games cultures,Academic research,Personal enjoyment</t>
  </si>
  <si>
    <t>Connections to related objects,Additional materials</t>
  </si>
  <si>
    <t>I can't wait to see more materials in the library over time!</t>
  </si>
  <si>
    <t>I advocate for the preservation of games and the VGHF's work has been vital to my work in my graduate studies. I've cited their reissue survey multiple times and continue to follow their efforts. I don't have a lot of access to primary sources in general, so they have been a really awesome resource for both research and teaching.</t>
  </si>
  <si>
    <t>R_2p8VfbTl9QXlaJM</t>
  </si>
  <si>
    <t>The digital library portal,Game preservation advocacy (Legislative, industry, and community)</t>
  </si>
  <si>
    <t>R_6tgl2Z9Wf1fSDYe</t>
  </si>
  <si>
    <t>Game Enthusiast or Collector,Game Historian or Researcher (E.g., Community, Journalist, or Independent),Game Historian or Researcher (E.g., Industry, Academic),Game Industry (Non-Indie or Solo-dev),Game Industry (Indie, Solo-dev),Game Education (Instructor, Student)</t>
  </si>
  <si>
    <t>Fact-checking claims,Find primary source information (such as original sale prices of videogame products),Find information on specific games,Share cultural artifacts with others,Personal enjoyment</t>
  </si>
  <si>
    <t>Connections to related objects,Showing previously viewed documents,I am satisfied with my experience,Other (Please describe)</t>
  </si>
  <si>
    <t>When searching for prices it is often difficult. Saving spreads preference as a cookie would be helpful. Having hyperlinks to jump directly to the found text in a PDF would be helpful as well, having to open the PDF then ctrl + f wastes more time.</t>
  </si>
  <si>
    <t>Development archives such as design docs, prototypes, concept art, ideas, etc</t>
  </si>
  <si>
    <t>R_5kAkNT9hhWrU5iO</t>
  </si>
  <si>
    <t>Game Enthusiast or Collector,Game Historian or Researcher (E.g., Industry, Academic)</t>
  </si>
  <si>
    <t>R_5p65l5ddpwsck8N</t>
  </si>
  <si>
    <t>R_6dfOGeh9OFhksfs</t>
  </si>
  <si>
    <t>Game Enthusiast or Collector,Cultural Heritage Institutions (E.g., Libraries, Archives, or Museums)</t>
  </si>
  <si>
    <t>The digital library portal,Game preservation advocacy (Legislative, industry, and community),VGHF presence at game events (E.g., pop-up museum, panels)</t>
  </si>
  <si>
    <t>Oral histories (E.g., interviews),Web materials (E.g., websites, game reviews)</t>
  </si>
  <si>
    <t>Fact-checking claims,To answer questions about games history,Research historical games cultures,Find information on specific games,Share cultural artifacts with others,Personal enjoyment</t>
  </si>
  <si>
    <t>R_6rCS13NtUWrxlyp</t>
  </si>
  <si>
    <t>R_3gSIkVPeJI9HpLi</t>
  </si>
  <si>
    <t>Bluesky,Other</t>
  </si>
  <si>
    <t>Twitter</t>
  </si>
  <si>
    <t>Oral histories (E.g., interviews),Mass print materials (E.g., magazines, art, or flyers),Development materials (E.g., design documents, concept art, or memos),Non-development materials (E.g., merchandise),Video game prototypes</t>
  </si>
  <si>
    <t>Find primary source information (such as original sale prices of videogame products),Research historical games cultures,Share cultural artifacts with others,Personal enjoyment</t>
  </si>
  <si>
    <t>R_3nZK9M8i0BTrrK9</t>
  </si>
  <si>
    <t>The digital library portal,Prototype and source code recovery</t>
  </si>
  <si>
    <t>Mass print materials (E.g., magazines, art, or flyers),Development materials (E.g., design documents, concept art, or memos),Non-development materials (E.g., merchandise),Video game prototypes</t>
  </si>
  <si>
    <t>Find primary source information (such as original sale prices of videogame products),Research historical games cultures,Find information on specific games,Share cultural artifacts with others,Personal enjoyment</t>
  </si>
  <si>
    <t>Improved tagging and metadata,Additional materials,I am satisfied with my experience</t>
  </si>
  <si>
    <t>Video Game History Foundation Digital Library,The Internet Archive,Fan wikis</t>
  </si>
  <si>
    <t>I like to look through magazines and production materials for game related artwork</t>
  </si>
  <si>
    <t>R_7iDu0XR7DciYwsB</t>
  </si>
  <si>
    <t>The digital library portal,Game preservation advocacy (Legislative, industry, and community),Prototype and source code recovery,Published research (YouTube, blog posts),Game industry partnerships (E.g., working on commercial games)</t>
  </si>
  <si>
    <t>Discord,Youtube</t>
  </si>
  <si>
    <t>Fact-checking claims,To answer questions about games history,Find primary source information (such as original sale prices of videogame products),Find information on specific games,Personal enjoyment</t>
  </si>
  <si>
    <t>Stronger advanced search options,I am satisfied with my experience</t>
  </si>
  <si>
    <t>R_1mBVUy1EHeGyzuN</t>
  </si>
  <si>
    <t>The digital library portal,Game preservation advocacy (Legislative, industry, and community),Prototype and source code recovery</t>
  </si>
  <si>
    <t>R_1kbMB2wTCVYiTQa</t>
  </si>
  <si>
    <t>The VGHF website</t>
  </si>
  <si>
    <t>Fact-checking claims,To answer questions about games history,Find primary source information (such as original sale prices of videogame products),Research historical games cultures,Find information on specific games,Other</t>
  </si>
  <si>
    <t>To answer questions linked to but not strictly about video games history.</t>
  </si>
  <si>
    <t>Production information &amp; metadata,Historical production documentation,Other</t>
  </si>
  <si>
    <t>Magazines</t>
  </si>
  <si>
    <t>I work on a fan wiki for a tabletop wargame franchise that has had video game tie-ins, and which has had staff move over from the video games to the tabletop.  Magazines give me ads for the wargame and details on staff; other records tell me about the video games more...</t>
  </si>
  <si>
    <t>R_1PL9Rfe78rM8Y00</t>
  </si>
  <si>
    <t>R_7fdSrMLLXeaLee8</t>
  </si>
  <si>
    <t>Game Enthusiast or Collector,Game Industry (Indie, Solo-dev)</t>
  </si>
  <si>
    <t>To answer questions about games history,Find primary source information (such as original sale prices of videogame products),Research historical games cultures,Share cultural artifacts with others,Personal enjoyment</t>
  </si>
  <si>
    <t>Improved tagging and metadata,Stronger advanced search options</t>
  </si>
  <si>
    <t>Organizing files into folders for future use,Labeling work with dates to prepare for storage,Backing up builds or assets on a separate drive</t>
  </si>
  <si>
    <t>Beta,Demo,Release</t>
  </si>
  <si>
    <t>R_7R5QxLVWHCDR3Ed</t>
  </si>
  <si>
    <t>Game Enthusiast or Collector,Game Historian or Researcher (E.g., Community, Journalist, or Independent),Game Industry (Indie, Solo-dev),Game Education (Instructor, Student)</t>
  </si>
  <si>
    <t>Heard about it on a Breath of Fire website. Otherwise hadn't heard about any news/updates.</t>
  </si>
  <si>
    <t>Mass print materials (E.g., magazines, art, or flyers),Web materials (E.g., websites, game reviews),Development materials (E.g., design documents, concept art, or memos)</t>
  </si>
  <si>
    <t>Fact-checking claims,Find information on specific games,Personal enjoyment</t>
  </si>
  <si>
    <t>Additional materials,Other (Please describe)</t>
  </si>
  <si>
    <t>Bit confusing but otherwise worked alright.</t>
  </si>
  <si>
    <t>Organizing files into folders for future use,Labeling work with dates to prepare for storage,Adding resource comments to your folders (Example: README.txt)</t>
  </si>
  <si>
    <t>.png, .wav, .mp3, .gif</t>
  </si>
  <si>
    <t>~1GB</t>
  </si>
  <si>
    <t>Video Game History Foundation Digital Library,The Internet Archive,The Cutting Room Floor</t>
  </si>
  <si>
    <t>Videogame accessories (controllers or peripherals),Production information &amp; metadata,Historical production documentation</t>
  </si>
  <si>
    <t>I've only just started doing anything archival related, but I'm really interested in the pre-release to first year of Monster Hunter Stories, which had some pretty interesting in-person events and dlc distributions (for instance, over 40 subquests were distributed by Monster Hunter Spirits 2 arcade machines, rotating on a daily basis. I have found 1 single mention of them in a Famitsu article and have yet to figure out the actual details of each subquest, though they seemed to all be for monsters that would otherwise be difficult for players to find in the postgame.)</t>
  </si>
  <si>
    <t>R_8JCUmanFleoxiRG</t>
  </si>
  <si>
    <t>Bluesky,Youtube</t>
  </si>
  <si>
    <t>Fact-checking claims,To answer questions about games history,Find primary source information (such as original sale prices of videogame products),Research historical games cultures,Find information on specific games,Educational usage,Personal enjoyment</t>
  </si>
  <si>
    <t>Deeper document descriptions,Connections to related objects,Showing previously viewed documents,I am satisfied with my experience</t>
  </si>
  <si>
    <t>Organizing files into folders for future use,Labeling work with dates to prepare for storage,Condensing builds for storage (e.g, ZIP, 7z),Uploading to a cloud storage solution,Backing up builds or assets on a separate drive,Adding resource comments to your folders (Example: README.txt)</t>
  </si>
  <si>
    <t>&lt;any source code file extension&gt;, .wav, .gltf, .png</t>
  </si>
  <si>
    <t>any and all</t>
  </si>
  <si>
    <t>R_9WOwY9ZdpYAmiD7</t>
  </si>
  <si>
    <t>Game Historian or Researcher (E.g., Community, Journalist, or Independent),Game Historian or Researcher (E.g., Industry, Academic),Cultural Heritage Institutions (E.g., Libraries, Archives, or Museums)</t>
  </si>
  <si>
    <t>Oral histories (E.g., interviews),Mass print materials (E.g., magazines, art, or flyers),Web materials (E.g., websites, game reviews),Development materials (E.g., design documents, concept art, or memos),Non-development materials (E.g., merchandise),Video game prototypes,Hardware (E.g., controllers, consoles),Retail video games</t>
  </si>
  <si>
    <t>R_6rYDzkrbvTJPon7</t>
  </si>
  <si>
    <t>The digital library portal,Game preservation advocacy (Legislative, industry, and community),Prototype and source code recovery,Published research (YouTube, blog posts),Other</t>
  </si>
  <si>
    <t>Magazine Recovery and Documentation</t>
  </si>
  <si>
    <t>Mass print materials (E.g., magazines, art, or flyers),Development materials (E.g., design documents, concept art, or memos),Video game prototypes,Other</t>
  </si>
  <si>
    <t>Historical Video Documentation</t>
  </si>
  <si>
    <t>Fact-checking claims,To answer questions about games history,Find primary source information (such as original sale prices of videogame products),Find information on specific games,Share cultural artifacts with others,Personal enjoyment</t>
  </si>
  <si>
    <t>Additional materials,I am satisfied with my experience</t>
  </si>
  <si>
    <t>Video Game History Foundation Digital Library,The Internet Archive,The Cutting Room Floor,Fan wikis</t>
  </si>
  <si>
    <t>Production information &amp; metadata,Usage or player information data (e.g., statistics, scores, lets plays)</t>
  </si>
  <si>
    <t>I often use the Digital Archive to seek out press materials that mention a game of interest prior to its release date. This information is sometimes critical for piecing together prerelease build information (especially via screenshots). And by searching for info after the game's release date, I can also find more details regarding the cultural impact of the game in the aftermath of its release. VGHF's excellent documentation of the text in each PDF makes searching for and copying down these sporadic excerpts extremely easy. It has saved me a lot of time.</t>
  </si>
  <si>
    <t>R_2v0lPE3L7dwLDRu</t>
  </si>
  <si>
    <t>R_35BzIwfovDd6d3g</t>
  </si>
  <si>
    <t>Web materials (E.g., websites, game reviews),Development materials (E.g., design documents, concept art, or memos),Non-development materials (E.g., merchandise)</t>
  </si>
  <si>
    <t>R_6MSgVlG01yG8cNw</t>
  </si>
  <si>
    <t>Bluesky,Instagram,Email</t>
  </si>
  <si>
    <t>Oral histories (E.g., interviews),Mass print materials (E.g., magazines, art, or flyers),Web materials (E.g., websites, game reviews),Development materials (E.g., design documents, concept art, or memos),Non-development materials (E.g., merchandise),Video game prototypes</t>
  </si>
  <si>
    <t>Improved tagging and metadata,Stronger advanced search options,Deeper document descriptions,Connections to related objects,Showing previously viewed documents,Additional materials</t>
  </si>
  <si>
    <t>R_7A0AcoxxfL2cVhG</t>
  </si>
  <si>
    <t>Game Enthusiast or Collector,Game Historian or Researcher (E.g., Industry, Academic),Game Industry (Non-Indie or Solo-dev)</t>
  </si>
  <si>
    <t>The digital library portal,Game preservation advocacy (Legislative, industry, and community),Published research (YouTube, blog posts),VGHF presence at game events (E.g., pop-up museum, panels)</t>
  </si>
  <si>
    <t>Stronger advanced search options,Additional materials</t>
  </si>
  <si>
    <t>A moderate amount</t>
  </si>
  <si>
    <t>I don't know if anything is happening in this regard</t>
  </si>
  <si>
    <t>Software (Digital),Historical production documentation</t>
  </si>
  <si>
    <t>R_533svplpnfGWHWX</t>
  </si>
  <si>
    <t>Game Enthusiast or Collector,Game Historian or Researcher (E.g., Community, Journalist, or Independent),Game Historian or Researcher (E.g., Industry, Academic),Game Industry (Non-Indie or Solo-dev),Game Industry (Indie, Solo-dev),Game Education (Instructor, Student),Cultural Heritage Institutions (E.g., Libraries, Archives, or Museums),Other</t>
  </si>
  <si>
    <t>Instagram,Discord</t>
  </si>
  <si>
    <t>R_5hgd72QDu5YbO5Q</t>
  </si>
  <si>
    <t>Game Enthusiast or Collector,Game Historian or Researcher (E.g., Industry, Academic),Cultural Heritage Institutions (E.g., Libraries, Archives, or Museums)</t>
  </si>
  <si>
    <t>Bluesky,Instagram,Youtube,Patreon,Discord</t>
  </si>
  <si>
    <t>Mass print materials (E.g., magazines, art, or flyers),Web materials (E.g., websites, game reviews),Non-development materials (E.g., merchandise),Video game prototypes</t>
  </si>
  <si>
    <t>Fact-checking claims,To answer questions about games history,Find primary source information (such as original sale prices of videogame products),Research historical games cultures,Find information on specific games</t>
  </si>
  <si>
    <t>Improved tagging and metadata,Stronger advanced search options,Deeper document descriptions,Connections to related objects,Showing previously viewed documents</t>
  </si>
  <si>
    <t>Software (Digital),Software (Physical),Hardware components (consoles or computing devices),Videogame accessories (controllers or peripherals),Production information &amp; metadata</t>
  </si>
  <si>
    <t>R_5KZsgvLT2F6hRjm</t>
  </si>
  <si>
    <t>Youtube,Other</t>
  </si>
  <si>
    <t xml:space="preserve">Facebook </t>
  </si>
  <si>
    <t>I like it when they have digital video files in their collection</t>
  </si>
  <si>
    <t>Other (Please describe)</t>
  </si>
  <si>
    <t xml:space="preserve">Simplify it a bit generally or in some areas that may be too complicated </t>
  </si>
  <si>
    <t>Patreon Rewards (E.g., Discord, monthly call with Frank),Social Media,Podcast</t>
  </si>
  <si>
    <t>R_30Hp8Pd0m6kWTIR</t>
  </si>
  <si>
    <t>Game Industry (Non-Indie or Solo-dev),Game Industry (Indie, Solo-dev)</t>
  </si>
  <si>
    <t>Prototype and source code recovery,Game industry partnerships (E.g., working on commercial games)</t>
  </si>
  <si>
    <t>Oral histories (E.g., interviews),Web materials (E.g., websites, game reviews),Development materials (E.g., design documents, concept art, or memos)</t>
  </si>
  <si>
    <t>To answer questions about games history,Find information on specific games,Personal enjoyment</t>
  </si>
  <si>
    <t>A lot</t>
  </si>
  <si>
    <t>None at all</t>
  </si>
  <si>
    <t>.h .cpp .cs .asset .blend .fbx</t>
  </si>
  <si>
    <t>Prototype,Release,Final Version</t>
  </si>
  <si>
    <t>R_7D6ccBH5gwc2YU8</t>
  </si>
  <si>
    <t xml:space="preserve">VGHF website, Insert Credit Podcast </t>
  </si>
  <si>
    <t>Oral histories (E.g., interviews),Web materials (E.g., websites, game reviews),Development materials (E.g., design documents, concept art, or memos),Video game prototypes</t>
  </si>
  <si>
    <t>To answer questions about games history,Research historical games cultures,Share cultural artifacts with others,Personal enjoyment</t>
  </si>
  <si>
    <t>Improved tagging and metadata,Deeper document descriptions,Connections to related objects,Additional materials,I am satisfied with my experience</t>
  </si>
  <si>
    <t>R_14X5vJI5Ruk9JER</t>
  </si>
  <si>
    <t>R_3HB20hYtlrhUxN9</t>
  </si>
  <si>
    <t>Mass print materials (E.g., magazines, art, or flyers),Web materials (E.g., websites, game reviews),Development materials (E.g., design documents, concept art, or memos),Video game prototypes</t>
  </si>
  <si>
    <t>R_29aI4qvNg5wfHb2</t>
  </si>
  <si>
    <t>Game Enthusiast or Collector,Game Historian or Researcher (E.g., Community, Journalist, or Independent),Game Historian or Researcher (E.g., Industry, Academic),Game Industry (Non-Indie or Solo-dev),Game Industry (Indie, Solo-dev),Game Education (Instructor, Student),Cultural Heritage Institutions (E.g., Libraries, Archives, or Museums)</t>
  </si>
  <si>
    <t>through GDC Vault ! :)</t>
  </si>
  <si>
    <t>Mass print materials (E.g., magazines, art, or flyers),Web materials (E.g., websites, game reviews),Development materials (E.g., design documents, concept art, or memos),Video game prototypes,Hardware (E.g., controllers, consoles),Retail video games</t>
  </si>
  <si>
    <t>Academic research,Educational usage,Personal enjoyment</t>
  </si>
  <si>
    <t>that it becomes a big portal and also a standard, industry and legal-wise ?</t>
  </si>
  <si>
    <t>academic and independant research</t>
  </si>
  <si>
    <t>Unknown</t>
  </si>
  <si>
    <t>There's room for improvement</t>
  </si>
  <si>
    <t>.csv and .xls (independant research)</t>
  </si>
  <si>
    <t>Prototype,Beta,Demo,Release,Final Version</t>
  </si>
  <si>
    <t>Videogame accessories (controllers or peripherals),Production information &amp; metadata,Usage or player information data (e.g., statistics, scores, lets plays)</t>
  </si>
  <si>
    <t>Anything related to game genres, reviews (journalistics or user), user experience as a whole, assessing game experience during production, playtest... And things regarding communities or audiences, specifically : women, girls, marginalized population, accessibility / handicap , inclusivity, LGBTQI+ + physical ergonomy as well</t>
  </si>
  <si>
    <t>again : Anything related to game genres, reviews (journalistics or user), user experience as a whole, assessing game experience during production, playtest... And things regarding communities or audiences, specifically : women, girls, marginalized population, accessibility / handicap , inclusivity, LGBTQI+ + physical ergonomy as well</t>
  </si>
  <si>
    <t>R_1LpvZ1Z7KrJFt1w</t>
  </si>
  <si>
    <t>Game Enthusiast or Collector,Game Historian or Researcher (E.g., Community, Journalist, or Independent),Game Industry (Indie, Solo-dev)</t>
  </si>
  <si>
    <t>Development materials (E.g., design documents, concept art, or memos),Video game prototypes,Retail video games</t>
  </si>
  <si>
    <t>Stronger advanced search options,Connections to related objects,Showing previously viewed documents</t>
  </si>
  <si>
    <t>R_5bDkQXlIpxVwhnb</t>
  </si>
  <si>
    <t>Instagram,Youtube,Discord,Email</t>
  </si>
  <si>
    <t>Access is managed by a role or admin and is widely accessible to many teams at any time (or by request)</t>
  </si>
  <si>
    <t>Condensing builds for storage (e.g, ZIP, 7z)</t>
  </si>
  <si>
    <t>Final Version</t>
  </si>
  <si>
    <t>&lt;500MB</t>
  </si>
  <si>
    <t>Digital game metadata</t>
  </si>
  <si>
    <t>Software (Digital),Software (Physical)</t>
  </si>
  <si>
    <t>Video Game History Foundation Digital Library,The Internet Archive,MobyGames,The Cutting Room Floor,Hidden Palace</t>
  </si>
  <si>
    <t>Software (Digital),Software (Physical),Hardware components (consoles or computing devices)</t>
  </si>
  <si>
    <t>R_5R48bruZOWDXhgY</t>
  </si>
  <si>
    <t>Mass print materials (E.g., magazines, art, or flyers),Web materials (E.g., websites, game reviews)</t>
  </si>
  <si>
    <t>Find primary source information (such as original sale prices of videogame products),Find information on specific games,Personal enjoyment</t>
  </si>
  <si>
    <t>R_3BZ4aNm7UUU0S2Z</t>
  </si>
  <si>
    <t>Bluesky,Youtube,Discord,Email</t>
  </si>
  <si>
    <t>Find information on specific games,Share cultural artifacts with others,Personal enjoyment</t>
  </si>
  <si>
    <t>Stronger advanced search options,Deeper document descriptions,Additional materials,I am satisfied with my experience</t>
  </si>
  <si>
    <t>Conventions,Other</t>
  </si>
  <si>
    <t>Advice or workshops to amateur researchers and archivists</t>
  </si>
  <si>
    <t>Video Game History Foundation Digital Library,The Internet Archive,Fan wikis,Community Discord servers,Industry data services (Steamdb, IGDB)</t>
  </si>
  <si>
    <t>Software (Digital),Production information &amp; metadata,Usage or player information data (e.g., statistics, scores, lets plays)</t>
  </si>
  <si>
    <t>R_53dLowMDhHNXj3q</t>
  </si>
  <si>
    <t>R_66l5CjJU9QriW3B</t>
  </si>
  <si>
    <t>Patreon Rewards (E.g., Discord, monthly call with Frank)</t>
  </si>
  <si>
    <t>Video Game History Foundation Digital Library,The Internet Archive,MobyGames,The Cutting Room Floor</t>
  </si>
  <si>
    <t>Software (Physical),Hardware components (consoles or computing devices),Videogame accessories (controllers or peripherals),Production information &amp; metadata</t>
  </si>
  <si>
    <t>R_1Kg41gsEF0XlZum</t>
  </si>
  <si>
    <t>The digital library portal,Published research (YouTube, blog posts)</t>
  </si>
  <si>
    <t>Mass print materials (E.g., magazines, art, or flyers),Development materials (E.g., design documents, concept art, or memos),Video game prototypes</t>
  </si>
  <si>
    <t>Research historical games cultures,Find information on specific games,Share cultural artifacts with others,Personal enjoyment</t>
  </si>
  <si>
    <t>Improved tagging and metadata,Stronger advanced search options,Additional materials</t>
  </si>
  <si>
    <t>R_75HNCvh6QX7uAM4</t>
  </si>
  <si>
    <t>Development materials (E.g., design documents, concept art, or memos),Non-development materials (E.g., merchandise),Hardware (E.g., controllers, consoles)</t>
  </si>
  <si>
    <t>Connections to related objects,Showing previously viewed documents,Additional materials,I am satisfied with my experience</t>
  </si>
  <si>
    <t>R_32FFabdf0SrLN1N</t>
  </si>
  <si>
    <t>Bluesky,Youtube,Discord</t>
  </si>
  <si>
    <t>VGHF continually surprises me with not only the quality of preservation and collected materials, but the types of materials that get coverage on youtube and social media. I'm mostly excited for the surprise, because you never know what game or creator is going to show up! I'm also a big fan of the disc dumps with high-res promotional renders and advertising materials. I think that stuff is super interesting, and it's nice to have a definitive repository for these materials since we've only had poor quality scans, or photographs of some of these things for the longest time. I love what the VGHF does and I hope you exceed all your fundraising goals for years to come &lt;3</t>
  </si>
  <si>
    <t>I think the current balance is pretty good. I see posts on socials all the time and love the youtube content especially. Keep up the fantastic work</t>
  </si>
  <si>
    <t>R_2K27BxLkLq6Fqpt</t>
  </si>
  <si>
    <t>Development materials (E.g., design documents, concept art, or memos),Video game prototypes</t>
  </si>
  <si>
    <t>R_5LbwxNgMCRKJPfa</t>
  </si>
  <si>
    <t>Oral histories (E.g., interviews),Mass print materials (E.g., magazines, art, or flyers),Web materials (E.g., websites, game reviews)</t>
  </si>
  <si>
    <t>Find primary source information (such as original sale prices of videogame products),Academic research</t>
  </si>
  <si>
    <t>Production information &amp; metadata</t>
  </si>
  <si>
    <t>R_5KDFO1rFiEz6ReZ</t>
  </si>
  <si>
    <t>Youtube,Email</t>
  </si>
  <si>
    <t>R_3coqxUCF8xjVztT</t>
  </si>
  <si>
    <t>Software (Digital),Hardware components (consoles or computing devices),Production information &amp; metadata</t>
  </si>
  <si>
    <t>R_1IcploCj3GF9P7Y</t>
  </si>
  <si>
    <t>Bluesky,Instagram,Youtube,Patreon</t>
  </si>
  <si>
    <t>Oral histories (E.g., interviews),Mass print materials (E.g., magazines, art, or flyers),Web materials (E.g., websites, game reviews),Development materials (E.g., design documents, concept art, or memos),Non-development materials (E.g., merchandise),Video game prototypes,Hardware (E.g., controllers, consoles)</t>
  </si>
  <si>
    <t>Fact-checking claims,To answer questions about games history,Find primary source information (such as original sale prices of videogame products),Find information on specific games,Academic research,Personal enjoyment</t>
  </si>
  <si>
    <t>Improved tagging and metadata,Deeper document descriptions,Connections to related objects,Showing previously viewed documents</t>
  </si>
  <si>
    <t>For fanzines, guidebooks and general reference material alongside other groups like the Game Preservation Society and many more</t>
  </si>
  <si>
    <t>Video Game History Foundation Digital Library,The Internet Archive,The Cutting Room Floor,Hidden Palace,Fan wikis,Community Discord servers,Museum collections (E.g., The Strong National Museum of Play),Industry data services (Steamdb, IGDB)</t>
  </si>
  <si>
    <t>Software (Physical),Hardware components (consoles or computing devices),Videogame accessories (controllers or peripherals),Production information &amp; metadata,Usage or player information data (e.g., statistics, scores, lets plays),Historical production documentation</t>
  </si>
  <si>
    <t>Fanzines, guidebooks and general reference material for future projects</t>
  </si>
  <si>
    <t>R_5OlfYrDjaZkiYv4</t>
  </si>
  <si>
    <t>To answer questions about games history,Personal enjoyment</t>
  </si>
  <si>
    <t>Improved tagging and metadata,Stronger advanced search options,Deeper document descriptions,Connections to related objects,Additional materials</t>
  </si>
  <si>
    <t>Games preservation and access to dead media</t>
  </si>
  <si>
    <t>R_7vgFGrdtFXpcIlX</t>
  </si>
  <si>
    <t>Animation/CGI Research</t>
  </si>
  <si>
    <t>The digital library portal,Game preservation advocacy (Legislative, industry, and community),Published research (YouTube, blog posts),VGHF presence at game events (E.g., pop-up museum, panels),Game industry partnerships (E.g., working on commercial games)</t>
  </si>
  <si>
    <t>Oral histories (E.g., interviews),Mass print materials (E.g., magazines, art, or flyers)</t>
  </si>
  <si>
    <t>Find primary source information (such as original sale prices of videogame products),Research historical games cultures,Find information on specific games,Academic research,Educational usage</t>
  </si>
  <si>
    <t>R_348kfP6PxDZ2rk5</t>
  </si>
  <si>
    <t>To answer questions about games history,Find primary source information (such as original sale prices of videogame products),Research historical games cultures,Find information on specific games,Personal enjoyment</t>
  </si>
  <si>
    <t>Stronger advanced search options,Connections to related objects,Additional materials,I am satisfied with my experience</t>
  </si>
  <si>
    <t>R_51j7MMsLYePKJJ1</t>
  </si>
  <si>
    <t>R_7yNlg5mOw6qdB29</t>
  </si>
  <si>
    <t>Bluesky,Patreon,Other</t>
  </si>
  <si>
    <t>Insert Credit Podcast/VGHF Podcast</t>
  </si>
  <si>
    <t xml:space="preserve">I love everything the foundation does, but I am partial to the video documentaries. Phil's work on the Sega Channel video, and Frank's video on the NES launch were fantastic and full of info and stuff I have never seen before. I am excited to see what they do next! </t>
  </si>
  <si>
    <t>Podcast</t>
  </si>
  <si>
    <t>R_1wh1BlOu23SniuZ</t>
  </si>
  <si>
    <t>Game Enthusiast or Collector,Game Historian or Researcher (E.g., Community, Journalist, or Independent),Game Industry (Non-Indie or Solo-dev),Game Industry (Indie, Solo-dev)</t>
  </si>
  <si>
    <t>Bluesky,Patreon</t>
  </si>
  <si>
    <t>Organizing files into folders for future use,Condensing builds for storage (e.g, ZIP, 7z),Condensing assets for storage,Backing up builds or assets on a separate drive</t>
  </si>
  <si>
    <t xml:space="preserve">Largely it's about researching what games were shown where and to whom and when. Checking dates, critical reception, fact checking in general, and digging for additional supplemental information where applicable. </t>
  </si>
  <si>
    <t>R_5Y4ib8YDBRSIc9W</t>
  </si>
  <si>
    <t>To answer questions about games history,Personal enjoyment,Other</t>
  </si>
  <si>
    <t>Reference for work</t>
  </si>
  <si>
    <t>Organizing files into folders for future use,Backing up builds or assets on a separate drive</t>
  </si>
  <si>
    <t>Wav png fbx docs pdf</t>
  </si>
  <si>
    <t>10GB</t>
  </si>
  <si>
    <t>R_62zc8TWoj6gEY6E</t>
  </si>
  <si>
    <t>Bluesky,Youtube,Patreon,Discord</t>
  </si>
  <si>
    <t>Fact-checking claims,To answer questions about games history,Find primary source information (such as original sale prices of videogame products),Research historical games cultures,Find information on specific games,Share cultural artifacts with others,Educational usage,Personal enjoyment</t>
  </si>
  <si>
    <t>Improved tagging and metadata,Connections to related objects,Showing previously viewed documents,Additional materials</t>
  </si>
  <si>
    <t>Podcast,Conventions (Panels, pop-up museum)</t>
  </si>
  <si>
    <t>Patreon Rewards (E.g., Discord, monthly call with Frank),Podcast</t>
  </si>
  <si>
    <t>Video Game History Foundation Digital Library,The Internet Archive,MobyGames,The Cutting Room Floor,Hidden Palace,Fan wikis,Museum collections (E.g., The Strong National Museum of Play),Industry data services (Steamdb, IGDB)</t>
  </si>
  <si>
    <t>R_3QmDX1VVGlmJdpS</t>
  </si>
  <si>
    <t>R_3JhyBgBz1YjjwOt</t>
  </si>
  <si>
    <t>Fact-checking claims,Find primary source information (such as original sale prices of videogame products),Research historical games cultures,Find information on specific games,Share cultural artifacts with others</t>
  </si>
  <si>
    <t>Improved tagging and metadata,Deeper document descriptions,Other (Please describe)</t>
  </si>
  <si>
    <t>Allowing downloads of original files</t>
  </si>
  <si>
    <t>Video Game History Foundation Digital Library,The Internet Archive,The Cutting Room Floor,Museum collections (E.g., The Strong National Museum of Play)</t>
  </si>
  <si>
    <t>Analyzing video game artwork and marketing materials</t>
  </si>
  <si>
    <t>R_4jovcChxLWLcoYp</t>
  </si>
  <si>
    <t>R_5oZpwbnA5DHZKfB</t>
  </si>
  <si>
    <t>Game Enthusiast or Collector,Game Historian or Researcher (E.g., Community, Journalist, or Independent),Game Industry (Indie, Solo-dev),Cultural Heritage Institutions (E.g., Libraries, Archives, or Museums)</t>
  </si>
  <si>
    <t>Fact-checking claims,Find primary source information (such as original sale prices of videogame products),Find information on specific games,Personal enjoyment</t>
  </si>
  <si>
    <t>Showing previously viewed documents,I am satisfied with my experience</t>
  </si>
  <si>
    <t>Social media (E.g., YouTube, Bluesky),Podcast,Conventions (Panels, pop-up museum)</t>
  </si>
  <si>
    <t>Patreon Rewards (E.g., Discord, monthly call with Frank),Conventions</t>
  </si>
  <si>
    <t>Prototype,Beta,Demo,Release</t>
  </si>
  <si>
    <t>Video Game History Foundation Digital Library,The Internet Archive,The Cutting Room Floor,Hidden Palace,Community Discord servers,Industry data services (Steamdb, IGDB)</t>
  </si>
  <si>
    <t>R_4QuMy2Sni8x0BXZ</t>
  </si>
  <si>
    <t>Bluesky,Instagram,Youtube,Discord</t>
  </si>
  <si>
    <t>Oral histories (E.g., interviews),Mass print materials (E.g., magazines, art, or flyers),Web materials (E.g., websites, game reviews),Development materials (E.g., design documents, concept art, or memos),Video game prototypes,Hardware (E.g., controllers, consoles)</t>
  </si>
  <si>
    <t>To answer questions about games history,Find primary source information (such as original sale prices of videogame products),Research historical games cultures,Find information on specific games,Share cultural artifacts with others</t>
  </si>
  <si>
    <t>Video Game History Foundation Digital Library,The Internet Archive,The Cutting Room Floor,Hidden Palace,Community Discord servers,Museum collections (E.g., The Strong National Museum of Play)</t>
  </si>
  <si>
    <t>R_3rUwCQaqfOUQTpQ</t>
  </si>
  <si>
    <t>Connections to related objects,Showing previously viewed documents</t>
  </si>
  <si>
    <t>The magazine archives are my favorite</t>
  </si>
  <si>
    <t>R_6QbXVla5vVYyB9d</t>
  </si>
  <si>
    <t>Bluesky,Instagram,Youtube</t>
  </si>
  <si>
    <t>For youtube videos</t>
  </si>
  <si>
    <t>R_6xL5Re516rEdD54</t>
  </si>
  <si>
    <t>Youtube,Patreon,Discord,Other</t>
  </si>
  <si>
    <t>Kelsey</t>
  </si>
  <si>
    <t>Oral histories (E.g., interviews),Development materials (E.g., design documents, concept art, or memos),Video game prototypes</t>
  </si>
  <si>
    <t>Improved tagging and metadata,Connections to related objects,Additional materials</t>
  </si>
  <si>
    <t>R_3JfQzCrMkwF3JPO</t>
  </si>
  <si>
    <t>Bluesky,Youtube,Email</t>
  </si>
  <si>
    <t>To answer questions about games history,Find primary source information (such as original sale prices of videogame products),Find information on specific games,Educational usage,Personal enjoyment</t>
  </si>
  <si>
    <t>R_4CZj7dxByh1DjQA</t>
  </si>
  <si>
    <t>twitter</t>
  </si>
  <si>
    <t>Oral histories (E.g., interviews),Mass print materials (E.g., magazines, art, or flyers),Web materials (E.g., websites, game reviews),Development materials (E.g., design documents, concept art, or memos),Non-development materials (E.g., merchandise),Video game prototypes,Retail video games</t>
  </si>
  <si>
    <t>Stronger advanced search options,Deeper document descriptions,Connections to related objects,Additional materials</t>
  </si>
  <si>
    <t>R_4lxJ8V6xMKvMZrP</t>
  </si>
  <si>
    <t>Uploading to a cloud storage solution,Backing up builds or assets on a separate drive,Adding resource comments to your folders (Example: README.txt)</t>
  </si>
  <si>
    <t>.zs, .png, .psd, .blend, .wav, .mid</t>
  </si>
  <si>
    <t>Most, mostly regarding larger patches while ignoring tiny patches (e.g. minor bugs that barely affect anything)</t>
  </si>
  <si>
    <t>5GB</t>
  </si>
  <si>
    <t>R_2HdeSjEq47HwsMO</t>
  </si>
  <si>
    <t>Web materials (E.g., websites, game reviews),Retail video games</t>
  </si>
  <si>
    <t>Share cultural artifacts with others,Educational usage,Personal enjoyment</t>
  </si>
  <si>
    <t>R_89joxu6VmQX5oLD</t>
  </si>
  <si>
    <t>Bluesky,Youtube,Patreon,Email</t>
  </si>
  <si>
    <t>Improved tagging and metadata,Additional materials,Other (Please describe)</t>
  </si>
  <si>
    <t>Allow download of images (both the modern format and original psd etc). It doesn't technically stop you downloading render at the moment, but it doesn't provide a download button.</t>
  </si>
  <si>
    <t>Source code/dev materials, probably?</t>
  </si>
  <si>
    <t>Video Game History Foundation Digital Library,The Internet Archive,MobyGames,The Cutting Room Floor,Hidden Palace,Fan wikis,Community Discord servers,Industry data services (Steamdb, IGDB),Other</t>
  </si>
  <si>
    <t>No-Intro, Redump</t>
  </si>
  <si>
    <t>Press materials, interviews and source code/dev materials give an idea of a game's evolution throughout its development, and the developers' mindset.</t>
  </si>
  <si>
    <t>R_2cCtWClUjnZIYsr</t>
  </si>
  <si>
    <t>Game Enthusiast or Collector,Game Industry (Indie, Solo-dev),Other</t>
  </si>
  <si>
    <t>YouTuber</t>
  </si>
  <si>
    <t>Twitter / X</t>
  </si>
  <si>
    <t>Oral histories (E.g., interviews),Video game prototypes</t>
  </si>
  <si>
    <t>To answer questions about games history,Find primary source information (such as original sale prices of videogame products),Research historical games cultures,Find information on specific games,Educational usage,Personal enjoyment</t>
  </si>
  <si>
    <t>Download disc images + full RAWs of PSDs etc. from image libraries</t>
  </si>
  <si>
    <t>Playable prototypes of cancelled games &amp; high resolution press kit downloads</t>
  </si>
  <si>
    <t>Condensing assets for storage</t>
  </si>
  <si>
    <t>.zip .gam .dll .exe</t>
  </si>
  <si>
    <t>Prototype,Beta,Demo</t>
  </si>
  <si>
    <t>20GB</t>
  </si>
  <si>
    <t>R_6fT4QmSSkm2BTrq</t>
  </si>
  <si>
    <t>Bluesky,Instagram,Youtube,Discord,Email,Other</t>
  </si>
  <si>
    <t>Oral histories (E.g., interviews),Mass print materials (E.g., magazines, art, or flyers),Web materials (E.g., websites, game reviews),Development materials (E.g., design documents, concept art, or memos),Non-development materials (E.g., merchandise),Video game prototypes,Hardware (E.g., controllers, consoles),Retail video games,Other</t>
  </si>
  <si>
    <t>Fact-checking claims,To answer questions about games history,Find primary source information (such as original sale prices of videogame products),Research historical games cultures,Find information on specific games,Share cultural artifacts with others,Academic research,Educational usage,Personal enjoyment,Other</t>
  </si>
  <si>
    <t>A little</t>
  </si>
  <si>
    <t>A reasonable amount</t>
  </si>
  <si>
    <t>Demo,Release</t>
  </si>
  <si>
    <t>Modern physical digital games (Currently supported platform),Historical or retro digital games (Unsupported platform: e.g., Playstation 3, Sega Genesis),Digital game hardware,Physical documents related to digital games,Born-digital resources related to digital games,Digital game metadata</t>
  </si>
  <si>
    <t>R_5Ns7dut868tn53M</t>
  </si>
  <si>
    <t>Mass print materials (E.g., magazines, art, or flyers),Web materials (E.g., websites, game reviews),Development materials (E.g., design documents, concept art, or memos),Non-development materials (E.g., merchandise),Video game prototypes,Hardware (E.g., controllers, consoles)</t>
  </si>
  <si>
    <t>R_3rUsA9OcwXGrV9s</t>
  </si>
  <si>
    <t>Bluesky,Youtube,Discord,Email,Other</t>
  </si>
  <si>
    <t>Tumblr</t>
  </si>
  <si>
    <t>Fact-checking claims,Academic research,Educational usage,Personal enjoyment</t>
  </si>
  <si>
    <t>Software (Digital),Hardware components (consoles or computing devices),Videogame accessories (controllers or peripherals),Production information &amp; metadata,Usage or player information data (e.g., statistics, scores, lets plays),Historical production documentation</t>
  </si>
  <si>
    <t>I am often assisting people creating videos and articles on games with background research</t>
  </si>
  <si>
    <t>R_3oAVyyYmc6b0YYK</t>
  </si>
  <si>
    <t>Reddit</t>
  </si>
  <si>
    <t>Video Game History Foundation Digital Library,The Internet Archive,The Cutting Room Floor,Hidden Palace,Fan wikis</t>
  </si>
  <si>
    <t>R_7UYJf15QWcJxScn</t>
  </si>
  <si>
    <t>R_52ncRSOk4mlfKYd</t>
  </si>
  <si>
    <t>Mass print materials (E.g., magazines, art, or flyers),Web materials (E.g., websites, game reviews),Development materials (E.g., design documents, concept art, or memos),Non-development materials (E.g., merchandise),Video game prototypes</t>
  </si>
  <si>
    <t>Research historical games cultures,Share cultural artifacts with others,Personal enjoyment</t>
  </si>
  <si>
    <t>Improved tagging and metadata,Showing previously viewed documents</t>
  </si>
  <si>
    <t>R_7gGdL4ySL7c9KJs</t>
  </si>
  <si>
    <t>X (Twitter)</t>
  </si>
  <si>
    <t>Fact-checking claims,Find primary source information (such as original sale prices of videogame products),Research historical games cultures,Find information on specific games,Personal enjoyment</t>
  </si>
  <si>
    <t>Showing previously viewed documents,Additional materials</t>
  </si>
  <si>
    <t>Video Game History Foundation Digital Library,The Internet Archive,The Cutting Room Floor,Museum collections (E.g., The Strong National Museum of Play),Industry data services (Steamdb, IGDB)</t>
  </si>
  <si>
    <t>Software (Digital),Production information &amp; metadata,Historical production documentation</t>
  </si>
  <si>
    <t>R_4EzN2YB4TbGe2L8</t>
  </si>
  <si>
    <t>R_3ukAYrEVbrsfuRr</t>
  </si>
  <si>
    <t>Game preservation advocacy (Legislative, industry, and community),Prototype and source code recovery,Published research (YouTube, blog posts)</t>
  </si>
  <si>
    <t>R_6kzloV6Z5ODYCNg</t>
  </si>
  <si>
    <t>Video Game History Foundation Digital Library,The Internet Archive,MobyGames,Museum collections (E.g., The Strong National Museum of Play)</t>
  </si>
  <si>
    <t>Software (Digital),Software (Physical),Historical production documentation</t>
  </si>
  <si>
    <t xml:space="preserve">It has allowed me to easily find interviews for games that are no longer as popular as they once were in magazines that I would not have been able to track down easily. </t>
  </si>
  <si>
    <t>R_3YxOHtztoMWBjCp</t>
  </si>
  <si>
    <t>Organizing files into folders for future use,Labeling work with dates to prepare for storage,Condensing builds for storage (e.g, ZIP, 7z),Adding resource comments to your folders (Example: README.txt)</t>
  </si>
  <si>
    <t>.png, .wav, .ogg, .bmp, .zip, .pdf</t>
  </si>
  <si>
    <t>Prototype,Beta,Demo,Release,1-Week post-release patch,1-Month post release,Final Version</t>
  </si>
  <si>
    <t>Video Game History Foundation Digital Library,The Internet Archive,MobyGames,The Cutting Room Floor,Hidden Palace,Fan wikis,Community Discord servers,Industry data services (Steamdb, IGDB)</t>
  </si>
  <si>
    <t>Software (Digital),Software (Physical),Production information &amp; metadata,Usage or player information data (e.g., statistics, scores, lets plays),Historical production documentation</t>
  </si>
  <si>
    <t>Wiki articles, fact checking, cataloging, comparing releases between regions</t>
  </si>
  <si>
    <t>R_9q99GiaNMDjnnLY</t>
  </si>
  <si>
    <t>R_7JWNa5SMaP1k2SA</t>
  </si>
  <si>
    <t>Hardware components (consoles or computing devices)</t>
  </si>
  <si>
    <t xml:space="preserve">Beginner who wants to become an enthusiast </t>
  </si>
  <si>
    <t>R_2whiSOWZioCYi1l</t>
  </si>
  <si>
    <t>Software (Digital),Production information &amp; metadata,Historical production documentation,Other</t>
  </si>
  <si>
    <t>Merchandise, if that counts</t>
  </si>
  <si>
    <t>I've been involved to varying extents with several fan wikis, and high-quality images from press kits and scans are very useful when contributing to those. I've also looked at a lot of interviews to find out more about the development of relevant games and clarify story content, among other things.</t>
  </si>
  <si>
    <t>R_7mfTAWWX0HTg7Hh</t>
  </si>
  <si>
    <t>Mass print materials (E.g., magazines, art, or flyers),Web materials (E.g., websites, game reviews),Hardware (E.g., controllers, consoles)</t>
  </si>
  <si>
    <t>To answer questions about games history,Find information on specific games,Share cultural artifacts with others,Personal enjoyment</t>
  </si>
  <si>
    <t>Improved tagging and metadata,Stronger advanced search options,Deeper document descriptions,Connections to related objects</t>
  </si>
  <si>
    <t>R_25Wx2C0ZeWnCGwC</t>
  </si>
  <si>
    <t>The digital library portal,Game preservation advocacy (Legislative, industry, and community),Prototype and source code recovery,VGHF presence at game events (E.g., pop-up museum, panels)</t>
  </si>
  <si>
    <t>R_3P1nKp6pL69TVS4</t>
  </si>
  <si>
    <t>Bluesky,Youtube,Other</t>
  </si>
  <si>
    <t>Mastodon</t>
  </si>
  <si>
    <t>Oral histories (E.g., interviews),Mass print materials (E.g., magazines, art, or flyers),Video game prototypes</t>
  </si>
  <si>
    <t>R_9QzUJNEC9dUqc6m</t>
  </si>
  <si>
    <t>Research historical games cultures,Educational usage,Personal enjoyment</t>
  </si>
  <si>
    <t>Connections to related objects,Showing previously viewed documents,I am satisfied with my experience</t>
  </si>
  <si>
    <t>Uploading to a cloud storage solution,Backing up builds or assets on a separate drive</t>
  </si>
  <si>
    <t>Prototype,Beta,Demo,Final Version</t>
  </si>
  <si>
    <t>R_1attM4yarXUocvv</t>
  </si>
  <si>
    <t>I feel like maybe I'm dumb or something but I wish it was possible to download PSDs and such without having to download the full .iso, I'm on Mac and the discs don't mount so I can't grab the files off of them lol</t>
  </si>
  <si>
    <t>Video Game History Foundation Digital Library,The Internet Archive,MobyGames,Hidden Palace,Community Discord servers,Industry data services (Steamdb, IGDB),Other</t>
  </si>
  <si>
    <t>Japanese Wikipedia, Gaming Alexandria</t>
  </si>
  <si>
    <t>Magazine scans are always the best - my work primarily involves researching Japanese titles that never saw worldwide release and presenting them to audiences primarily in the West and LatAM so I don't get to actually use VGHF resources in my work that often but when I have they've been great to get historical context on how certain games and genres were received outside of Japan</t>
  </si>
  <si>
    <t>R_8XonSjTe1ChdN45</t>
  </si>
  <si>
    <t>R_7gfFAV0L1Rinnfb</t>
  </si>
  <si>
    <t>Find primary source information (such as original sale prices of videogame products),Research historical games cultures</t>
  </si>
  <si>
    <t>Stronger advanced search options,Deeper document descriptions,Additional materials</t>
  </si>
  <si>
    <t>Video Game History Foundation Digital Library,The Internet Archive,MobyGames,The Cutting Room Floor,Hidden Palace,Fan wikis</t>
  </si>
  <si>
    <t>Hardware components (consoles or computing devices),Videogame accessories (controllers or peripherals),Production information &amp; metadata,Historical production documentation</t>
  </si>
  <si>
    <t>R_4M96MgM0oZkTG49</t>
  </si>
  <si>
    <t>R_7Hw5YGu6soNJts5</t>
  </si>
  <si>
    <t>.cs .fbx .psd .md .wav .mp4</t>
  </si>
  <si>
    <t>Prototype,Beta,Demo,Release,1-Week post-release patch,Final Version</t>
  </si>
  <si>
    <t>R_6jPRqVjomx0hf7Q</t>
  </si>
  <si>
    <t>Youtube,Patreon,Email</t>
  </si>
  <si>
    <t>Video Game History Foundation Digital Library,The Internet Archive,MobyGames</t>
  </si>
  <si>
    <t xml:space="preserve">Interviews </t>
  </si>
  <si>
    <t xml:space="preserve">I searched the library documents (especially magazines) for keywords such as "Chirico" to find info related to the influence of painter Giorgio de Chirico on video games.  </t>
  </si>
  <si>
    <t>R_6QlAvdnKEFI66h1</t>
  </si>
  <si>
    <t>All</t>
  </si>
  <si>
    <t>Bluesky,Instagram,Youtube,Patreon,Discord,Email,Other</t>
  </si>
  <si>
    <t>Fact-checking claims,To answer questions about games history,Research historical games cultures,Find information on specific games,Share cultural artifacts with others,Academic research,Educational usage,Personal enjoyment</t>
  </si>
  <si>
    <t>Improved tagging and metadata,Stronger advanced search options,Deeper document descriptions,Connections to related objects,Showing previously viewed documents,Additional materials,I am satisfied with my experience</t>
  </si>
  <si>
    <t>Video Game History Foundation Digital Library,The Internet Archive,MobyGames,The Cutting Room Floor,Hidden Palace,Fan wikis,Community Discord servers,Museum collections (E.g., The Strong National Museum of Play),Industry data services (Steamdb, IGDB)</t>
  </si>
  <si>
    <t>R_7ZWY5FBOrJ5iFKN</t>
  </si>
  <si>
    <t>Youtube,Discord</t>
  </si>
  <si>
    <t>Improved tagging and metadata,Connections to related objects,Other (Please describe)</t>
  </si>
  <si>
    <t>I cannot access promo images directly from the web. I have to download the disc image and mount it to access the file at full resolution.</t>
  </si>
  <si>
    <t>I mean I usually get inspired to make videos by random info I find which usually leads me down a random rabbit hole.</t>
  </si>
  <si>
    <t>R_8uCL8ZlEWin5FIl</t>
  </si>
  <si>
    <t>R_3Wz7y9YsjqhqTAZ</t>
  </si>
  <si>
    <t>Game Enthusiast or Collector,Game Historian or Researcher (E.g., Industry, Academic),Game Education (Instructor, Student)</t>
  </si>
  <si>
    <t>R_5Pv0LYuf1r8NoNO</t>
  </si>
  <si>
    <t xml:space="preserve">Still new to the available materials. </t>
  </si>
  <si>
    <t>To answer questions about games history,Find primary source information (such as original sale prices of videogame products),Find information on specific games,Share cultural artifacts with others,Personal enjoyment,Other</t>
  </si>
  <si>
    <t>inspiration for projects</t>
  </si>
  <si>
    <t>not sure</t>
  </si>
  <si>
    <t>R_3KvWB1I5DHOrAbb</t>
  </si>
  <si>
    <t>R_2oebTRxMVeuYmhk</t>
  </si>
  <si>
    <t>Discord,Other</t>
  </si>
  <si>
    <t>x</t>
  </si>
  <si>
    <t>Stronger advanced search options,Other (Please describe)</t>
  </si>
  <si>
    <t>old picture files format converted to lossless modern</t>
  </si>
  <si>
    <t>R_8PiZN3fnSjO5yxC</t>
  </si>
  <si>
    <t>Bulbapedia</t>
  </si>
  <si>
    <t>Fact-checking claims,Find primary source information (such as original sale prices of videogame products),Research historical games cultures,Other</t>
  </si>
  <si>
    <t>Original assets</t>
  </si>
  <si>
    <t>Improved tagging and metadata,Deeper document descriptions,Additional materials,Other (Please describe)</t>
  </si>
  <si>
    <t>Game tags rather than searching key words</t>
  </si>
  <si>
    <t>R_8q2OpPGOCcSTh6N</t>
  </si>
  <si>
    <t>R_7IjMfndxWrFE0M1</t>
  </si>
  <si>
    <t>podcast</t>
  </si>
  <si>
    <t>Find information on specific games,Share cultural artifacts with others</t>
  </si>
  <si>
    <t>R_70JxAKaidE4EovG</t>
  </si>
  <si>
    <t>To answer questions about games history,Find primary source information (such as original sale prices of videogame products),Find information on specific games,Share cultural artifacts with others,Personal enjoyment</t>
  </si>
  <si>
    <t>Stronger advanced search options,Connections to related objects</t>
  </si>
  <si>
    <t>I'm an amateur historian who has worked in the library field for more than a decade, but only recently realized that I could probably use those skills within the field of video games, as well. I'm currently using EndNote to try to compile all available interviews with FromSoftware president Hidetaka Miyazaki and the VGHF materials have been very helpful in pointing me towards sources I might not have otherwise used. Also: the collection of various press kits are excellent as someone who collects rare or uncommon items (slowly). Thanks for a fantastic archive.</t>
  </si>
  <si>
    <t>R_5g0ZhZu4NoBuBQ4</t>
  </si>
  <si>
    <t>To answer questions about games history,Find information on specific games</t>
  </si>
  <si>
    <t>disc images in iso format instead of bin and cue files!</t>
  </si>
  <si>
    <t>Backing up builds or assets on a separate drive</t>
  </si>
  <si>
    <t>dmg, iso, eps, psd, ai, dae</t>
  </si>
  <si>
    <t>Prototype,Beta,Demo,Other</t>
  </si>
  <si>
    <t>Any versions not published or only published / backed up in a limited capacity</t>
  </si>
  <si>
    <t>Video Game History Foundation Digital Library,The Internet Archive,The Cutting Room Floor,Community Discord servers</t>
  </si>
  <si>
    <t>Software (Digital),Production information &amp; metadata</t>
  </si>
  <si>
    <t>R_3dyxWkFkPYY6FBA</t>
  </si>
  <si>
    <t>Game Enthusiast or Collector,Game Industry (Non-Indie or Solo-dev),Game Industry (Indie, Solo-dev)</t>
  </si>
  <si>
    <t>Prototype and source code recovery,Published research (YouTube, blog posts)</t>
  </si>
  <si>
    <t>R_6PaNhxj8uhC72eu</t>
  </si>
  <si>
    <t>Bluesky,Instagram,Youtube,Email</t>
  </si>
  <si>
    <t>Software (Digital),Software (Physical),Hardware components (consoles or computing devices),Production information &amp; metadata,Historical production documentation</t>
  </si>
  <si>
    <t>R_5OqXFmjN4jWW2LT</t>
  </si>
  <si>
    <t>Connections to related objects,I am satisfied with my experience</t>
  </si>
  <si>
    <t>R_5m4yQFZlY48HHnE</t>
  </si>
  <si>
    <t>Deeper document descriptions,Connections to related objects,Additional materials,I am satisfied with my experience</t>
  </si>
  <si>
    <t>Organizing files into folders for future use,Uploading to a cloud storage solution,Backing up builds or assets on a separate drive</t>
  </si>
  <si>
    <t>Video Game History Foundation Digital Library,The Internet Archive,MobyGames,The Cutting Room Floor,Fan wikis,Community Discord servers</t>
  </si>
  <si>
    <t>R_5eoZbDLigFNSmFb</t>
  </si>
  <si>
    <t>R_6PTXhxU2FLDkm4e</t>
  </si>
  <si>
    <t>Game Enthusiast or Collector,Game Industry (Non-Indie or Solo-dev)</t>
  </si>
  <si>
    <t>R_6zw2MTtwchRbJQo</t>
  </si>
  <si>
    <t>R_3zG8M6w6asVhzlm</t>
  </si>
  <si>
    <t>R_8DCNXtF7pUA3keI</t>
  </si>
  <si>
    <t>Game Historian or Researcher (E.g., Industry, Academic),Game Industry (Indie, Solo-dev),Cultural Heritage Institutions (E.g., Libraries, Archives, or Museums)</t>
  </si>
  <si>
    <t>Improved tagging and metadata,Deeper document descriptions,Additional materials,I am satisfied with my experience</t>
  </si>
  <si>
    <t>R_4r09oRTBJIbO7vJ</t>
  </si>
  <si>
    <t>R_1DhaQWY2lzuaUHT</t>
  </si>
  <si>
    <t>tumblr</t>
  </si>
  <si>
    <t>Mass print materials (E.g., magazines, art, or flyers),Non-development materials (E.g., merchandise),Retail video games</t>
  </si>
  <si>
    <t>R_8dBDtgFBAZSSEGR</t>
  </si>
  <si>
    <t>Find primary source information (such as original sale prices of videogame products),Research historical games cultures,Find information on specific games,Share cultural artifacts with others</t>
  </si>
  <si>
    <t>More stuff!</t>
  </si>
  <si>
    <t>R_2GttEqGAP2b2O2J</t>
  </si>
  <si>
    <t>Gex</t>
  </si>
  <si>
    <t>R_5vOw7cCHfOETkad</t>
  </si>
  <si>
    <t>R_4ARuLY9LLQ2qqsB</t>
  </si>
  <si>
    <t>R_87lfjH3DRw8KWlb</t>
  </si>
  <si>
    <t>Telegram</t>
  </si>
  <si>
    <t>Stronger advanced search options,Connections to related objects,Additional materials</t>
  </si>
  <si>
    <t>Organizing files into folders for future use,Labeling work with dates to prepare for storage,Condensing assets for storage,Uploading to a cloud storage solution,Backing up builds or assets on a separate drive,Adding resource comments to your folders (Example: README.txt)</t>
  </si>
  <si>
    <t>.png, .psd, .txt, .doc, .gif, .avi</t>
  </si>
  <si>
    <t>Software (Digital),Production information &amp; metadata,Usage or player information data (e.g., statistics, scores, lets plays),Historical production documentation</t>
  </si>
  <si>
    <t>I use the materials to try and construct an accurate historical record (eg. the still not entirely clear split of Interplay and Steve Jackson Games back in 1997), and preserve the sources - the Digital Rot is pervasive and it's very easy to lose track of history and thus what actually happened. This is also important from my perspective to provide resources and information for future developers and players, in the moment that we are living in - something that has, in centuries past, led to losing a lot of vital context, forcing us to rely on assumptions in certain areas of studying the past.</t>
  </si>
  <si>
    <t>R_1OPU64XTQEzDx4T</t>
  </si>
  <si>
    <t>Game Historian or Researcher (E.g., Community, Journalist, or Independent),Game Historian or Researcher (E.g., Industry, Academic),Game Education (Instructor, Student)</t>
  </si>
  <si>
    <t>Find primary source information (such as original sale prices of videogame products),Research historical games cultures,Academic research</t>
  </si>
  <si>
    <t>Mostly finding reliable primary documents, fact-checking existing claims, and generally learning more about the context of historic game production</t>
  </si>
  <si>
    <t>Video Game History Foundation Digital Library,The Internet Archive,MobyGames,Industry data services (Steamdb, IGDB),Other</t>
  </si>
  <si>
    <t>Archives of existing game journalist sites</t>
  </si>
  <si>
    <t>R_7BeYbLfu35mW7Ei</t>
  </si>
  <si>
    <t>History hour podcast</t>
  </si>
  <si>
    <t>Find information on specific games,Personal enjoyment</t>
  </si>
  <si>
    <t>R_6oF3kW2o2HEMfz3</t>
  </si>
  <si>
    <t>R_5aFiCk62pQscIW5</t>
  </si>
  <si>
    <t>R_3M5PbgbpchEOJXM</t>
  </si>
  <si>
    <t>Improved tagging and metadata,Stronger advanced search options,Deeper document descriptions,Showing previously viewed documents,Additional materials</t>
  </si>
  <si>
    <t>R_5ZIkELIm289eCFu</t>
  </si>
  <si>
    <t>The digital library portal,Game preservation advocacy (Legislative, industry, and community),Prototype and source code recovery,VGHF presence at game events (E.g., pop-up museum, panels),Game industry partnerships (E.g., working on commercial games)</t>
  </si>
  <si>
    <t>don't remember</t>
  </si>
  <si>
    <t>Oral histories (E.g., interviews),Video game prototypes,Hardware (E.g., controllers, consoles)</t>
  </si>
  <si>
    <t>I've really enjoyed the candid demonstrations where frank has dumped old rom chips or talked about recovering basically trashed things from industry partners looking to offload an uncurated archive.</t>
  </si>
  <si>
    <t>Conventions</t>
  </si>
  <si>
    <t>R_6CehnT63eGHKaPJ</t>
  </si>
  <si>
    <t>I'd be interested in seeing the prototypes in the Mark Flitman collection be released. There's a lot of Dragon Ball-related stuff in there.</t>
  </si>
  <si>
    <t>R_7OBNVSzaZX1h2a5</t>
  </si>
  <si>
    <t>To answer questions about games history,Research historical games cultures,Find information on specific games,Personal enjoyment</t>
  </si>
  <si>
    <t>R_6anW1YvSx3tP57I</t>
  </si>
  <si>
    <t>Bluesky,Youtube,Patreon</t>
  </si>
  <si>
    <t>Fact-checking claims,To answer questions about games history,Find primary source information (such as original sale prices of videogame products),Research historical games cultures,Find information on specific games,Share cultural artifacts with others</t>
  </si>
  <si>
    <t>R_2P7yJ9JGonimvI4</t>
  </si>
  <si>
    <t>Organizing files into folders for future use,Labeling work with dates to prepare for storage,Condensing builds for storage (e.g, ZIP, 7z),Condensing assets for storage,Backing up builds or assets on a separate drive,Adding resource comments to your folders (Example: README.txt)</t>
  </si>
  <si>
    <t>Demo,Release,Final Version</t>
  </si>
  <si>
    <t>True</t>
  </si>
  <si>
    <t>False</t>
  </si>
  <si>
    <t>Percentage</t>
  </si>
  <si>
    <t>Amount</t>
  </si>
  <si>
    <t>Slighty Well</t>
  </si>
  <si>
    <t>Moderately Well</t>
  </si>
  <si>
    <t>Very Well</t>
  </si>
  <si>
    <t>Extremely Well</t>
  </si>
  <si>
    <t xml:space="preserve">Non-Personal Enjoyment People on How Useful are the Discoverability Features </t>
  </si>
  <si>
    <t>Top 20</t>
  </si>
  <si>
    <t>21-40</t>
  </si>
  <si>
    <t>41-60</t>
  </si>
  <si>
    <t>61-80</t>
  </si>
  <si>
    <t>81-100</t>
  </si>
  <si>
    <t>101-120</t>
  </si>
  <si>
    <t>121-135</t>
  </si>
  <si>
    <t>Donors</t>
  </si>
  <si>
    <t>User Rank (by amount of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</si>
</sst>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0"/>
      <color rgb="FF000000"/>
      <name val="Arial"/>
      <scheme val="minor"/>
    </font>
    <font>
      <sz val="10"/>
      <color theme="1"/>
      <name val="Arial"/>
    </font>
    <font>
      <b/>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cellXfs>
  <cellStyles count="1">
    <cellStyle name="Normal" xfId="0" builtinId="0"/>
  </cellStyles>
  <dxfs count="46">
    <dxf>
      <fill>
        <patternFill patternType="solid">
          <fgColor rgb="FF93C47D"/>
          <bgColor rgb="FF93C47D"/>
        </patternFill>
      </fill>
    </dxf>
    <dxf>
      <fill>
        <patternFill patternType="solid">
          <fgColor rgb="FFCCCCCC"/>
          <bgColor rgb="FFCCCCCC"/>
        </patternFill>
      </fill>
    </dxf>
    <dxf>
      <fill>
        <patternFill patternType="solid">
          <fgColor rgb="FF9FC5E8"/>
          <bgColor rgb="FF9FC5E8"/>
        </patternFill>
      </fill>
    </dxf>
    <dxf>
      <fill>
        <patternFill patternType="solid">
          <fgColor rgb="FFFF0000"/>
          <bgColor rgb="FFFF0000"/>
        </patternFill>
      </fill>
    </dxf>
    <dxf>
      <fill>
        <patternFill patternType="solid">
          <fgColor rgb="FF93C47D"/>
          <bgColor rgb="FF93C47D"/>
        </patternFill>
      </fill>
    </dxf>
    <dxf>
      <fill>
        <patternFill patternType="solid">
          <fgColor rgb="FFCCCCCC"/>
          <bgColor rgb="FFCCCCCC"/>
        </patternFill>
      </fill>
    </dxf>
    <dxf>
      <fill>
        <patternFill patternType="solid">
          <fgColor rgb="FF9FC5E8"/>
          <bgColor rgb="FF9FC5E8"/>
        </patternFill>
      </fill>
    </dxf>
    <dxf>
      <fill>
        <patternFill patternType="solid">
          <fgColor rgb="FFFF0000"/>
          <bgColor rgb="FFFF0000"/>
        </patternFill>
      </fill>
    </dxf>
    <dxf>
      <fill>
        <patternFill patternType="solid">
          <fgColor rgb="FF93C47D"/>
          <bgColor rgb="FF93C47D"/>
        </patternFill>
      </fill>
    </dxf>
    <dxf>
      <fill>
        <patternFill patternType="solid">
          <fgColor rgb="FFCCCCCC"/>
          <bgColor rgb="FFCCCCCC"/>
        </patternFill>
      </fill>
    </dxf>
    <dxf>
      <fill>
        <patternFill patternType="solid">
          <fgColor rgb="FF9FC5E8"/>
          <bgColor rgb="FF9FC5E8"/>
        </patternFill>
      </fill>
    </dxf>
    <dxf>
      <fill>
        <patternFill patternType="solid">
          <fgColor rgb="FFFF0000"/>
          <bgColor rgb="FFFF0000"/>
        </patternFill>
      </fill>
    </dxf>
    <dxf>
      <fill>
        <patternFill patternType="solid">
          <fgColor rgb="FF93C47D"/>
          <bgColor rgb="FF93C47D"/>
        </patternFill>
      </fill>
    </dxf>
    <dxf>
      <fill>
        <patternFill patternType="solid">
          <fgColor rgb="FFCCCCCC"/>
          <bgColor rgb="FFCCCCCC"/>
        </patternFill>
      </fill>
    </dxf>
    <dxf>
      <fill>
        <patternFill patternType="solid">
          <fgColor rgb="FF9FC5E8"/>
          <bgColor rgb="FF9FC5E8"/>
        </patternFill>
      </fill>
    </dxf>
    <dxf>
      <fill>
        <patternFill patternType="solid">
          <fgColor rgb="FFFF0000"/>
          <bgColor rgb="FFFF0000"/>
        </patternFill>
      </fill>
    </dxf>
    <dxf>
      <fill>
        <patternFill patternType="solid">
          <fgColor rgb="FF93C47D"/>
          <bgColor rgb="FF93C47D"/>
        </patternFill>
      </fill>
    </dxf>
    <dxf>
      <fill>
        <patternFill patternType="solid">
          <fgColor rgb="FFCCCCCC"/>
          <bgColor rgb="FFCCCCCC"/>
        </patternFill>
      </fill>
    </dxf>
    <dxf>
      <fill>
        <patternFill patternType="solid">
          <fgColor rgb="FF9FC5E8"/>
          <bgColor rgb="FF9FC5E8"/>
        </patternFill>
      </fill>
    </dxf>
    <dxf>
      <fill>
        <patternFill patternType="solid">
          <fgColor rgb="FFFF0000"/>
          <bgColor rgb="FFFF0000"/>
        </patternFill>
      </fill>
    </dxf>
    <dxf>
      <fill>
        <patternFill patternType="solid">
          <fgColor rgb="FF93C47D"/>
          <bgColor rgb="FF93C47D"/>
        </patternFill>
      </fill>
    </dxf>
    <dxf>
      <fill>
        <patternFill patternType="solid">
          <fgColor rgb="FFCCCCCC"/>
          <bgColor rgb="FFCCCCCC"/>
        </patternFill>
      </fill>
    </dxf>
    <dxf>
      <fill>
        <patternFill patternType="solid">
          <fgColor rgb="FF9FC5E8"/>
          <bgColor rgb="FF9FC5E8"/>
        </patternFill>
      </fill>
    </dxf>
    <dxf>
      <fill>
        <patternFill patternType="solid">
          <fgColor rgb="FFFF0000"/>
          <bgColor rgb="FFFF0000"/>
        </patternFill>
      </fill>
    </dxf>
    <dxf>
      <fill>
        <patternFill patternType="solid">
          <fgColor rgb="FF93C47D"/>
          <bgColor rgb="FF93C47D"/>
        </patternFill>
      </fill>
    </dxf>
    <dxf>
      <fill>
        <patternFill patternType="solid">
          <fgColor rgb="FFCCCCCC"/>
          <bgColor rgb="FFCCCCCC"/>
        </patternFill>
      </fill>
    </dxf>
    <dxf>
      <fill>
        <patternFill patternType="solid">
          <fgColor rgb="FF9FC5E8"/>
          <bgColor rgb="FF9FC5E8"/>
        </patternFill>
      </fill>
    </dxf>
    <dxf>
      <fill>
        <patternFill patternType="solid">
          <fgColor rgb="FFFF0000"/>
          <bgColor rgb="FFFF0000"/>
        </patternFill>
      </fill>
    </dxf>
    <dxf>
      <fill>
        <patternFill patternType="solid">
          <fgColor rgb="FF93C47D"/>
          <bgColor rgb="FF93C47D"/>
        </patternFill>
      </fill>
    </dxf>
    <dxf>
      <fill>
        <patternFill patternType="solid">
          <fgColor rgb="FFCCCCCC"/>
          <bgColor rgb="FFCCCCCC"/>
        </patternFill>
      </fill>
    </dxf>
    <dxf>
      <fill>
        <patternFill patternType="solid">
          <fgColor rgb="FF9FC5E8"/>
          <bgColor rgb="FF9FC5E8"/>
        </patternFill>
      </fill>
    </dxf>
    <dxf>
      <fill>
        <patternFill patternType="solid">
          <fgColor rgb="FFFF0000"/>
          <bgColor rgb="FFFF0000"/>
        </patternFill>
      </fill>
    </dxf>
    <dxf>
      <font>
        <color rgb="FF9C0006"/>
      </font>
      <fill>
        <patternFill>
          <bgColor rgb="FFFFC7CE"/>
        </patternFill>
      </fill>
    </dxf>
    <dxf>
      <fill>
        <patternFill patternType="solid">
          <fgColor rgb="FF93C47D"/>
          <bgColor rgb="FF93C47D"/>
        </patternFill>
      </fill>
    </dxf>
    <dxf>
      <fill>
        <patternFill patternType="solid">
          <fgColor rgb="FFCCCCCC"/>
          <bgColor rgb="FFCCCCCC"/>
        </patternFill>
      </fill>
    </dxf>
    <dxf>
      <fill>
        <patternFill patternType="solid">
          <fgColor rgb="FF9FC5E8"/>
          <bgColor rgb="FF9FC5E8"/>
        </patternFill>
      </fill>
    </dxf>
    <dxf>
      <fill>
        <patternFill patternType="solid">
          <fgColor rgb="FFFF0000"/>
          <bgColor rgb="FFFF0000"/>
        </patternFill>
      </fill>
    </dxf>
    <dxf>
      <fill>
        <patternFill patternType="solid">
          <fgColor rgb="FF9FC5E8"/>
          <bgColor rgb="FF9FC5E8"/>
        </patternFill>
      </fill>
    </dxf>
    <dxf>
      <fill>
        <patternFill patternType="solid">
          <fgColor rgb="FF93C47D"/>
          <bgColor rgb="FF93C47D"/>
        </patternFill>
      </fill>
    </dxf>
    <dxf>
      <fill>
        <patternFill patternType="solid">
          <fgColor rgb="FFCCCCCC"/>
          <bgColor rgb="FFCCCCCC"/>
        </patternFill>
      </fill>
    </dxf>
    <dxf>
      <fill>
        <patternFill patternType="solid">
          <fgColor rgb="FF9FC5E8"/>
          <bgColor rgb="FF9FC5E8"/>
        </patternFill>
      </fill>
    </dxf>
    <dxf>
      <fill>
        <patternFill patternType="solid">
          <fgColor rgb="FFFF0000"/>
          <bgColor rgb="FFFF0000"/>
        </patternFill>
      </fill>
    </dxf>
    <dxf>
      <fill>
        <patternFill patternType="solid">
          <fgColor rgb="FF93C47D"/>
          <bgColor rgb="FF93C47D"/>
        </patternFill>
      </fill>
    </dxf>
    <dxf>
      <fill>
        <patternFill patternType="solid">
          <fgColor rgb="FFCCCCCC"/>
          <bgColor rgb="FFCCCCCC"/>
        </patternFill>
      </fill>
    </dxf>
    <dxf>
      <fill>
        <patternFill patternType="solid">
          <fgColor rgb="FF9FC5E8"/>
          <bgColor rgb="FF9FC5E8"/>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0" i="0" u="none" strike="noStrike" kern="1200" spc="0" baseline="0">
                <a:solidFill>
                  <a:srgbClr val="000000">
                    <a:lumMod val="65000"/>
                    <a:lumOff val="35000"/>
                  </a:srgbClr>
                </a:solidFill>
              </a:rPr>
              <a:t>Number of Donors sorted by Most Roles to Least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'Main Sheet (deleted extras)'!$AT$142:$AT$148</c:f>
              <c:strCache>
                <c:ptCount val="7"/>
                <c:pt idx="0">
                  <c:v>Top 20</c:v>
                </c:pt>
                <c:pt idx="1">
                  <c:v>21-40</c:v>
                </c:pt>
                <c:pt idx="2">
                  <c:v>41-60</c:v>
                </c:pt>
                <c:pt idx="3">
                  <c:v>61-80</c:v>
                </c:pt>
                <c:pt idx="4">
                  <c:v>81-100</c:v>
                </c:pt>
                <c:pt idx="5">
                  <c:v>101-120</c:v>
                </c:pt>
                <c:pt idx="6">
                  <c:v>121-135</c:v>
                </c:pt>
              </c:strCache>
            </c:strRef>
          </c:cat>
          <c:val>
            <c:numRef>
              <c:f>'Main Sheet (deleted extras)'!$AU$142:$AU$148</c:f>
              <c:numCache>
                <c:formatCode>General</c:formatCode>
                <c:ptCount val="7"/>
                <c:pt idx="0">
                  <c:v>9</c:v>
                </c:pt>
                <c:pt idx="1">
                  <c:v>5</c:v>
                </c:pt>
                <c:pt idx="2">
                  <c:v>9</c:v>
                </c:pt>
                <c:pt idx="3">
                  <c:v>6</c:v>
                </c:pt>
                <c:pt idx="4">
                  <c:v>7</c:v>
                </c:pt>
                <c:pt idx="5">
                  <c:v>3</c:v>
                </c:pt>
                <c:pt idx="6">
                  <c:v>0</c:v>
                </c:pt>
              </c:numCache>
            </c:numRef>
          </c:val>
          <c:smooth val="0"/>
          <c:extLst>
            <c:ext xmlns:c16="http://schemas.microsoft.com/office/drawing/2014/chart" uri="{C3380CC4-5D6E-409C-BE32-E72D297353CC}">
              <c16:uniqueId val="{00000000-FBDE-4B32-98C5-ABB351B65FFD}"/>
            </c:ext>
          </c:extLst>
        </c:ser>
        <c:dLbls>
          <c:showLegendKey val="0"/>
          <c:showVal val="0"/>
          <c:showCatName val="0"/>
          <c:showSerName val="0"/>
          <c:showPercent val="0"/>
          <c:showBubbleSize val="0"/>
        </c:dLbls>
        <c:smooth val="0"/>
        <c:axId val="1881382319"/>
        <c:axId val="1800105583"/>
      </c:lineChart>
      <c:catAx>
        <c:axId val="188138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105583"/>
        <c:crosses val="autoZero"/>
        <c:auto val="1"/>
        <c:lblAlgn val="ctr"/>
        <c:lblOffset val="100"/>
        <c:noMultiLvlLbl val="0"/>
      </c:catAx>
      <c:valAx>
        <c:axId val="180010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38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Non-Personal Enjoyment People on How Useful are the Discoverability Features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extLst>
                <c:ext xmlns:c15="http://schemas.microsoft.com/office/drawing/2012/chart" uri="{02D57815-91ED-43cb-92C2-25804820EDAC}">
                  <c15:fullRef>
                    <c15:sqref>Sheet1!$BM$33:$BP$34</c15:sqref>
                  </c15:fullRef>
                  <c15:levelRef>
                    <c15:sqref>Sheet1!$BM$34:$BP$34</c15:sqref>
                  </c15:levelRef>
                </c:ext>
              </c:extLst>
              <c:f>Sheet1!$BM$34:$BP$34</c:f>
              <c:strCache>
                <c:ptCount val="4"/>
                <c:pt idx="0">
                  <c:v>Slighty Well</c:v>
                </c:pt>
                <c:pt idx="1">
                  <c:v>Moderately Well</c:v>
                </c:pt>
                <c:pt idx="2">
                  <c:v>Very Well</c:v>
                </c:pt>
                <c:pt idx="3">
                  <c:v>Extremely Well</c:v>
                </c:pt>
              </c:strCache>
            </c:strRef>
          </c:cat>
          <c:val>
            <c:numRef>
              <c:f>Sheet1!$BM$35:$BP$35</c:f>
              <c:numCache>
                <c:formatCode>General</c:formatCode>
                <c:ptCount val="4"/>
                <c:pt idx="0">
                  <c:v>4</c:v>
                </c:pt>
                <c:pt idx="1">
                  <c:v>6</c:v>
                </c:pt>
                <c:pt idx="2">
                  <c:v>4</c:v>
                </c:pt>
                <c:pt idx="3">
                  <c:v>4</c:v>
                </c:pt>
              </c:numCache>
            </c:numRef>
          </c:val>
          <c:extLst>
            <c:ext xmlns:c16="http://schemas.microsoft.com/office/drawing/2014/chart" uri="{C3380CC4-5D6E-409C-BE32-E72D297353CC}">
              <c16:uniqueId val="{00000000-FC06-4910-BFE9-2ABDED51BE47}"/>
            </c:ext>
          </c:extLst>
        </c:ser>
        <c:dLbls>
          <c:showLegendKey val="0"/>
          <c:showVal val="0"/>
          <c:showCatName val="0"/>
          <c:showSerName val="0"/>
          <c:showPercent val="0"/>
          <c:showBubbleSize val="0"/>
        </c:dLbls>
        <c:gapWidth val="182"/>
        <c:axId val="1643850991"/>
        <c:axId val="1643849071"/>
      </c:barChart>
      <c:catAx>
        <c:axId val="1643850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49071"/>
        <c:crosses val="autoZero"/>
        <c:auto val="1"/>
        <c:lblAlgn val="ctr"/>
        <c:lblOffset val="100"/>
        <c:noMultiLvlLbl val="0"/>
      </c:catAx>
      <c:valAx>
        <c:axId val="164384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50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47</xdr:col>
      <xdr:colOff>53340</xdr:colOff>
      <xdr:row>139</xdr:row>
      <xdr:rowOff>194310</xdr:rowOff>
    </xdr:from>
    <xdr:to>
      <xdr:col>52</xdr:col>
      <xdr:colOff>281940</xdr:colOff>
      <xdr:row>153</xdr:row>
      <xdr:rowOff>163830</xdr:rowOff>
    </xdr:to>
    <xdr:graphicFrame macro="">
      <xdr:nvGraphicFramePr>
        <xdr:cNvPr id="3" name="Chart 2">
          <a:extLst>
            <a:ext uri="{FF2B5EF4-FFF2-40B4-BE49-F238E27FC236}">
              <a16:creationId xmlns:a16="http://schemas.microsoft.com/office/drawing/2014/main" id="{BB0F10B2-3F7F-109A-5F36-1783E62E2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62</xdr:col>
      <xdr:colOff>342900</xdr:colOff>
      <xdr:row>35</xdr:row>
      <xdr:rowOff>80010</xdr:rowOff>
    </xdr:from>
    <xdr:to>
      <xdr:col>70</xdr:col>
      <xdr:colOff>38100</xdr:colOff>
      <xdr:row>51</xdr:row>
      <xdr:rowOff>140970</xdr:rowOff>
    </xdr:to>
    <xdr:graphicFrame macro="">
      <xdr:nvGraphicFramePr>
        <xdr:cNvPr id="2" name="Chart 1">
          <a:extLst>
            <a:ext uri="{FF2B5EF4-FFF2-40B4-BE49-F238E27FC236}">
              <a16:creationId xmlns:a16="http://schemas.microsoft.com/office/drawing/2014/main" id="{C137BE2A-78DA-2A67-4643-9F9F94374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C1000"/>
  <sheetViews>
    <sheetView workbookViewId="0">
      <pane ySplit="2" topLeftCell="A3" activePane="bottomLeft" state="frozen"/>
      <selection pane="bottomLeft" activeCell="B4" sqref="B4"/>
    </sheetView>
  </sheetViews>
  <sheetFormatPr defaultColWidth="12.6640625" defaultRowHeight="15" customHeight="1" x14ac:dyDescent="0.25"/>
  <cols>
    <col min="1" max="4" width="12.6640625" customWidth="1"/>
    <col min="5" max="5" width="10.33203125" customWidth="1"/>
    <col min="6" max="6" width="12.33203125" customWidth="1"/>
    <col min="7" max="7" width="8.77734375" customWidth="1"/>
    <col min="8" max="8" width="8.21875" customWidth="1"/>
  </cols>
  <sheetData>
    <row r="1" spans="1:107" ht="15.75" customHeight="1" x14ac:dyDescent="0.2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ht="15.75" customHeight="1" x14ac:dyDescent="0.25">
      <c r="A2" s="1" t="s">
        <v>0</v>
      </c>
      <c r="B2" s="1" t="s">
        <v>107</v>
      </c>
      <c r="C2" s="1" t="s">
        <v>108</v>
      </c>
      <c r="D2" s="1" t="s">
        <v>109</v>
      </c>
      <c r="E2" s="1"/>
      <c r="F2" s="1"/>
      <c r="G2" s="1"/>
      <c r="H2" s="1"/>
      <c r="I2" s="1"/>
      <c r="J2" s="1"/>
      <c r="K2" s="1"/>
      <c r="L2" s="1"/>
      <c r="M2" s="1" t="s">
        <v>110</v>
      </c>
      <c r="N2" s="1" t="s">
        <v>111</v>
      </c>
      <c r="O2" s="1"/>
      <c r="P2" s="1"/>
      <c r="Q2" s="1"/>
      <c r="R2" s="1"/>
      <c r="S2" s="1"/>
      <c r="T2" s="1"/>
      <c r="U2" s="1" t="s">
        <v>112</v>
      </c>
      <c r="V2" s="1" t="s">
        <v>113</v>
      </c>
      <c r="W2" s="1"/>
      <c r="X2" s="1"/>
      <c r="Y2" s="1"/>
      <c r="Z2" s="1"/>
      <c r="AA2" s="1"/>
      <c r="AB2" s="1" t="s">
        <v>114</v>
      </c>
      <c r="AC2" s="1"/>
      <c r="AD2" s="1"/>
      <c r="AE2" s="1"/>
      <c r="AF2" s="1"/>
      <c r="AG2" s="1"/>
      <c r="AH2" s="1"/>
      <c r="AI2" s="1"/>
      <c r="AJ2" s="1" t="s">
        <v>115</v>
      </c>
      <c r="AK2" s="1" t="s">
        <v>116</v>
      </c>
      <c r="AL2" s="1"/>
      <c r="AM2" s="1"/>
      <c r="AN2" s="1"/>
      <c r="AO2" s="1"/>
      <c r="AP2" s="1"/>
      <c r="AQ2" s="1"/>
      <c r="AR2" s="1"/>
      <c r="AS2" s="1"/>
      <c r="AT2" s="1" t="s">
        <v>117</v>
      </c>
      <c r="AU2" s="1" t="s">
        <v>118</v>
      </c>
      <c r="AV2" s="1"/>
      <c r="AW2" s="1"/>
      <c r="AX2" s="1"/>
      <c r="AY2" s="1" t="s">
        <v>119</v>
      </c>
      <c r="AZ2" s="1" t="s">
        <v>120</v>
      </c>
      <c r="BA2" s="1" t="s">
        <v>121</v>
      </c>
      <c r="BB2" s="1"/>
      <c r="BC2" s="1"/>
      <c r="BD2" s="1"/>
      <c r="BE2" s="1"/>
      <c r="BF2" s="1"/>
      <c r="BG2" s="1"/>
      <c r="BH2" s="1"/>
      <c r="BI2" s="1"/>
      <c r="BJ2" s="1"/>
      <c r="BK2" s="1"/>
      <c r="BL2" s="1" t="s">
        <v>122</v>
      </c>
      <c r="BM2" s="1" t="s">
        <v>123</v>
      </c>
      <c r="BN2" s="1" t="s">
        <v>124</v>
      </c>
      <c r="BO2" s="1"/>
      <c r="BP2" s="1"/>
      <c r="BQ2" s="1"/>
      <c r="BR2" s="1"/>
      <c r="BS2" s="1"/>
      <c r="BT2" s="1"/>
      <c r="BU2" s="1"/>
      <c r="BV2" s="1" t="s">
        <v>125</v>
      </c>
      <c r="BW2" s="1" t="s">
        <v>126</v>
      </c>
      <c r="BX2" s="1" t="s">
        <v>127</v>
      </c>
      <c r="BY2" s="1" t="s">
        <v>128</v>
      </c>
      <c r="BZ2" s="1" t="s">
        <v>129</v>
      </c>
      <c r="CA2" s="1" t="s">
        <v>130</v>
      </c>
      <c r="CB2" s="1" t="s">
        <v>131</v>
      </c>
      <c r="CC2" s="1" t="s">
        <v>132</v>
      </c>
      <c r="CD2" s="1" t="s">
        <v>133</v>
      </c>
      <c r="CE2" s="1" t="s">
        <v>134</v>
      </c>
      <c r="CF2" s="1" t="s">
        <v>135</v>
      </c>
      <c r="CG2" s="1" t="s">
        <v>136</v>
      </c>
      <c r="CH2" s="1" t="s">
        <v>137</v>
      </c>
      <c r="CI2" s="1" t="s">
        <v>138</v>
      </c>
      <c r="CJ2" s="1" t="s">
        <v>139</v>
      </c>
      <c r="CK2" s="1" t="s">
        <v>140</v>
      </c>
      <c r="CL2" s="1" t="s">
        <v>141</v>
      </c>
      <c r="CM2" s="1" t="s">
        <v>142</v>
      </c>
      <c r="CN2" s="1" t="s">
        <v>143</v>
      </c>
      <c r="CO2" s="1" t="s">
        <v>144</v>
      </c>
      <c r="CP2" s="1" t="s">
        <v>145</v>
      </c>
      <c r="CQ2" s="1" t="s">
        <v>146</v>
      </c>
      <c r="CR2" s="1" t="s">
        <v>147</v>
      </c>
      <c r="CS2" s="1" t="s">
        <v>148</v>
      </c>
      <c r="CT2" s="1" t="s">
        <v>149</v>
      </c>
      <c r="CU2" s="1" t="s">
        <v>150</v>
      </c>
      <c r="CV2" s="1" t="s">
        <v>151</v>
      </c>
      <c r="CW2" s="1" t="s">
        <v>152</v>
      </c>
      <c r="CX2" s="1" t="s">
        <v>153</v>
      </c>
      <c r="CY2" s="1" t="s">
        <v>154</v>
      </c>
      <c r="CZ2" s="1" t="s">
        <v>155</v>
      </c>
      <c r="DA2" s="1" t="s">
        <v>156</v>
      </c>
      <c r="DB2" s="1" t="s">
        <v>152</v>
      </c>
      <c r="DC2" s="1" t="s">
        <v>157</v>
      </c>
    </row>
    <row r="3" spans="1:107" ht="15.75" customHeight="1" x14ac:dyDescent="0.25">
      <c r="A3" s="1" t="b">
        <v>1</v>
      </c>
      <c r="B3" s="3">
        <v>46149.201261574075</v>
      </c>
      <c r="C3" s="1" t="s">
        <v>158</v>
      </c>
      <c r="D3" s="1" t="s">
        <v>159</v>
      </c>
      <c r="E3" s="4">
        <f t="shared" ref="E3:K3" si="0">IF(ISNUMBER(SEARCH(E$1,$D3)), SEARCH(E$1,$D3), 0)</f>
        <v>1</v>
      </c>
      <c r="F3" s="4">
        <f t="shared" si="0"/>
        <v>0</v>
      </c>
      <c r="G3" s="4">
        <f t="shared" si="0"/>
        <v>0</v>
      </c>
      <c r="H3" s="4">
        <f t="shared" si="0"/>
        <v>0</v>
      </c>
      <c r="I3" s="4">
        <f t="shared" si="0"/>
        <v>30</v>
      </c>
      <c r="J3" s="4">
        <f t="shared" si="0"/>
        <v>62</v>
      </c>
      <c r="K3" s="4">
        <f t="shared" si="0"/>
        <v>0</v>
      </c>
      <c r="L3" s="4">
        <f t="shared" ref="L3:L144" si="1">(MAX(E3:K3))</f>
        <v>62</v>
      </c>
      <c r="N3" s="1" t="s">
        <v>160</v>
      </c>
      <c r="O3" s="4">
        <f t="shared" ref="O3:T3" si="2">IF(ISNUMBER(SEARCH(O$1,$N3)), 1, 0)</f>
        <v>1</v>
      </c>
      <c r="P3" s="4">
        <f t="shared" si="2"/>
        <v>1</v>
      </c>
      <c r="Q3" s="4">
        <f t="shared" si="2"/>
        <v>1</v>
      </c>
      <c r="R3" s="4">
        <f t="shared" si="2"/>
        <v>1</v>
      </c>
      <c r="S3" s="4">
        <f t="shared" si="2"/>
        <v>1</v>
      </c>
      <c r="T3" s="4">
        <f t="shared" si="2"/>
        <v>1</v>
      </c>
      <c r="U3" s="1" t="s">
        <v>161</v>
      </c>
      <c r="W3" s="1" t="str">
        <f t="shared" ref="W3:AA12" si="3">IF(W$1=$V3, "True", "False")</f>
        <v>False</v>
      </c>
      <c r="X3" s="1" t="str">
        <f t="shared" si="3"/>
        <v>False</v>
      </c>
      <c r="Y3" s="1" t="str">
        <f t="shared" si="3"/>
        <v>False</v>
      </c>
      <c r="Z3" s="1" t="str">
        <f t="shared" si="3"/>
        <v>False</v>
      </c>
      <c r="AA3" s="1" t="str">
        <f t="shared" si="3"/>
        <v>False</v>
      </c>
      <c r="AB3" s="1" t="s">
        <v>162</v>
      </c>
      <c r="AC3" s="4">
        <f t="shared" ref="AC3:AH3" si="4">IF(ISNUMBER(SEARCH(AC$1,$AB3)), 1, 0)</f>
        <v>1</v>
      </c>
      <c r="AD3" s="4">
        <f t="shared" si="4"/>
        <v>1</v>
      </c>
      <c r="AE3" s="4">
        <f t="shared" si="4"/>
        <v>0</v>
      </c>
      <c r="AF3" s="4">
        <f t="shared" si="4"/>
        <v>0</v>
      </c>
      <c r="AG3" s="4">
        <f t="shared" si="4"/>
        <v>0</v>
      </c>
      <c r="AH3" s="4">
        <f t="shared" si="4"/>
        <v>0</v>
      </c>
      <c r="AI3" s="1">
        <f t="shared" ref="AI3:AI144" si="5">SUM(AC3:AH3)</f>
        <v>2</v>
      </c>
      <c r="AJ3" s="1" t="s">
        <v>163</v>
      </c>
      <c r="AK3" s="1" t="s">
        <v>164</v>
      </c>
      <c r="AL3" s="4">
        <f t="shared" ref="AL3:AS3" si="6">IF(ISNUMBER(SEARCH(AL$1,$AK3)), 1, 0)</f>
        <v>0</v>
      </c>
      <c r="AM3" s="4">
        <f t="shared" si="6"/>
        <v>1</v>
      </c>
      <c r="AN3" s="4">
        <f t="shared" si="6"/>
        <v>0</v>
      </c>
      <c r="AO3" s="4">
        <f t="shared" si="6"/>
        <v>1</v>
      </c>
      <c r="AP3" s="4">
        <f t="shared" si="6"/>
        <v>0</v>
      </c>
      <c r="AQ3" s="4">
        <f t="shared" si="6"/>
        <v>1</v>
      </c>
      <c r="AR3" s="4">
        <f t="shared" si="6"/>
        <v>1</v>
      </c>
      <c r="AS3" s="4">
        <f t="shared" si="6"/>
        <v>0</v>
      </c>
      <c r="AU3" s="1" t="s">
        <v>48</v>
      </c>
      <c r="AV3" s="1">
        <f t="shared" ref="AV3:AV144" si="7">IF($AU3="No",1,0)</f>
        <v>0</v>
      </c>
      <c r="AW3" s="1">
        <f t="shared" ref="AW3:AW144" si="8">IF($AU3="Yes",1,0)</f>
        <v>1</v>
      </c>
      <c r="AX3" s="1">
        <f t="shared" ref="AX3:AX144" si="9">IF($AU3="Unsure",1,0)</f>
        <v>0</v>
      </c>
      <c r="AY3" s="1" t="s">
        <v>48</v>
      </c>
      <c r="BA3" s="1" t="s">
        <v>165</v>
      </c>
      <c r="BB3" s="4">
        <f t="shared" ref="BB3:BJ3" si="10">IF(ISNUMBER(SEARCH(BB$1,$BA3)), 1, 0)</f>
        <v>1</v>
      </c>
      <c r="BC3" s="4">
        <f t="shared" si="10"/>
        <v>1</v>
      </c>
      <c r="BD3" s="4">
        <f t="shared" si="10"/>
        <v>1</v>
      </c>
      <c r="BE3" s="4">
        <f t="shared" si="10"/>
        <v>1</v>
      </c>
      <c r="BF3" s="4">
        <f t="shared" si="10"/>
        <v>1</v>
      </c>
      <c r="BG3" s="4">
        <f t="shared" si="10"/>
        <v>1</v>
      </c>
      <c r="BH3" s="4">
        <f t="shared" si="10"/>
        <v>1</v>
      </c>
      <c r="BI3" s="4">
        <f t="shared" si="10"/>
        <v>1</v>
      </c>
      <c r="BJ3" s="4">
        <f t="shared" si="10"/>
        <v>1</v>
      </c>
      <c r="BK3" s="4">
        <f t="shared" ref="BK3:BK144" si="11">SUM(BB3:BJ3)</f>
        <v>9</v>
      </c>
      <c r="BM3" s="1" t="s">
        <v>166</v>
      </c>
      <c r="BN3" s="1" t="s">
        <v>167</v>
      </c>
      <c r="BO3" s="4">
        <f t="shared" ref="BO3:BU3" si="12">IF(ISNUMBER(SEARCH(BO$1,$BN3)), 1, 0)</f>
        <v>1</v>
      </c>
      <c r="BP3" s="4">
        <f t="shared" si="12"/>
        <v>1</v>
      </c>
      <c r="BQ3" s="4">
        <f t="shared" si="12"/>
        <v>0</v>
      </c>
      <c r="BR3" s="4">
        <f t="shared" si="12"/>
        <v>1</v>
      </c>
      <c r="BS3" s="4">
        <f t="shared" si="12"/>
        <v>1</v>
      </c>
      <c r="BT3" s="4">
        <f t="shared" si="12"/>
        <v>1</v>
      </c>
      <c r="BU3" s="4">
        <f t="shared" si="12"/>
        <v>0</v>
      </c>
      <c r="BV3" s="1" t="s">
        <v>168</v>
      </c>
      <c r="BW3" s="1" t="s">
        <v>169</v>
      </c>
      <c r="BY3" s="1" t="s">
        <v>170</v>
      </c>
      <c r="BZ3" s="1" t="s">
        <v>171</v>
      </c>
      <c r="CA3" s="1" t="s">
        <v>172</v>
      </c>
      <c r="CH3" s="1" t="s">
        <v>173</v>
      </c>
      <c r="CI3" s="1" t="s">
        <v>174</v>
      </c>
      <c r="CJ3" s="1" t="s">
        <v>175</v>
      </c>
      <c r="CK3" s="1" t="s">
        <v>176</v>
      </c>
      <c r="CL3" s="1" t="s">
        <v>177</v>
      </c>
      <c r="CR3" s="1" t="s">
        <v>178</v>
      </c>
      <c r="CT3" s="1" t="s">
        <v>179</v>
      </c>
      <c r="DC3" s="1" t="s">
        <v>180</v>
      </c>
    </row>
    <row r="4" spans="1:107" ht="15.75" customHeight="1" x14ac:dyDescent="0.25">
      <c r="A4" s="1" t="b">
        <v>1</v>
      </c>
      <c r="B4" s="3">
        <v>46149.844108796293</v>
      </c>
      <c r="C4" s="1" t="s">
        <v>181</v>
      </c>
      <c r="D4" s="1" t="s">
        <v>4</v>
      </c>
      <c r="E4" s="4">
        <f t="shared" ref="E4:K4" si="13">IF(ISNUMBER(SEARCH(E$1,$D4)), SEARCH(E$1,$D4), 0)</f>
        <v>1</v>
      </c>
      <c r="F4" s="4">
        <f t="shared" si="13"/>
        <v>0</v>
      </c>
      <c r="G4" s="4">
        <f t="shared" si="13"/>
        <v>0</v>
      </c>
      <c r="H4" s="4">
        <f t="shared" si="13"/>
        <v>0</v>
      </c>
      <c r="I4" s="4">
        <f t="shared" si="13"/>
        <v>0</v>
      </c>
      <c r="J4" s="4">
        <f t="shared" si="13"/>
        <v>0</v>
      </c>
      <c r="K4" s="4">
        <f t="shared" si="13"/>
        <v>0</v>
      </c>
      <c r="L4" s="4">
        <f t="shared" si="1"/>
        <v>1</v>
      </c>
      <c r="N4" s="1" t="s">
        <v>182</v>
      </c>
      <c r="O4" s="4">
        <f t="shared" ref="O4:T4" si="14">IF(ISNUMBER(SEARCH(O$1,$N4)), 1, 0)</f>
        <v>1</v>
      </c>
      <c r="P4" s="4">
        <f t="shared" si="14"/>
        <v>0</v>
      </c>
      <c r="Q4" s="4">
        <f t="shared" si="14"/>
        <v>0</v>
      </c>
      <c r="R4" s="4">
        <f t="shared" si="14"/>
        <v>0</v>
      </c>
      <c r="S4" s="4">
        <f t="shared" si="14"/>
        <v>1</v>
      </c>
      <c r="T4" s="4">
        <f t="shared" si="14"/>
        <v>0</v>
      </c>
      <c r="V4" s="1" t="s">
        <v>22</v>
      </c>
      <c r="W4" s="1" t="str">
        <f t="shared" si="3"/>
        <v>True</v>
      </c>
      <c r="X4" s="1" t="str">
        <f t="shared" si="3"/>
        <v>False</v>
      </c>
      <c r="Y4" s="1" t="str">
        <f t="shared" si="3"/>
        <v>False</v>
      </c>
      <c r="Z4" s="1" t="str">
        <f t="shared" si="3"/>
        <v>False</v>
      </c>
      <c r="AA4" s="1" t="str">
        <f t="shared" si="3"/>
        <v>False</v>
      </c>
      <c r="AB4" s="1" t="s">
        <v>183</v>
      </c>
      <c r="AC4" s="4">
        <f t="shared" ref="AC4:AH4" si="15">IF(ISNUMBER(SEARCH(AC$1,$AB4)), 1, 0)</f>
        <v>0</v>
      </c>
      <c r="AD4" s="4">
        <f t="shared" si="15"/>
        <v>0</v>
      </c>
      <c r="AE4" s="4">
        <f t="shared" si="15"/>
        <v>0</v>
      </c>
      <c r="AF4" s="4">
        <f t="shared" si="15"/>
        <v>0</v>
      </c>
      <c r="AG4" s="4">
        <f t="shared" si="15"/>
        <v>0</v>
      </c>
      <c r="AH4" s="4">
        <f t="shared" si="15"/>
        <v>0</v>
      </c>
      <c r="AI4" s="1">
        <f t="shared" si="5"/>
        <v>0</v>
      </c>
      <c r="AJ4" s="1" t="s">
        <v>184</v>
      </c>
      <c r="AK4" s="1" t="s">
        <v>38</v>
      </c>
      <c r="AL4" s="4">
        <f t="shared" ref="AL4:AS4" si="16">IF(ISNUMBER(SEARCH(AL$1,$AK4)), 1, 0)</f>
        <v>0</v>
      </c>
      <c r="AM4" s="4">
        <f t="shared" si="16"/>
        <v>1</v>
      </c>
      <c r="AN4" s="4">
        <f t="shared" si="16"/>
        <v>0</v>
      </c>
      <c r="AO4" s="4">
        <f t="shared" si="16"/>
        <v>0</v>
      </c>
      <c r="AP4" s="4">
        <f t="shared" si="16"/>
        <v>0</v>
      </c>
      <c r="AQ4" s="4">
        <f t="shared" si="16"/>
        <v>0</v>
      </c>
      <c r="AR4" s="4">
        <f t="shared" si="16"/>
        <v>0</v>
      </c>
      <c r="AS4" s="4">
        <f t="shared" si="16"/>
        <v>0</v>
      </c>
      <c r="AU4" s="1" t="s">
        <v>47</v>
      </c>
      <c r="AV4" s="1">
        <f t="shared" si="7"/>
        <v>1</v>
      </c>
      <c r="AW4" s="1">
        <f t="shared" si="8"/>
        <v>0</v>
      </c>
      <c r="AX4" s="1">
        <f t="shared" si="9"/>
        <v>0</v>
      </c>
      <c r="AY4" s="1" t="s">
        <v>48</v>
      </c>
      <c r="BA4" s="1" t="s">
        <v>185</v>
      </c>
      <c r="BB4" s="4">
        <f t="shared" ref="BB4:BJ4" si="17">IF(ISNUMBER(SEARCH(BB$1,$BA4)), 1, 0)</f>
        <v>0</v>
      </c>
      <c r="BC4" s="4">
        <f t="shared" si="17"/>
        <v>1</v>
      </c>
      <c r="BD4" s="4">
        <f t="shared" si="17"/>
        <v>0</v>
      </c>
      <c r="BE4" s="4">
        <f t="shared" si="17"/>
        <v>1</v>
      </c>
      <c r="BF4" s="4">
        <f t="shared" si="17"/>
        <v>0</v>
      </c>
      <c r="BG4" s="4">
        <f t="shared" si="17"/>
        <v>0</v>
      </c>
      <c r="BH4" s="4">
        <f t="shared" si="17"/>
        <v>0</v>
      </c>
      <c r="BI4" s="4">
        <f t="shared" si="17"/>
        <v>0</v>
      </c>
      <c r="BJ4" s="4">
        <f t="shared" si="17"/>
        <v>1</v>
      </c>
      <c r="BK4" s="4">
        <f t="shared" si="11"/>
        <v>3</v>
      </c>
      <c r="BM4" s="1" t="s">
        <v>166</v>
      </c>
      <c r="BN4" s="1" t="s">
        <v>71</v>
      </c>
      <c r="BO4" s="4">
        <f t="shared" ref="BO4:BU4" si="18">IF(ISNUMBER(SEARCH(BO$1,$BN4)), 1, 0)</f>
        <v>0</v>
      </c>
      <c r="BP4" s="4">
        <f t="shared" si="18"/>
        <v>0</v>
      </c>
      <c r="BQ4" s="4">
        <f t="shared" si="18"/>
        <v>0</v>
      </c>
      <c r="BR4" s="4">
        <f t="shared" si="18"/>
        <v>0</v>
      </c>
      <c r="BS4" s="4">
        <f t="shared" si="18"/>
        <v>0</v>
      </c>
      <c r="BT4" s="4">
        <f t="shared" si="18"/>
        <v>1</v>
      </c>
      <c r="BU4" s="4">
        <f t="shared" si="18"/>
        <v>0</v>
      </c>
      <c r="DC4" s="1" t="s">
        <v>180</v>
      </c>
    </row>
    <row r="5" spans="1:107" ht="15.75" customHeight="1" x14ac:dyDescent="0.25">
      <c r="A5" s="1" t="b">
        <v>1</v>
      </c>
      <c r="B5" s="3">
        <v>46149.891053240739</v>
      </c>
      <c r="C5" s="1" t="s">
        <v>186</v>
      </c>
      <c r="D5" s="1" t="s">
        <v>4</v>
      </c>
      <c r="E5" s="4">
        <f t="shared" ref="E5:K5" si="19">IF(ISNUMBER(SEARCH(E$1,$D5)), SEARCH(E$1,$D5), 0)</f>
        <v>1</v>
      </c>
      <c r="F5" s="4">
        <f t="shared" si="19"/>
        <v>0</v>
      </c>
      <c r="G5" s="4">
        <f t="shared" si="19"/>
        <v>0</v>
      </c>
      <c r="H5" s="4">
        <f t="shared" si="19"/>
        <v>0</v>
      </c>
      <c r="I5" s="4">
        <f t="shared" si="19"/>
        <v>0</v>
      </c>
      <c r="J5" s="4">
        <f t="shared" si="19"/>
        <v>0</v>
      </c>
      <c r="K5" s="4">
        <f t="shared" si="19"/>
        <v>0</v>
      </c>
      <c r="L5" s="4">
        <f t="shared" si="1"/>
        <v>1</v>
      </c>
      <c r="N5" s="1" t="s">
        <v>187</v>
      </c>
      <c r="O5" s="4">
        <f t="shared" ref="O5:T5" si="20">IF(ISNUMBER(SEARCH(O$1,$N5)), 1, 0)</f>
        <v>1</v>
      </c>
      <c r="P5" s="4">
        <f t="shared" si="20"/>
        <v>1</v>
      </c>
      <c r="Q5" s="4">
        <f t="shared" si="20"/>
        <v>1</v>
      </c>
      <c r="R5" s="4">
        <f t="shared" si="20"/>
        <v>1</v>
      </c>
      <c r="S5" s="4">
        <f t="shared" si="20"/>
        <v>1</v>
      </c>
      <c r="T5" s="4">
        <f t="shared" si="20"/>
        <v>1</v>
      </c>
      <c r="W5" s="1" t="str">
        <f t="shared" si="3"/>
        <v>False</v>
      </c>
      <c r="X5" s="1" t="str">
        <f t="shared" si="3"/>
        <v>False</v>
      </c>
      <c r="Y5" s="1" t="str">
        <f t="shared" si="3"/>
        <v>False</v>
      </c>
      <c r="Z5" s="1" t="str">
        <f t="shared" si="3"/>
        <v>False</v>
      </c>
      <c r="AA5" s="1" t="str">
        <f t="shared" si="3"/>
        <v>False</v>
      </c>
      <c r="AB5" s="1" t="s">
        <v>188</v>
      </c>
      <c r="AC5" s="4">
        <f t="shared" ref="AC5:AH5" si="21">IF(ISNUMBER(SEARCH(AC$1,$AB5)), 1, 0)</f>
        <v>0</v>
      </c>
      <c r="AD5" s="4">
        <f t="shared" si="21"/>
        <v>0</v>
      </c>
      <c r="AE5" s="4">
        <f t="shared" si="21"/>
        <v>1</v>
      </c>
      <c r="AF5" s="4">
        <f t="shared" si="21"/>
        <v>1</v>
      </c>
      <c r="AG5" s="4">
        <f t="shared" si="21"/>
        <v>0</v>
      </c>
      <c r="AH5" s="4">
        <f t="shared" si="21"/>
        <v>0</v>
      </c>
      <c r="AI5" s="1">
        <f t="shared" si="5"/>
        <v>2</v>
      </c>
      <c r="AK5" s="1" t="s">
        <v>189</v>
      </c>
      <c r="AL5" s="4">
        <f t="shared" ref="AL5:AS5" si="22">IF(ISNUMBER(SEARCH(AL$1,$AK5)), 1, 0)</f>
        <v>1</v>
      </c>
      <c r="AM5" s="4">
        <f t="shared" si="22"/>
        <v>1</v>
      </c>
      <c r="AN5" s="4">
        <f t="shared" si="22"/>
        <v>1</v>
      </c>
      <c r="AO5" s="4">
        <f t="shared" si="22"/>
        <v>1</v>
      </c>
      <c r="AP5" s="4">
        <f t="shared" si="22"/>
        <v>0</v>
      </c>
      <c r="AQ5" s="4">
        <f t="shared" si="22"/>
        <v>1</v>
      </c>
      <c r="AR5" s="4">
        <f t="shared" si="22"/>
        <v>0</v>
      </c>
      <c r="AS5" s="4">
        <f t="shared" si="22"/>
        <v>0</v>
      </c>
      <c r="AU5" s="1" t="s">
        <v>47</v>
      </c>
      <c r="AV5" s="1">
        <f t="shared" si="7"/>
        <v>1</v>
      </c>
      <c r="AW5" s="1">
        <f t="shared" si="8"/>
        <v>0</v>
      </c>
      <c r="AX5" s="1">
        <f t="shared" si="9"/>
        <v>0</v>
      </c>
      <c r="AY5" s="1" t="s">
        <v>48</v>
      </c>
      <c r="BA5" s="1" t="s">
        <v>61</v>
      </c>
      <c r="BB5" s="4">
        <f t="shared" ref="BB5:BJ5" si="23">IF(ISNUMBER(SEARCH(BB$1,$BA5)), 1, 0)</f>
        <v>0</v>
      </c>
      <c r="BC5" s="4">
        <f t="shared" si="23"/>
        <v>0</v>
      </c>
      <c r="BD5" s="4">
        <f t="shared" si="23"/>
        <v>0</v>
      </c>
      <c r="BE5" s="4">
        <f t="shared" si="23"/>
        <v>0</v>
      </c>
      <c r="BF5" s="4">
        <f t="shared" si="23"/>
        <v>0</v>
      </c>
      <c r="BG5" s="4">
        <f t="shared" si="23"/>
        <v>0</v>
      </c>
      <c r="BH5" s="4">
        <f t="shared" si="23"/>
        <v>0</v>
      </c>
      <c r="BI5" s="4">
        <f t="shared" si="23"/>
        <v>0</v>
      </c>
      <c r="BJ5" s="4">
        <f t="shared" si="23"/>
        <v>1</v>
      </c>
      <c r="BK5" s="4">
        <f t="shared" si="11"/>
        <v>1</v>
      </c>
      <c r="BM5" s="1" t="s">
        <v>190</v>
      </c>
      <c r="BN5" s="1" t="s">
        <v>72</v>
      </c>
      <c r="BO5" s="4">
        <f t="shared" ref="BO5:BU5" si="24">IF(ISNUMBER(SEARCH(BO$1,$BN5)), 1, 0)</f>
        <v>0</v>
      </c>
      <c r="BP5" s="4">
        <f t="shared" si="24"/>
        <v>0</v>
      </c>
      <c r="BQ5" s="4">
        <f t="shared" si="24"/>
        <v>0</v>
      </c>
      <c r="BR5" s="4">
        <f t="shared" si="24"/>
        <v>0</v>
      </c>
      <c r="BS5" s="4">
        <f t="shared" si="24"/>
        <v>0</v>
      </c>
      <c r="BT5" s="4">
        <f t="shared" si="24"/>
        <v>0</v>
      </c>
      <c r="BU5" s="4">
        <f t="shared" si="24"/>
        <v>1</v>
      </c>
      <c r="DC5" s="1" t="s">
        <v>180</v>
      </c>
    </row>
    <row r="6" spans="1:107" ht="15.75" customHeight="1" x14ac:dyDescent="0.25">
      <c r="A6" s="1" t="b">
        <v>1</v>
      </c>
      <c r="B6" s="3">
        <v>46150.640046296299</v>
      </c>
      <c r="C6" s="1" t="s">
        <v>191</v>
      </c>
      <c r="D6" s="1" t="s">
        <v>192</v>
      </c>
      <c r="E6" s="4">
        <f t="shared" ref="E6:K6" si="25">IF(ISNUMBER(SEARCH(E$1,$D6)), SEARCH(E$1,$D6), 0)</f>
        <v>1</v>
      </c>
      <c r="F6" s="4">
        <f t="shared" si="25"/>
        <v>30</v>
      </c>
      <c r="G6" s="4">
        <f t="shared" si="25"/>
        <v>0</v>
      </c>
      <c r="H6" s="4">
        <f t="shared" si="25"/>
        <v>0</v>
      </c>
      <c r="I6" s="4">
        <f t="shared" si="25"/>
        <v>0</v>
      </c>
      <c r="J6" s="4">
        <f t="shared" si="25"/>
        <v>0</v>
      </c>
      <c r="K6" s="4">
        <f t="shared" si="25"/>
        <v>105</v>
      </c>
      <c r="L6" s="4">
        <f t="shared" si="1"/>
        <v>105</v>
      </c>
      <c r="N6" s="1" t="s">
        <v>193</v>
      </c>
      <c r="O6" s="4">
        <f t="shared" ref="O6:T6" si="26">IF(ISNUMBER(SEARCH(O$1,$N6)), 1, 0)</f>
        <v>1</v>
      </c>
      <c r="P6" s="4">
        <f t="shared" si="26"/>
        <v>1</v>
      </c>
      <c r="Q6" s="4">
        <f t="shared" si="26"/>
        <v>1</v>
      </c>
      <c r="R6" s="4">
        <f t="shared" si="26"/>
        <v>0</v>
      </c>
      <c r="S6" s="4">
        <f t="shared" si="26"/>
        <v>0</v>
      </c>
      <c r="T6" s="4">
        <f t="shared" si="26"/>
        <v>0</v>
      </c>
      <c r="U6" s="1" t="s">
        <v>194</v>
      </c>
      <c r="W6" s="1" t="str">
        <f t="shared" si="3"/>
        <v>False</v>
      </c>
      <c r="X6" s="1" t="str">
        <f t="shared" si="3"/>
        <v>False</v>
      </c>
      <c r="Y6" s="1" t="str">
        <f t="shared" si="3"/>
        <v>False</v>
      </c>
      <c r="Z6" s="1" t="str">
        <f t="shared" si="3"/>
        <v>False</v>
      </c>
      <c r="AA6" s="1" t="str">
        <f t="shared" si="3"/>
        <v>False</v>
      </c>
      <c r="AB6" s="1" t="s">
        <v>183</v>
      </c>
      <c r="AC6" s="4">
        <f t="shared" ref="AC6:AH6" si="27">IF(ISNUMBER(SEARCH(AC$1,$AB6)), 1, 0)</f>
        <v>0</v>
      </c>
      <c r="AD6" s="4">
        <f t="shared" si="27"/>
        <v>0</v>
      </c>
      <c r="AE6" s="4">
        <f t="shared" si="27"/>
        <v>0</v>
      </c>
      <c r="AF6" s="4">
        <f t="shared" si="27"/>
        <v>0</v>
      </c>
      <c r="AG6" s="4">
        <f t="shared" si="27"/>
        <v>0</v>
      </c>
      <c r="AH6" s="4">
        <f t="shared" si="27"/>
        <v>0</v>
      </c>
      <c r="AI6" s="1">
        <f t="shared" si="5"/>
        <v>0</v>
      </c>
      <c r="AJ6" s="1" t="s">
        <v>195</v>
      </c>
      <c r="AK6" s="1" t="s">
        <v>196</v>
      </c>
      <c r="AL6" s="4">
        <f t="shared" ref="AL6:AS6" si="28">IF(ISNUMBER(SEARCH(AL$1,$AK6)), 1, 0)</f>
        <v>0</v>
      </c>
      <c r="AM6" s="4">
        <f t="shared" si="28"/>
        <v>0</v>
      </c>
      <c r="AN6" s="4">
        <f t="shared" si="28"/>
        <v>0</v>
      </c>
      <c r="AO6" s="4">
        <f t="shared" si="28"/>
        <v>0</v>
      </c>
      <c r="AP6" s="4">
        <f t="shared" si="28"/>
        <v>0</v>
      </c>
      <c r="AQ6" s="4">
        <f t="shared" si="28"/>
        <v>1</v>
      </c>
      <c r="AR6" s="4">
        <f t="shared" si="28"/>
        <v>1</v>
      </c>
      <c r="AS6" s="4">
        <f t="shared" si="28"/>
        <v>1</v>
      </c>
      <c r="AU6" s="1" t="s">
        <v>49</v>
      </c>
      <c r="AV6" s="1">
        <f t="shared" si="7"/>
        <v>0</v>
      </c>
      <c r="AW6" s="1">
        <f t="shared" si="8"/>
        <v>0</v>
      </c>
      <c r="AX6" s="1">
        <f t="shared" si="9"/>
        <v>1</v>
      </c>
      <c r="AY6" s="1" t="s">
        <v>48</v>
      </c>
      <c r="BA6" s="1" t="s">
        <v>197</v>
      </c>
      <c r="BB6" s="4">
        <f t="shared" ref="BB6:BJ6" si="29">IF(ISNUMBER(SEARCH(BB$1,$BA6)), 1, 0)</f>
        <v>0</v>
      </c>
      <c r="BC6" s="4">
        <f t="shared" si="29"/>
        <v>0</v>
      </c>
      <c r="BD6" s="4">
        <f t="shared" si="29"/>
        <v>1</v>
      </c>
      <c r="BE6" s="4">
        <f t="shared" si="29"/>
        <v>1</v>
      </c>
      <c r="BF6" s="4">
        <f t="shared" si="29"/>
        <v>1</v>
      </c>
      <c r="BG6" s="4">
        <f t="shared" si="29"/>
        <v>0</v>
      </c>
      <c r="BH6" s="4">
        <f t="shared" si="29"/>
        <v>0</v>
      </c>
      <c r="BI6" s="4">
        <f t="shared" si="29"/>
        <v>0</v>
      </c>
      <c r="BJ6" s="4">
        <f t="shared" si="29"/>
        <v>1</v>
      </c>
      <c r="BK6" s="4">
        <f t="shared" si="11"/>
        <v>4</v>
      </c>
      <c r="BM6" s="1" t="s">
        <v>166</v>
      </c>
      <c r="BN6" s="1" t="s">
        <v>198</v>
      </c>
      <c r="BO6" s="4">
        <f t="shared" ref="BO6:BU6" si="30">IF(ISNUMBER(SEARCH(BO$1,$BN6)), 1, 0)</f>
        <v>1</v>
      </c>
      <c r="BP6" s="4">
        <f t="shared" si="30"/>
        <v>1</v>
      </c>
      <c r="BQ6" s="4">
        <f t="shared" si="30"/>
        <v>0</v>
      </c>
      <c r="BR6" s="4">
        <f t="shared" si="30"/>
        <v>1</v>
      </c>
      <c r="BS6" s="4">
        <f t="shared" si="30"/>
        <v>0</v>
      </c>
      <c r="BT6" s="4">
        <f t="shared" si="30"/>
        <v>0</v>
      </c>
      <c r="BU6" s="4">
        <f t="shared" si="30"/>
        <v>1</v>
      </c>
      <c r="BV6" s="1" t="s">
        <v>199</v>
      </c>
      <c r="CM6" s="1" t="s">
        <v>48</v>
      </c>
      <c r="CN6" s="1" t="s">
        <v>200</v>
      </c>
      <c r="CO6" s="1" t="s">
        <v>201</v>
      </c>
      <c r="CX6" s="1" t="s">
        <v>202</v>
      </c>
      <c r="CY6" s="1" t="s">
        <v>195</v>
      </c>
      <c r="CZ6" s="1" t="s">
        <v>203</v>
      </c>
      <c r="DA6" s="1" t="s">
        <v>204</v>
      </c>
      <c r="DB6" s="1" t="s">
        <v>205</v>
      </c>
      <c r="DC6" s="1" t="s">
        <v>180</v>
      </c>
    </row>
    <row r="7" spans="1:107" ht="15.75" customHeight="1" x14ac:dyDescent="0.25">
      <c r="A7" s="1" t="b">
        <v>1</v>
      </c>
      <c r="B7" s="3">
        <v>46150.797233796293</v>
      </c>
      <c r="C7" s="1" t="s">
        <v>206</v>
      </c>
      <c r="D7" s="1" t="s">
        <v>207</v>
      </c>
      <c r="E7" s="4">
        <f t="shared" ref="E7:K7" si="31">IF(ISNUMBER(SEARCH(E$1,$D7)), SEARCH(E$1,$D7), 0)</f>
        <v>1</v>
      </c>
      <c r="F7" s="4">
        <f t="shared" si="31"/>
        <v>30</v>
      </c>
      <c r="G7" s="4">
        <f t="shared" si="31"/>
        <v>0</v>
      </c>
      <c r="H7" s="4">
        <f t="shared" si="31"/>
        <v>0</v>
      </c>
      <c r="I7" s="4">
        <f t="shared" si="31"/>
        <v>0</v>
      </c>
      <c r="J7" s="4">
        <f t="shared" si="31"/>
        <v>0</v>
      </c>
      <c r="K7" s="4">
        <f t="shared" si="31"/>
        <v>0</v>
      </c>
      <c r="L7" s="4">
        <f t="shared" si="1"/>
        <v>30</v>
      </c>
      <c r="N7" s="1" t="s">
        <v>208</v>
      </c>
      <c r="O7" s="4">
        <f t="shared" ref="O7:T7" si="32">IF(ISNUMBER(SEARCH(O$1,$N7)), 1, 0)</f>
        <v>1</v>
      </c>
      <c r="P7" s="4">
        <f t="shared" si="32"/>
        <v>1</v>
      </c>
      <c r="Q7" s="4">
        <f t="shared" si="32"/>
        <v>0</v>
      </c>
      <c r="R7" s="4">
        <f t="shared" si="32"/>
        <v>1</v>
      </c>
      <c r="S7" s="4">
        <f t="shared" si="32"/>
        <v>0</v>
      </c>
      <c r="T7" s="4">
        <f t="shared" si="32"/>
        <v>0</v>
      </c>
      <c r="W7" s="1" t="str">
        <f t="shared" si="3"/>
        <v>False</v>
      </c>
      <c r="X7" s="1" t="str">
        <f t="shared" si="3"/>
        <v>False</v>
      </c>
      <c r="Y7" s="1" t="str">
        <f t="shared" si="3"/>
        <v>False</v>
      </c>
      <c r="Z7" s="1" t="str">
        <f t="shared" si="3"/>
        <v>False</v>
      </c>
      <c r="AA7" s="1" t="str">
        <f t="shared" si="3"/>
        <v>False</v>
      </c>
      <c r="AB7" s="1" t="s">
        <v>209</v>
      </c>
      <c r="AC7" s="4">
        <f t="shared" ref="AC7:AH7" si="33">IF(ISNUMBER(SEARCH(AC$1,$AB7)), 1, 0)</f>
        <v>1</v>
      </c>
      <c r="AD7" s="4">
        <f t="shared" si="33"/>
        <v>1</v>
      </c>
      <c r="AE7" s="4">
        <f t="shared" si="33"/>
        <v>0</v>
      </c>
      <c r="AF7" s="4">
        <f t="shared" si="33"/>
        <v>1</v>
      </c>
      <c r="AG7" s="4">
        <f t="shared" si="33"/>
        <v>1</v>
      </c>
      <c r="AH7" s="4">
        <f t="shared" si="33"/>
        <v>0</v>
      </c>
      <c r="AI7" s="1">
        <f t="shared" si="5"/>
        <v>4</v>
      </c>
      <c r="AK7" s="1" t="s">
        <v>210</v>
      </c>
      <c r="AL7" s="4">
        <f t="shared" ref="AL7:AS7" si="34">IF(ISNUMBER(SEARCH(AL$1,$AK7)), 1, 0)</f>
        <v>1</v>
      </c>
      <c r="AM7" s="4">
        <f t="shared" si="34"/>
        <v>1</v>
      </c>
      <c r="AN7" s="4">
        <f t="shared" si="34"/>
        <v>1</v>
      </c>
      <c r="AO7" s="4">
        <f t="shared" si="34"/>
        <v>1</v>
      </c>
      <c r="AP7" s="4">
        <f t="shared" si="34"/>
        <v>0</v>
      </c>
      <c r="AQ7" s="4">
        <f t="shared" si="34"/>
        <v>0</v>
      </c>
      <c r="AR7" s="4">
        <f t="shared" si="34"/>
        <v>0</v>
      </c>
      <c r="AS7" s="4">
        <f t="shared" si="34"/>
        <v>0</v>
      </c>
      <c r="AU7" s="1" t="s">
        <v>48</v>
      </c>
      <c r="AV7" s="1">
        <f t="shared" si="7"/>
        <v>0</v>
      </c>
      <c r="AW7" s="1">
        <f t="shared" si="8"/>
        <v>1</v>
      </c>
      <c r="AX7" s="1">
        <f t="shared" si="9"/>
        <v>0</v>
      </c>
      <c r="AY7" s="1" t="s">
        <v>47</v>
      </c>
      <c r="AZ7" s="1" t="s">
        <v>47</v>
      </c>
      <c r="BA7" s="1" t="s">
        <v>211</v>
      </c>
      <c r="BB7" s="4">
        <f t="shared" ref="BB7:BJ7" si="35">IF(ISNUMBER(SEARCH(BB$1,$BA7)), 1, 0)</f>
        <v>1</v>
      </c>
      <c r="BC7" s="4">
        <f t="shared" si="35"/>
        <v>1</v>
      </c>
      <c r="BD7" s="4">
        <f t="shared" si="35"/>
        <v>1</v>
      </c>
      <c r="BE7" s="4">
        <f t="shared" si="35"/>
        <v>1</v>
      </c>
      <c r="BF7" s="4">
        <f t="shared" si="35"/>
        <v>0</v>
      </c>
      <c r="BG7" s="4">
        <f t="shared" si="35"/>
        <v>1</v>
      </c>
      <c r="BH7" s="4">
        <f t="shared" si="35"/>
        <v>0</v>
      </c>
      <c r="BI7" s="4">
        <f t="shared" si="35"/>
        <v>0</v>
      </c>
      <c r="BJ7" s="4">
        <f t="shared" si="35"/>
        <v>0</v>
      </c>
      <c r="BK7" s="4">
        <f t="shared" si="11"/>
        <v>5</v>
      </c>
      <c r="BO7" s="4">
        <f t="shared" ref="BO7:BU7" si="36">IF(ISNUMBER(SEARCH(BO$1,$BN7)), 1, 0)</f>
        <v>0</v>
      </c>
      <c r="BP7" s="4">
        <f t="shared" si="36"/>
        <v>0</v>
      </c>
      <c r="BQ7" s="4">
        <f t="shared" si="36"/>
        <v>0</v>
      </c>
      <c r="BR7" s="4">
        <f t="shared" si="36"/>
        <v>0</v>
      </c>
      <c r="BS7" s="4">
        <f t="shared" si="36"/>
        <v>0</v>
      </c>
      <c r="BT7" s="4">
        <f t="shared" si="36"/>
        <v>0</v>
      </c>
      <c r="BU7" s="4">
        <f t="shared" si="36"/>
        <v>0</v>
      </c>
      <c r="BW7" s="1" t="s">
        <v>212</v>
      </c>
      <c r="CX7" s="1" t="s">
        <v>213</v>
      </c>
      <c r="CZ7" s="1" t="s">
        <v>214</v>
      </c>
      <c r="DB7" s="1" t="s">
        <v>215</v>
      </c>
      <c r="DC7" s="1" t="s">
        <v>180</v>
      </c>
    </row>
    <row r="8" spans="1:107" ht="15.75" customHeight="1" x14ac:dyDescent="0.25">
      <c r="A8" s="1" t="b">
        <v>1</v>
      </c>
      <c r="B8" s="3">
        <v>46150.921782407408</v>
      </c>
      <c r="C8" s="1" t="s">
        <v>216</v>
      </c>
      <c r="D8" s="1" t="s">
        <v>10</v>
      </c>
      <c r="E8" s="4">
        <f t="shared" ref="E8:K8" si="37">IF(ISNUMBER(SEARCH(E$1,$D8)), SEARCH(E$1,$D8), 0)</f>
        <v>0</v>
      </c>
      <c r="F8" s="4">
        <f t="shared" si="37"/>
        <v>0</v>
      </c>
      <c r="G8" s="4">
        <f t="shared" si="37"/>
        <v>0</v>
      </c>
      <c r="H8" s="4">
        <f t="shared" si="37"/>
        <v>0</v>
      </c>
      <c r="I8" s="4">
        <f t="shared" si="37"/>
        <v>0</v>
      </c>
      <c r="J8" s="4">
        <f t="shared" si="37"/>
        <v>0</v>
      </c>
      <c r="K8" s="4">
        <f t="shared" si="37"/>
        <v>1</v>
      </c>
      <c r="L8" s="4">
        <f t="shared" si="1"/>
        <v>1</v>
      </c>
      <c r="N8" s="1" t="s">
        <v>14</v>
      </c>
      <c r="O8" s="4">
        <f t="shared" ref="O8:T8" si="38">IF(ISNUMBER(SEARCH(O$1,$N8)), 1, 0)</f>
        <v>1</v>
      </c>
      <c r="P8" s="4">
        <f t="shared" si="38"/>
        <v>0</v>
      </c>
      <c r="Q8" s="4">
        <f t="shared" si="38"/>
        <v>0</v>
      </c>
      <c r="R8" s="4">
        <f t="shared" si="38"/>
        <v>0</v>
      </c>
      <c r="S8" s="4">
        <f t="shared" si="38"/>
        <v>0</v>
      </c>
      <c r="T8" s="4">
        <f t="shared" si="38"/>
        <v>0</v>
      </c>
      <c r="V8" s="1" t="s">
        <v>25</v>
      </c>
      <c r="W8" s="1" t="str">
        <f t="shared" si="3"/>
        <v>False</v>
      </c>
      <c r="X8" s="1" t="str">
        <f t="shared" si="3"/>
        <v>False</v>
      </c>
      <c r="Y8" s="1" t="str">
        <f t="shared" si="3"/>
        <v>False</v>
      </c>
      <c r="Z8" s="1" t="str">
        <f t="shared" si="3"/>
        <v>True</v>
      </c>
      <c r="AA8" s="1" t="str">
        <f t="shared" si="3"/>
        <v>False</v>
      </c>
      <c r="AB8" s="1" t="s">
        <v>28</v>
      </c>
      <c r="AC8" s="4">
        <f t="shared" ref="AC8:AH8" si="39">IF(ISNUMBER(SEARCH(AC$1,$AB8)), 1, 0)</f>
        <v>1</v>
      </c>
      <c r="AD8" s="4">
        <f t="shared" si="39"/>
        <v>0</v>
      </c>
      <c r="AE8" s="4">
        <f t="shared" si="39"/>
        <v>0</v>
      </c>
      <c r="AF8" s="4">
        <f t="shared" si="39"/>
        <v>0</v>
      </c>
      <c r="AG8" s="4">
        <f t="shared" si="39"/>
        <v>0</v>
      </c>
      <c r="AH8" s="4">
        <f t="shared" si="39"/>
        <v>0</v>
      </c>
      <c r="AI8" s="1">
        <f t="shared" si="5"/>
        <v>1</v>
      </c>
      <c r="AK8" s="1" t="s">
        <v>38</v>
      </c>
      <c r="AL8" s="4">
        <f t="shared" ref="AL8:AS8" si="40">IF(ISNUMBER(SEARCH(AL$1,$AK8)), 1, 0)</f>
        <v>0</v>
      </c>
      <c r="AM8" s="4">
        <f t="shared" si="40"/>
        <v>1</v>
      </c>
      <c r="AN8" s="4">
        <f t="shared" si="40"/>
        <v>0</v>
      </c>
      <c r="AO8" s="4">
        <f t="shared" si="40"/>
        <v>0</v>
      </c>
      <c r="AP8" s="4">
        <f t="shared" si="40"/>
        <v>0</v>
      </c>
      <c r="AQ8" s="4">
        <f t="shared" si="40"/>
        <v>0</v>
      </c>
      <c r="AR8" s="4">
        <f t="shared" si="40"/>
        <v>0</v>
      </c>
      <c r="AS8" s="4">
        <f t="shared" si="40"/>
        <v>0</v>
      </c>
      <c r="AU8" s="1" t="s">
        <v>48</v>
      </c>
      <c r="AV8" s="1">
        <f t="shared" si="7"/>
        <v>0</v>
      </c>
      <c r="AW8" s="1">
        <f t="shared" si="8"/>
        <v>1</v>
      </c>
      <c r="AX8" s="1">
        <f t="shared" si="9"/>
        <v>0</v>
      </c>
      <c r="AY8" s="1" t="s">
        <v>48</v>
      </c>
      <c r="BA8" s="1" t="s">
        <v>217</v>
      </c>
      <c r="BB8" s="4">
        <f t="shared" ref="BB8:BJ8" si="41">IF(ISNUMBER(SEARCH(BB$1,$BA8)), 1, 0)</f>
        <v>0</v>
      </c>
      <c r="BC8" s="4">
        <f t="shared" si="41"/>
        <v>0</v>
      </c>
      <c r="BD8" s="4">
        <f t="shared" si="41"/>
        <v>0</v>
      </c>
      <c r="BE8" s="4">
        <f t="shared" si="41"/>
        <v>0</v>
      </c>
      <c r="BF8" s="4">
        <f t="shared" si="41"/>
        <v>0</v>
      </c>
      <c r="BG8" s="4">
        <f t="shared" si="41"/>
        <v>0</v>
      </c>
      <c r="BH8" s="4">
        <f t="shared" si="41"/>
        <v>1</v>
      </c>
      <c r="BI8" s="4">
        <f t="shared" si="41"/>
        <v>1</v>
      </c>
      <c r="BJ8" s="4">
        <f t="shared" si="41"/>
        <v>0</v>
      </c>
      <c r="BK8" s="4">
        <f t="shared" si="11"/>
        <v>2</v>
      </c>
      <c r="BM8" s="1" t="s">
        <v>218</v>
      </c>
      <c r="BN8" s="1" t="s">
        <v>219</v>
      </c>
      <c r="BO8" s="4">
        <f t="shared" ref="BO8:BU8" si="42">IF(ISNUMBER(SEARCH(BO$1,$BN8)), 1, 0)</f>
        <v>1</v>
      </c>
      <c r="BP8" s="4">
        <f t="shared" si="42"/>
        <v>0</v>
      </c>
      <c r="BQ8" s="4">
        <f t="shared" si="42"/>
        <v>0</v>
      </c>
      <c r="BR8" s="4">
        <f t="shared" si="42"/>
        <v>0</v>
      </c>
      <c r="BS8" s="4">
        <f t="shared" si="42"/>
        <v>0</v>
      </c>
      <c r="BT8" s="4">
        <f t="shared" si="42"/>
        <v>1</v>
      </c>
      <c r="BU8" s="4">
        <f t="shared" si="42"/>
        <v>0</v>
      </c>
      <c r="BW8" s="1" t="s">
        <v>220</v>
      </c>
      <c r="CM8" s="1" t="s">
        <v>47</v>
      </c>
      <c r="CQ8" s="1" t="s">
        <v>47</v>
      </c>
      <c r="DC8" s="1" t="s">
        <v>180</v>
      </c>
    </row>
    <row r="9" spans="1:107" ht="15.75" customHeight="1" x14ac:dyDescent="0.25">
      <c r="A9" s="1" t="b">
        <v>1</v>
      </c>
      <c r="B9" s="3">
        <v>46150.957337962966</v>
      </c>
      <c r="C9" s="1" t="s">
        <v>221</v>
      </c>
      <c r="D9" s="1" t="s">
        <v>159</v>
      </c>
      <c r="E9" s="4">
        <f t="shared" ref="E9:K9" si="43">IF(ISNUMBER(SEARCH(E$1,$D9)), SEARCH(E$1,$D9), 0)</f>
        <v>1</v>
      </c>
      <c r="F9" s="4">
        <f t="shared" si="43"/>
        <v>0</v>
      </c>
      <c r="G9" s="4">
        <f t="shared" si="43"/>
        <v>0</v>
      </c>
      <c r="H9" s="4">
        <f t="shared" si="43"/>
        <v>0</v>
      </c>
      <c r="I9" s="4">
        <f t="shared" si="43"/>
        <v>30</v>
      </c>
      <c r="J9" s="4">
        <f t="shared" si="43"/>
        <v>62</v>
      </c>
      <c r="K9" s="4">
        <f t="shared" si="43"/>
        <v>0</v>
      </c>
      <c r="L9" s="4">
        <f t="shared" si="1"/>
        <v>62</v>
      </c>
      <c r="N9" s="1" t="s">
        <v>222</v>
      </c>
      <c r="O9" s="4">
        <f t="shared" ref="O9:T9" si="44">IF(ISNUMBER(SEARCH(O$1,$N9)), 1, 0)</f>
        <v>0</v>
      </c>
      <c r="P9" s="4">
        <f t="shared" si="44"/>
        <v>1</v>
      </c>
      <c r="Q9" s="4">
        <f t="shared" si="44"/>
        <v>0</v>
      </c>
      <c r="R9" s="4">
        <f t="shared" si="44"/>
        <v>1</v>
      </c>
      <c r="S9" s="4">
        <f t="shared" si="44"/>
        <v>0</v>
      </c>
      <c r="T9" s="4">
        <f t="shared" si="44"/>
        <v>0</v>
      </c>
      <c r="V9" s="1" t="s">
        <v>22</v>
      </c>
      <c r="W9" s="1" t="str">
        <f t="shared" si="3"/>
        <v>True</v>
      </c>
      <c r="X9" s="1" t="str">
        <f t="shared" si="3"/>
        <v>False</v>
      </c>
      <c r="Y9" s="1" t="str">
        <f t="shared" si="3"/>
        <v>False</v>
      </c>
      <c r="Z9" s="1" t="str">
        <f t="shared" si="3"/>
        <v>False</v>
      </c>
      <c r="AA9" s="1" t="str">
        <f t="shared" si="3"/>
        <v>False</v>
      </c>
      <c r="AB9" s="1" t="s">
        <v>183</v>
      </c>
      <c r="AC9" s="4">
        <f t="shared" ref="AC9:AH9" si="45">IF(ISNUMBER(SEARCH(AC$1,$AB9)), 1, 0)</f>
        <v>0</v>
      </c>
      <c r="AD9" s="4">
        <f t="shared" si="45"/>
        <v>0</v>
      </c>
      <c r="AE9" s="4">
        <f t="shared" si="45"/>
        <v>0</v>
      </c>
      <c r="AF9" s="4">
        <f t="shared" si="45"/>
        <v>0</v>
      </c>
      <c r="AG9" s="4">
        <f t="shared" si="45"/>
        <v>0</v>
      </c>
      <c r="AH9" s="4">
        <f t="shared" si="45"/>
        <v>0</v>
      </c>
      <c r="AI9" s="1">
        <f t="shared" si="5"/>
        <v>0</v>
      </c>
      <c r="AJ9" s="1" t="s">
        <v>223</v>
      </c>
      <c r="AK9" s="1" t="s">
        <v>224</v>
      </c>
      <c r="AL9" s="4">
        <f t="shared" ref="AL9:AS9" si="46">IF(ISNUMBER(SEARCH(AL$1,$AK9)), 1, 0)</f>
        <v>1</v>
      </c>
      <c r="AM9" s="4">
        <f t="shared" si="46"/>
        <v>0</v>
      </c>
      <c r="AN9" s="4">
        <f t="shared" si="46"/>
        <v>1</v>
      </c>
      <c r="AO9" s="4">
        <f t="shared" si="46"/>
        <v>0</v>
      </c>
      <c r="AP9" s="4">
        <f t="shared" si="46"/>
        <v>0</v>
      </c>
      <c r="AQ9" s="4">
        <f t="shared" si="46"/>
        <v>1</v>
      </c>
      <c r="AR9" s="4">
        <f t="shared" si="46"/>
        <v>0</v>
      </c>
      <c r="AS9" s="4">
        <f t="shared" si="46"/>
        <v>0</v>
      </c>
      <c r="AU9" s="1" t="s">
        <v>47</v>
      </c>
      <c r="AV9" s="1">
        <f t="shared" si="7"/>
        <v>1</v>
      </c>
      <c r="AW9" s="1">
        <f t="shared" si="8"/>
        <v>0</v>
      </c>
      <c r="AX9" s="1">
        <f t="shared" si="9"/>
        <v>0</v>
      </c>
      <c r="AY9" s="1" t="s">
        <v>47</v>
      </c>
      <c r="AZ9" s="1" t="s">
        <v>48</v>
      </c>
      <c r="BA9" s="1" t="s">
        <v>225</v>
      </c>
      <c r="BB9" s="4">
        <f t="shared" ref="BB9:BJ9" si="47">IF(ISNUMBER(SEARCH(BB$1,$BA9)), 1, 0)</f>
        <v>0</v>
      </c>
      <c r="BC9" s="4">
        <f t="shared" si="47"/>
        <v>0</v>
      </c>
      <c r="BD9" s="4">
        <f t="shared" si="47"/>
        <v>0</v>
      </c>
      <c r="BE9" s="4">
        <f t="shared" si="47"/>
        <v>1</v>
      </c>
      <c r="BF9" s="4">
        <f t="shared" si="47"/>
        <v>0</v>
      </c>
      <c r="BG9" s="4">
        <f t="shared" si="47"/>
        <v>0</v>
      </c>
      <c r="BH9" s="4">
        <f t="shared" si="47"/>
        <v>0</v>
      </c>
      <c r="BI9" s="4">
        <f t="shared" si="47"/>
        <v>0</v>
      </c>
      <c r="BJ9" s="4">
        <f t="shared" si="47"/>
        <v>1</v>
      </c>
      <c r="BK9" s="4">
        <f t="shared" si="11"/>
        <v>2</v>
      </c>
      <c r="BO9" s="4">
        <f t="shared" ref="BO9:BU9" si="48">IF(ISNUMBER(SEARCH(BO$1,$BN9)), 1, 0)</f>
        <v>0</v>
      </c>
      <c r="BP9" s="4">
        <f t="shared" si="48"/>
        <v>0</v>
      </c>
      <c r="BQ9" s="4">
        <f t="shared" si="48"/>
        <v>0</v>
      </c>
      <c r="BR9" s="4">
        <f t="shared" si="48"/>
        <v>0</v>
      </c>
      <c r="BS9" s="4">
        <f t="shared" si="48"/>
        <v>0</v>
      </c>
      <c r="BT9" s="4">
        <f t="shared" si="48"/>
        <v>0</v>
      </c>
      <c r="BU9" s="4">
        <f t="shared" si="48"/>
        <v>0</v>
      </c>
    </row>
    <row r="10" spans="1:107" ht="15.75" customHeight="1" x14ac:dyDescent="0.25">
      <c r="A10" s="1" t="b">
        <v>1</v>
      </c>
      <c r="B10" s="3">
        <v>46151.013645833336</v>
      </c>
      <c r="C10" s="1" t="s">
        <v>226</v>
      </c>
      <c r="D10" s="1" t="s">
        <v>227</v>
      </c>
      <c r="E10" s="4">
        <f t="shared" ref="E10:K10" si="49">IF(ISNUMBER(SEARCH(E$1,$D10)), SEARCH(E$1,$D10), 0)</f>
        <v>1</v>
      </c>
      <c r="F10" s="4">
        <f t="shared" si="49"/>
        <v>30</v>
      </c>
      <c r="G10" s="4">
        <f t="shared" si="49"/>
        <v>0</v>
      </c>
      <c r="H10" s="4">
        <f t="shared" si="49"/>
        <v>0</v>
      </c>
      <c r="I10" s="4">
        <f t="shared" si="49"/>
        <v>0</v>
      </c>
      <c r="J10" s="4">
        <f t="shared" si="49"/>
        <v>0</v>
      </c>
      <c r="K10" s="4">
        <f t="shared" si="49"/>
        <v>0</v>
      </c>
      <c r="L10" s="4">
        <f t="shared" si="1"/>
        <v>30</v>
      </c>
      <c r="M10" s="1" t="s">
        <v>228</v>
      </c>
      <c r="N10" s="1" t="s">
        <v>229</v>
      </c>
      <c r="O10" s="4">
        <f t="shared" ref="O10:T10" si="50">IF(ISNUMBER(SEARCH(O$1,$N10)), 1, 0)</f>
        <v>1</v>
      </c>
      <c r="P10" s="4">
        <f t="shared" si="50"/>
        <v>0</v>
      </c>
      <c r="Q10" s="4">
        <f t="shared" si="50"/>
        <v>1</v>
      </c>
      <c r="R10" s="4">
        <f t="shared" si="50"/>
        <v>1</v>
      </c>
      <c r="S10" s="4">
        <f t="shared" si="50"/>
        <v>1</v>
      </c>
      <c r="T10" s="4">
        <f t="shared" si="50"/>
        <v>0</v>
      </c>
      <c r="V10" s="1" t="s">
        <v>26</v>
      </c>
      <c r="W10" s="1" t="str">
        <f t="shared" si="3"/>
        <v>False</v>
      </c>
      <c r="X10" s="1" t="str">
        <f t="shared" si="3"/>
        <v>False</v>
      </c>
      <c r="Y10" s="1" t="str">
        <f t="shared" si="3"/>
        <v>False</v>
      </c>
      <c r="Z10" s="1" t="str">
        <f t="shared" si="3"/>
        <v>False</v>
      </c>
      <c r="AA10" s="1" t="str">
        <f t="shared" si="3"/>
        <v>True</v>
      </c>
      <c r="AB10" s="1" t="s">
        <v>230</v>
      </c>
      <c r="AC10" s="4">
        <f t="shared" ref="AC10:AH10" si="51">IF(ISNUMBER(SEARCH(AC$1,$AB10)), 1, 0)</f>
        <v>1</v>
      </c>
      <c r="AD10" s="4">
        <f t="shared" si="51"/>
        <v>1</v>
      </c>
      <c r="AE10" s="4">
        <f t="shared" si="51"/>
        <v>0</v>
      </c>
      <c r="AF10" s="4">
        <f t="shared" si="51"/>
        <v>0</v>
      </c>
      <c r="AG10" s="4">
        <f t="shared" si="51"/>
        <v>0</v>
      </c>
      <c r="AH10" s="4">
        <f t="shared" si="51"/>
        <v>0</v>
      </c>
      <c r="AI10" s="1">
        <f t="shared" si="5"/>
        <v>2</v>
      </c>
      <c r="AK10" s="1" t="s">
        <v>189</v>
      </c>
      <c r="AL10" s="4">
        <f t="shared" ref="AL10:AS10" si="52">IF(ISNUMBER(SEARCH(AL$1,$AK10)), 1, 0)</f>
        <v>1</v>
      </c>
      <c r="AM10" s="4">
        <f t="shared" si="52"/>
        <v>1</v>
      </c>
      <c r="AN10" s="4">
        <f t="shared" si="52"/>
        <v>1</v>
      </c>
      <c r="AO10" s="4">
        <f t="shared" si="52"/>
        <v>1</v>
      </c>
      <c r="AP10" s="4">
        <f t="shared" si="52"/>
        <v>0</v>
      </c>
      <c r="AQ10" s="4">
        <f t="shared" si="52"/>
        <v>1</v>
      </c>
      <c r="AR10" s="4">
        <f t="shared" si="52"/>
        <v>0</v>
      </c>
      <c r="AS10" s="4">
        <f t="shared" si="52"/>
        <v>0</v>
      </c>
      <c r="AU10" s="1" t="s">
        <v>48</v>
      </c>
      <c r="AV10" s="1">
        <f t="shared" si="7"/>
        <v>0</v>
      </c>
      <c r="AW10" s="1">
        <f t="shared" si="8"/>
        <v>1</v>
      </c>
      <c r="AX10" s="1">
        <f t="shared" si="9"/>
        <v>0</v>
      </c>
      <c r="AY10" s="1" t="s">
        <v>48</v>
      </c>
      <c r="BA10" s="1" t="s">
        <v>231</v>
      </c>
      <c r="BB10" s="4">
        <f t="shared" ref="BB10:BJ10" si="53">IF(ISNUMBER(SEARCH(BB$1,$BA10)), 1, 0)</f>
        <v>1</v>
      </c>
      <c r="BC10" s="4">
        <f t="shared" si="53"/>
        <v>1</v>
      </c>
      <c r="BD10" s="4">
        <f t="shared" si="53"/>
        <v>1</v>
      </c>
      <c r="BE10" s="4">
        <f t="shared" si="53"/>
        <v>1</v>
      </c>
      <c r="BF10" s="4">
        <f t="shared" si="53"/>
        <v>1</v>
      </c>
      <c r="BG10" s="4">
        <f t="shared" si="53"/>
        <v>1</v>
      </c>
      <c r="BH10" s="4">
        <f t="shared" si="53"/>
        <v>0</v>
      </c>
      <c r="BI10" s="4">
        <f t="shared" si="53"/>
        <v>0</v>
      </c>
      <c r="BJ10" s="4">
        <f t="shared" si="53"/>
        <v>1</v>
      </c>
      <c r="BK10" s="4">
        <f t="shared" si="11"/>
        <v>7</v>
      </c>
      <c r="BM10" s="1" t="s">
        <v>232</v>
      </c>
      <c r="BN10" s="1" t="s">
        <v>233</v>
      </c>
      <c r="BO10" s="4">
        <f t="shared" ref="BO10:BU10" si="54">IF(ISNUMBER(SEARCH(BO$1,$BN10)), 1, 0)</f>
        <v>1</v>
      </c>
      <c r="BP10" s="4">
        <f t="shared" si="54"/>
        <v>0</v>
      </c>
      <c r="BQ10" s="4">
        <f t="shared" si="54"/>
        <v>1</v>
      </c>
      <c r="BR10" s="4">
        <f t="shared" si="54"/>
        <v>0</v>
      </c>
      <c r="BS10" s="4">
        <f t="shared" si="54"/>
        <v>0</v>
      </c>
      <c r="BT10" s="4">
        <f t="shared" si="54"/>
        <v>0</v>
      </c>
      <c r="BU10" s="4">
        <f t="shared" si="54"/>
        <v>0</v>
      </c>
      <c r="BW10" s="1" t="s">
        <v>169</v>
      </c>
      <c r="BZ10" s="1" t="s">
        <v>234</v>
      </c>
      <c r="CX10" s="1" t="s">
        <v>235</v>
      </c>
      <c r="CZ10" s="1" t="s">
        <v>236</v>
      </c>
      <c r="DB10" s="1" t="s">
        <v>237</v>
      </c>
      <c r="DC10" s="1" t="s">
        <v>238</v>
      </c>
    </row>
    <row r="11" spans="1:107" ht="15.75" customHeight="1" x14ac:dyDescent="0.25">
      <c r="A11" s="1" t="b">
        <v>1</v>
      </c>
      <c r="B11" s="3">
        <v>46151.224618055552</v>
      </c>
      <c r="C11" s="1" t="s">
        <v>239</v>
      </c>
      <c r="D11" s="1" t="s">
        <v>4</v>
      </c>
      <c r="E11" s="4">
        <f t="shared" ref="E11:K11" si="55">IF(ISNUMBER(SEARCH(E$1,$D11)), SEARCH(E$1,$D11), 0)</f>
        <v>1</v>
      </c>
      <c r="F11" s="4">
        <f t="shared" si="55"/>
        <v>0</v>
      </c>
      <c r="G11" s="4">
        <f t="shared" si="55"/>
        <v>0</v>
      </c>
      <c r="H11" s="4">
        <f t="shared" si="55"/>
        <v>0</v>
      </c>
      <c r="I11" s="4">
        <f t="shared" si="55"/>
        <v>0</v>
      </c>
      <c r="J11" s="4">
        <f t="shared" si="55"/>
        <v>0</v>
      </c>
      <c r="K11" s="4">
        <f t="shared" si="55"/>
        <v>0</v>
      </c>
      <c r="L11" s="4">
        <f t="shared" si="1"/>
        <v>1</v>
      </c>
      <c r="N11" s="1" t="s">
        <v>240</v>
      </c>
      <c r="O11" s="4">
        <f t="shared" ref="O11:T11" si="56">IF(ISNUMBER(SEARCH(O$1,$N11)), 1, 0)</f>
        <v>1</v>
      </c>
      <c r="P11" s="4">
        <f t="shared" si="56"/>
        <v>1</v>
      </c>
      <c r="Q11" s="4">
        <f t="shared" si="56"/>
        <v>1</v>
      </c>
      <c r="R11" s="4">
        <f t="shared" si="56"/>
        <v>1</v>
      </c>
      <c r="S11" s="4">
        <f t="shared" si="56"/>
        <v>0</v>
      </c>
      <c r="T11" s="4">
        <f t="shared" si="56"/>
        <v>0</v>
      </c>
      <c r="W11" s="1" t="str">
        <f t="shared" si="3"/>
        <v>False</v>
      </c>
      <c r="X11" s="1" t="str">
        <f t="shared" si="3"/>
        <v>False</v>
      </c>
      <c r="Y11" s="1" t="str">
        <f t="shared" si="3"/>
        <v>False</v>
      </c>
      <c r="Z11" s="1" t="str">
        <f t="shared" si="3"/>
        <v>False</v>
      </c>
      <c r="AA11" s="1" t="str">
        <f t="shared" si="3"/>
        <v>False</v>
      </c>
      <c r="AB11" s="1" t="s">
        <v>28</v>
      </c>
      <c r="AC11" s="4">
        <f t="shared" ref="AC11:AH11" si="57">IF(ISNUMBER(SEARCH(AC$1,$AB11)), 1, 0)</f>
        <v>1</v>
      </c>
      <c r="AD11" s="4">
        <f t="shared" si="57"/>
        <v>0</v>
      </c>
      <c r="AE11" s="4">
        <f t="shared" si="57"/>
        <v>0</v>
      </c>
      <c r="AF11" s="4">
        <f t="shared" si="57"/>
        <v>0</v>
      </c>
      <c r="AG11" s="4">
        <f t="shared" si="57"/>
        <v>0</v>
      </c>
      <c r="AH11" s="4">
        <f t="shared" si="57"/>
        <v>0</v>
      </c>
      <c r="AI11" s="1">
        <f t="shared" si="5"/>
        <v>1</v>
      </c>
      <c r="AK11" s="1" t="s">
        <v>241</v>
      </c>
      <c r="AL11" s="4">
        <f t="shared" ref="AL11:AS11" si="58">IF(ISNUMBER(SEARCH(AL$1,$AK11)), 1, 0)</f>
        <v>1</v>
      </c>
      <c r="AM11" s="4">
        <f t="shared" si="58"/>
        <v>1</v>
      </c>
      <c r="AN11" s="4">
        <f t="shared" si="58"/>
        <v>0</v>
      </c>
      <c r="AO11" s="4">
        <f t="shared" si="58"/>
        <v>1</v>
      </c>
      <c r="AP11" s="4">
        <f t="shared" si="58"/>
        <v>1</v>
      </c>
      <c r="AQ11" s="4">
        <f t="shared" si="58"/>
        <v>0</v>
      </c>
      <c r="AR11" s="4">
        <f t="shared" si="58"/>
        <v>0</v>
      </c>
      <c r="AS11" s="4">
        <f t="shared" si="58"/>
        <v>0</v>
      </c>
      <c r="AU11" s="1" t="s">
        <v>49</v>
      </c>
      <c r="AV11" s="1">
        <f t="shared" si="7"/>
        <v>0</v>
      </c>
      <c r="AW11" s="1">
        <f t="shared" si="8"/>
        <v>0</v>
      </c>
      <c r="AX11" s="1">
        <f t="shared" si="9"/>
        <v>1</v>
      </c>
      <c r="AY11" s="1" t="s">
        <v>48</v>
      </c>
      <c r="BA11" s="1" t="s">
        <v>61</v>
      </c>
      <c r="BB11" s="4">
        <f t="shared" ref="BB11:BJ11" si="59">IF(ISNUMBER(SEARCH(BB$1,$BA11)), 1, 0)</f>
        <v>0</v>
      </c>
      <c r="BC11" s="4">
        <f t="shared" si="59"/>
        <v>0</v>
      </c>
      <c r="BD11" s="4">
        <f t="shared" si="59"/>
        <v>0</v>
      </c>
      <c r="BE11" s="4">
        <f t="shared" si="59"/>
        <v>0</v>
      </c>
      <c r="BF11" s="4">
        <f t="shared" si="59"/>
        <v>0</v>
      </c>
      <c r="BG11" s="4">
        <f t="shared" si="59"/>
        <v>0</v>
      </c>
      <c r="BH11" s="4">
        <f t="shared" si="59"/>
        <v>0</v>
      </c>
      <c r="BI11" s="4">
        <f t="shared" si="59"/>
        <v>0</v>
      </c>
      <c r="BJ11" s="4">
        <f t="shared" si="59"/>
        <v>1</v>
      </c>
      <c r="BK11" s="4">
        <f t="shared" si="11"/>
        <v>1</v>
      </c>
      <c r="BM11" s="1" t="s">
        <v>166</v>
      </c>
      <c r="BN11" s="1" t="s">
        <v>72</v>
      </c>
      <c r="BO11" s="4">
        <f t="shared" ref="BO11:BU11" si="60">IF(ISNUMBER(SEARCH(BO$1,$BN11)), 1, 0)</f>
        <v>0</v>
      </c>
      <c r="BP11" s="4">
        <f t="shared" si="60"/>
        <v>0</v>
      </c>
      <c r="BQ11" s="4">
        <f t="shared" si="60"/>
        <v>0</v>
      </c>
      <c r="BR11" s="4">
        <f t="shared" si="60"/>
        <v>0</v>
      </c>
      <c r="BS11" s="4">
        <f t="shared" si="60"/>
        <v>0</v>
      </c>
      <c r="BT11" s="4">
        <f t="shared" si="60"/>
        <v>0</v>
      </c>
      <c r="BU11" s="4">
        <f t="shared" si="60"/>
        <v>1</v>
      </c>
    </row>
    <row r="12" spans="1:107" ht="15.75" customHeight="1" x14ac:dyDescent="0.25">
      <c r="A12" s="1" t="b">
        <v>1</v>
      </c>
      <c r="B12" s="3">
        <v>46151.311597222222</v>
      </c>
      <c r="C12" s="1" t="s">
        <v>242</v>
      </c>
      <c r="D12" s="1" t="s">
        <v>243</v>
      </c>
      <c r="E12" s="4">
        <f t="shared" ref="E12:K12" si="61">IF(ISNUMBER(SEARCH(E$1,$D12)), SEARCH(E$1,$D12), 0)</f>
        <v>1</v>
      </c>
      <c r="F12" s="4">
        <f t="shared" si="61"/>
        <v>30</v>
      </c>
      <c r="G12" s="4">
        <f t="shared" si="61"/>
        <v>105</v>
      </c>
      <c r="H12" s="4">
        <f t="shared" si="61"/>
        <v>0</v>
      </c>
      <c r="I12" s="4">
        <f t="shared" si="61"/>
        <v>0</v>
      </c>
      <c r="J12" s="4">
        <f t="shared" si="61"/>
        <v>0</v>
      </c>
      <c r="K12" s="4">
        <f t="shared" si="61"/>
        <v>0</v>
      </c>
      <c r="L12" s="4">
        <f t="shared" si="1"/>
        <v>105</v>
      </c>
      <c r="N12" s="1" t="s">
        <v>244</v>
      </c>
      <c r="O12" s="4">
        <f t="shared" ref="O12:T12" si="62">IF(ISNUMBER(SEARCH(O$1,$N12)), 1, 0)</f>
        <v>1</v>
      </c>
      <c r="P12" s="4">
        <f t="shared" si="62"/>
        <v>0</v>
      </c>
      <c r="Q12" s="4">
        <f t="shared" si="62"/>
        <v>1</v>
      </c>
      <c r="R12" s="4">
        <f t="shared" si="62"/>
        <v>1</v>
      </c>
      <c r="S12" s="4">
        <f t="shared" si="62"/>
        <v>0</v>
      </c>
      <c r="T12" s="4">
        <f t="shared" si="62"/>
        <v>0</v>
      </c>
      <c r="V12" s="1" t="s">
        <v>25</v>
      </c>
      <c r="W12" s="1" t="str">
        <f t="shared" si="3"/>
        <v>False</v>
      </c>
      <c r="X12" s="1" t="str">
        <f t="shared" si="3"/>
        <v>False</v>
      </c>
      <c r="Y12" s="1" t="str">
        <f t="shared" si="3"/>
        <v>False</v>
      </c>
      <c r="Z12" s="1" t="str">
        <f t="shared" si="3"/>
        <v>True</v>
      </c>
      <c r="AA12" s="1" t="str">
        <f t="shared" si="3"/>
        <v>False</v>
      </c>
      <c r="AB12" s="1" t="s">
        <v>245</v>
      </c>
      <c r="AC12" s="4">
        <f t="shared" ref="AC12:AH12" si="63">IF(ISNUMBER(SEARCH(AC$1,$AB12)), 1, 0)</f>
        <v>1</v>
      </c>
      <c r="AD12" s="4">
        <f t="shared" si="63"/>
        <v>0</v>
      </c>
      <c r="AE12" s="4">
        <f t="shared" si="63"/>
        <v>0</v>
      </c>
      <c r="AF12" s="4">
        <f t="shared" si="63"/>
        <v>1</v>
      </c>
      <c r="AG12" s="4">
        <f t="shared" si="63"/>
        <v>0</v>
      </c>
      <c r="AH12" s="4">
        <f t="shared" si="63"/>
        <v>0</v>
      </c>
      <c r="AI12" s="1">
        <f t="shared" si="5"/>
        <v>2</v>
      </c>
      <c r="AK12" s="1" t="s">
        <v>246</v>
      </c>
      <c r="AL12" s="4">
        <f t="shared" ref="AL12:AS12" si="64">IF(ISNUMBER(SEARCH(AL$1,$AK12)), 1, 0)</f>
        <v>1</v>
      </c>
      <c r="AM12" s="4">
        <f t="shared" si="64"/>
        <v>1</v>
      </c>
      <c r="AN12" s="4">
        <f t="shared" si="64"/>
        <v>0</v>
      </c>
      <c r="AO12" s="4">
        <f t="shared" si="64"/>
        <v>1</v>
      </c>
      <c r="AP12" s="4">
        <f t="shared" si="64"/>
        <v>0</v>
      </c>
      <c r="AQ12" s="4">
        <f t="shared" si="64"/>
        <v>1</v>
      </c>
      <c r="AR12" s="4">
        <f t="shared" si="64"/>
        <v>0</v>
      </c>
      <c r="AS12" s="4">
        <f t="shared" si="64"/>
        <v>0</v>
      </c>
      <c r="AU12" s="1" t="s">
        <v>47</v>
      </c>
      <c r="AV12" s="1">
        <f t="shared" si="7"/>
        <v>1</v>
      </c>
      <c r="AW12" s="1">
        <f t="shared" si="8"/>
        <v>0</v>
      </c>
      <c r="AX12" s="1">
        <f t="shared" si="9"/>
        <v>0</v>
      </c>
      <c r="AY12" s="1" t="s">
        <v>48</v>
      </c>
      <c r="BA12" s="1" t="s">
        <v>247</v>
      </c>
      <c r="BB12" s="4">
        <f t="shared" ref="BB12:BJ12" si="65">IF(ISNUMBER(SEARCH(BB$1,$BA12)), 1, 0)</f>
        <v>1</v>
      </c>
      <c r="BC12" s="4">
        <f t="shared" si="65"/>
        <v>1</v>
      </c>
      <c r="BD12" s="4">
        <f t="shared" si="65"/>
        <v>1</v>
      </c>
      <c r="BE12" s="4">
        <f t="shared" si="65"/>
        <v>1</v>
      </c>
      <c r="BF12" s="4">
        <f t="shared" si="65"/>
        <v>1</v>
      </c>
      <c r="BG12" s="4">
        <f t="shared" si="65"/>
        <v>0</v>
      </c>
      <c r="BH12" s="4">
        <f t="shared" si="65"/>
        <v>1</v>
      </c>
      <c r="BI12" s="4">
        <f t="shared" si="65"/>
        <v>0</v>
      </c>
      <c r="BJ12" s="4">
        <f t="shared" si="65"/>
        <v>1</v>
      </c>
      <c r="BK12" s="4">
        <f t="shared" si="11"/>
        <v>7</v>
      </c>
      <c r="BM12" s="1" t="s">
        <v>166</v>
      </c>
      <c r="BN12" s="1" t="s">
        <v>248</v>
      </c>
      <c r="BO12" s="4">
        <f t="shared" ref="BO12:BU12" si="66">IF(ISNUMBER(SEARCH(BO$1,$BN12)), 1, 0)</f>
        <v>0</v>
      </c>
      <c r="BP12" s="4">
        <f t="shared" si="66"/>
        <v>1</v>
      </c>
      <c r="BQ12" s="4">
        <f t="shared" si="66"/>
        <v>1</v>
      </c>
      <c r="BR12" s="4">
        <f t="shared" si="66"/>
        <v>0</v>
      </c>
      <c r="BS12" s="4">
        <f t="shared" si="66"/>
        <v>1</v>
      </c>
      <c r="BT12" s="4">
        <f t="shared" si="66"/>
        <v>0</v>
      </c>
      <c r="BU12" s="4">
        <f t="shared" si="66"/>
        <v>0</v>
      </c>
      <c r="CU12" s="1" t="s">
        <v>236</v>
      </c>
      <c r="CX12" s="1" t="s">
        <v>249</v>
      </c>
      <c r="CZ12" s="1" t="s">
        <v>250</v>
      </c>
      <c r="DC12" s="1" t="s">
        <v>238</v>
      </c>
    </row>
    <row r="13" spans="1:107" ht="15.75" customHeight="1" x14ac:dyDescent="0.25">
      <c r="A13" s="1" t="b">
        <v>1</v>
      </c>
      <c r="B13" s="3">
        <v>46151.410277777781</v>
      </c>
      <c r="C13" s="1" t="s">
        <v>251</v>
      </c>
      <c r="D13" s="1" t="s">
        <v>5</v>
      </c>
      <c r="E13" s="4">
        <f t="shared" ref="E13:K13" si="67">IF(ISNUMBER(SEARCH(E$1,$D13)), SEARCH(E$1,$D13), 0)</f>
        <v>0</v>
      </c>
      <c r="F13" s="4">
        <f t="shared" si="67"/>
        <v>1</v>
      </c>
      <c r="G13" s="4">
        <f t="shared" si="67"/>
        <v>0</v>
      </c>
      <c r="H13" s="4">
        <f t="shared" si="67"/>
        <v>0</v>
      </c>
      <c r="I13" s="4">
        <f t="shared" si="67"/>
        <v>0</v>
      </c>
      <c r="J13" s="4">
        <f t="shared" si="67"/>
        <v>0</v>
      </c>
      <c r="K13" s="4">
        <f t="shared" si="67"/>
        <v>0</v>
      </c>
      <c r="L13" s="4">
        <f t="shared" si="1"/>
        <v>1</v>
      </c>
      <c r="N13" s="1" t="s">
        <v>240</v>
      </c>
      <c r="O13" s="4">
        <f t="shared" ref="O13:T13" si="68">IF(ISNUMBER(SEARCH(O$1,$N13)), 1, 0)</f>
        <v>1</v>
      </c>
      <c r="P13" s="4">
        <f t="shared" si="68"/>
        <v>1</v>
      </c>
      <c r="Q13" s="4">
        <f t="shared" si="68"/>
        <v>1</v>
      </c>
      <c r="R13" s="4">
        <f t="shared" si="68"/>
        <v>1</v>
      </c>
      <c r="S13" s="4">
        <f t="shared" si="68"/>
        <v>0</v>
      </c>
      <c r="T13" s="4">
        <f t="shared" si="68"/>
        <v>0</v>
      </c>
      <c r="V13" s="1" t="s">
        <v>24</v>
      </c>
      <c r="W13" s="1" t="str">
        <f t="shared" ref="W13:AA22" si="69">IF(W$1=$V13, "True", "False")</f>
        <v>False</v>
      </c>
      <c r="X13" s="1" t="str">
        <f t="shared" si="69"/>
        <v>False</v>
      </c>
      <c r="Y13" s="1" t="str">
        <f t="shared" si="69"/>
        <v>True</v>
      </c>
      <c r="Z13" s="1" t="str">
        <f t="shared" si="69"/>
        <v>False</v>
      </c>
      <c r="AA13" s="1" t="str">
        <f t="shared" si="69"/>
        <v>False</v>
      </c>
      <c r="AB13" s="1" t="s">
        <v>28</v>
      </c>
      <c r="AC13" s="4">
        <f t="shared" ref="AC13:AH13" si="70">IF(ISNUMBER(SEARCH(AC$1,$AB13)), 1, 0)</f>
        <v>1</v>
      </c>
      <c r="AD13" s="4">
        <f t="shared" si="70"/>
        <v>0</v>
      </c>
      <c r="AE13" s="4">
        <f t="shared" si="70"/>
        <v>0</v>
      </c>
      <c r="AF13" s="4">
        <f t="shared" si="70"/>
        <v>0</v>
      </c>
      <c r="AG13" s="4">
        <f t="shared" si="70"/>
        <v>0</v>
      </c>
      <c r="AH13" s="4">
        <f t="shared" si="70"/>
        <v>0</v>
      </c>
      <c r="AI13" s="1">
        <f t="shared" si="5"/>
        <v>1</v>
      </c>
      <c r="AK13" s="1" t="s">
        <v>252</v>
      </c>
      <c r="AL13" s="4">
        <f t="shared" ref="AL13:AS13" si="71">IF(ISNUMBER(SEARCH(AL$1,$AK13)), 1, 0)</f>
        <v>0</v>
      </c>
      <c r="AM13" s="4">
        <f t="shared" si="71"/>
        <v>1</v>
      </c>
      <c r="AN13" s="4">
        <f t="shared" si="71"/>
        <v>1</v>
      </c>
      <c r="AO13" s="4">
        <f t="shared" si="71"/>
        <v>0</v>
      </c>
      <c r="AP13" s="4">
        <f t="shared" si="71"/>
        <v>0</v>
      </c>
      <c r="AQ13" s="4">
        <f t="shared" si="71"/>
        <v>1</v>
      </c>
      <c r="AR13" s="4">
        <f t="shared" si="71"/>
        <v>0</v>
      </c>
      <c r="AS13" s="4">
        <f t="shared" si="71"/>
        <v>0</v>
      </c>
      <c r="AU13" s="1" t="s">
        <v>48</v>
      </c>
      <c r="AV13" s="1">
        <f t="shared" si="7"/>
        <v>0</v>
      </c>
      <c r="AW13" s="1">
        <f t="shared" si="8"/>
        <v>1</v>
      </c>
      <c r="AX13" s="1">
        <f t="shared" si="9"/>
        <v>0</v>
      </c>
      <c r="AY13" s="1" t="s">
        <v>48</v>
      </c>
      <c r="BA13" s="1" t="s">
        <v>253</v>
      </c>
      <c r="BB13" s="4">
        <f t="shared" ref="BB13:BJ13" si="72">IF(ISNUMBER(SEARCH(BB$1,$BA13)), 1, 0)</f>
        <v>1</v>
      </c>
      <c r="BC13" s="4">
        <f t="shared" si="72"/>
        <v>1</v>
      </c>
      <c r="BD13" s="4">
        <f t="shared" si="72"/>
        <v>1</v>
      </c>
      <c r="BE13" s="4">
        <f t="shared" si="72"/>
        <v>1</v>
      </c>
      <c r="BF13" s="4">
        <f t="shared" si="72"/>
        <v>1</v>
      </c>
      <c r="BG13" s="4">
        <f t="shared" si="72"/>
        <v>0</v>
      </c>
      <c r="BH13" s="4">
        <f t="shared" si="72"/>
        <v>0</v>
      </c>
      <c r="BI13" s="4">
        <f t="shared" si="72"/>
        <v>0</v>
      </c>
      <c r="BJ13" s="4">
        <f t="shared" si="72"/>
        <v>1</v>
      </c>
      <c r="BK13" s="4">
        <f t="shared" si="11"/>
        <v>6</v>
      </c>
      <c r="BM13" s="1" t="s">
        <v>218</v>
      </c>
      <c r="BN13" s="1" t="s">
        <v>254</v>
      </c>
      <c r="BO13" s="4">
        <f t="shared" ref="BO13:BU13" si="73">IF(ISNUMBER(SEARCH(BO$1,$BN13)), 1, 0)</f>
        <v>1</v>
      </c>
      <c r="BP13" s="4">
        <f t="shared" si="73"/>
        <v>1</v>
      </c>
      <c r="BQ13" s="4">
        <f t="shared" si="73"/>
        <v>0</v>
      </c>
      <c r="BR13" s="4">
        <f t="shared" si="73"/>
        <v>1</v>
      </c>
      <c r="BS13" s="4">
        <f t="shared" si="73"/>
        <v>0</v>
      </c>
      <c r="BT13" s="4">
        <f t="shared" si="73"/>
        <v>1</v>
      </c>
      <c r="BU13" s="4">
        <f t="shared" si="73"/>
        <v>0</v>
      </c>
      <c r="BW13" s="1" t="s">
        <v>255</v>
      </c>
      <c r="BZ13" s="1" t="s">
        <v>256</v>
      </c>
      <c r="CX13" s="1" t="s">
        <v>257</v>
      </c>
      <c r="CZ13" s="1" t="s">
        <v>178</v>
      </c>
      <c r="DC13" s="1" t="s">
        <v>238</v>
      </c>
    </row>
    <row r="14" spans="1:107" ht="15.75" customHeight="1" x14ac:dyDescent="0.25">
      <c r="A14" s="1" t="b">
        <v>1</v>
      </c>
      <c r="B14" s="3">
        <v>46151.550763888888</v>
      </c>
      <c r="C14" s="1" t="s">
        <v>258</v>
      </c>
      <c r="D14" s="1" t="s">
        <v>207</v>
      </c>
      <c r="E14" s="4">
        <f t="shared" ref="E14:K14" si="74">IF(ISNUMBER(SEARCH(E$1,$D14)), SEARCH(E$1,$D14), 0)</f>
        <v>1</v>
      </c>
      <c r="F14" s="4">
        <f t="shared" si="74"/>
        <v>30</v>
      </c>
      <c r="G14" s="4">
        <f t="shared" si="74"/>
        <v>0</v>
      </c>
      <c r="H14" s="4">
        <f t="shared" si="74"/>
        <v>0</v>
      </c>
      <c r="I14" s="4">
        <f t="shared" si="74"/>
        <v>0</v>
      </c>
      <c r="J14" s="4">
        <f t="shared" si="74"/>
        <v>0</v>
      </c>
      <c r="K14" s="4">
        <f t="shared" si="74"/>
        <v>0</v>
      </c>
      <c r="L14" s="4">
        <f t="shared" si="1"/>
        <v>30</v>
      </c>
      <c r="N14" s="1" t="s">
        <v>208</v>
      </c>
      <c r="O14" s="4">
        <f t="shared" ref="O14:T14" si="75">IF(ISNUMBER(SEARCH(O$1,$N14)), 1, 0)</f>
        <v>1</v>
      </c>
      <c r="P14" s="4">
        <f t="shared" si="75"/>
        <v>1</v>
      </c>
      <c r="Q14" s="4">
        <f t="shared" si="75"/>
        <v>0</v>
      </c>
      <c r="R14" s="4">
        <f t="shared" si="75"/>
        <v>1</v>
      </c>
      <c r="S14" s="4">
        <f t="shared" si="75"/>
        <v>0</v>
      </c>
      <c r="T14" s="4">
        <f t="shared" si="75"/>
        <v>0</v>
      </c>
      <c r="W14" s="1" t="str">
        <f t="shared" si="69"/>
        <v>False</v>
      </c>
      <c r="X14" s="1" t="str">
        <f t="shared" si="69"/>
        <v>False</v>
      </c>
      <c r="Y14" s="1" t="str">
        <f t="shared" si="69"/>
        <v>False</v>
      </c>
      <c r="Z14" s="1" t="str">
        <f t="shared" si="69"/>
        <v>False</v>
      </c>
      <c r="AA14" s="1" t="str">
        <f t="shared" si="69"/>
        <v>False</v>
      </c>
      <c r="AB14" s="1" t="s">
        <v>245</v>
      </c>
      <c r="AC14" s="4">
        <f t="shared" ref="AC14:AH14" si="76">IF(ISNUMBER(SEARCH(AC$1,$AB14)), 1, 0)</f>
        <v>1</v>
      </c>
      <c r="AD14" s="4">
        <f t="shared" si="76"/>
        <v>0</v>
      </c>
      <c r="AE14" s="4">
        <f t="shared" si="76"/>
        <v>0</v>
      </c>
      <c r="AF14" s="4">
        <f t="shared" si="76"/>
        <v>1</v>
      </c>
      <c r="AG14" s="4">
        <f t="shared" si="76"/>
        <v>0</v>
      </c>
      <c r="AH14" s="4">
        <f t="shared" si="76"/>
        <v>0</v>
      </c>
      <c r="AI14" s="1">
        <f t="shared" si="5"/>
        <v>2</v>
      </c>
      <c r="AK14" s="1" t="s">
        <v>259</v>
      </c>
      <c r="AL14" s="4">
        <f t="shared" ref="AL14:AS14" si="77">IF(ISNUMBER(SEARCH(AL$1,$AK14)), 1, 0)</f>
        <v>1</v>
      </c>
      <c r="AM14" s="4">
        <f t="shared" si="77"/>
        <v>1</v>
      </c>
      <c r="AN14" s="4">
        <f t="shared" si="77"/>
        <v>0</v>
      </c>
      <c r="AO14" s="4">
        <f t="shared" si="77"/>
        <v>1</v>
      </c>
      <c r="AP14" s="4">
        <f t="shared" si="77"/>
        <v>0</v>
      </c>
      <c r="AQ14" s="4">
        <f t="shared" si="77"/>
        <v>0</v>
      </c>
      <c r="AR14" s="4">
        <f t="shared" si="77"/>
        <v>0</v>
      </c>
      <c r="AS14" s="4">
        <f t="shared" si="77"/>
        <v>0</v>
      </c>
      <c r="AU14" s="1" t="s">
        <v>48</v>
      </c>
      <c r="AV14" s="1">
        <f t="shared" si="7"/>
        <v>0</v>
      </c>
      <c r="AW14" s="1">
        <f t="shared" si="8"/>
        <v>1</v>
      </c>
      <c r="AX14" s="1">
        <f t="shared" si="9"/>
        <v>0</v>
      </c>
      <c r="AY14" s="1" t="s">
        <v>48</v>
      </c>
      <c r="BA14" s="1" t="s">
        <v>231</v>
      </c>
      <c r="BB14" s="4">
        <f t="shared" ref="BB14:BJ14" si="78">IF(ISNUMBER(SEARCH(BB$1,$BA14)), 1, 0)</f>
        <v>1</v>
      </c>
      <c r="BC14" s="4">
        <f t="shared" si="78"/>
        <v>1</v>
      </c>
      <c r="BD14" s="4">
        <f t="shared" si="78"/>
        <v>1</v>
      </c>
      <c r="BE14" s="4">
        <f t="shared" si="78"/>
        <v>1</v>
      </c>
      <c r="BF14" s="4">
        <f t="shared" si="78"/>
        <v>1</v>
      </c>
      <c r="BG14" s="4">
        <f t="shared" si="78"/>
        <v>1</v>
      </c>
      <c r="BH14" s="4">
        <f t="shared" si="78"/>
        <v>0</v>
      </c>
      <c r="BI14" s="4">
        <f t="shared" si="78"/>
        <v>0</v>
      </c>
      <c r="BJ14" s="4">
        <f t="shared" si="78"/>
        <v>1</v>
      </c>
      <c r="BK14" s="4">
        <f t="shared" si="11"/>
        <v>7</v>
      </c>
      <c r="BM14" s="1" t="s">
        <v>232</v>
      </c>
      <c r="BN14" s="1" t="s">
        <v>260</v>
      </c>
      <c r="BO14" s="4">
        <f t="shared" ref="BO14:BU14" si="79">IF(ISNUMBER(SEARCH(BO$1,$BN14)), 1, 0)</f>
        <v>0</v>
      </c>
      <c r="BP14" s="4">
        <f t="shared" si="79"/>
        <v>1</v>
      </c>
      <c r="BQ14" s="4">
        <f t="shared" si="79"/>
        <v>0</v>
      </c>
      <c r="BR14" s="4">
        <f t="shared" si="79"/>
        <v>1</v>
      </c>
      <c r="BS14" s="4">
        <f t="shared" si="79"/>
        <v>0</v>
      </c>
      <c r="BT14" s="4">
        <f t="shared" si="79"/>
        <v>0</v>
      </c>
      <c r="BU14" s="4">
        <f t="shared" si="79"/>
        <v>1</v>
      </c>
      <c r="BW14" s="1" t="s">
        <v>212</v>
      </c>
      <c r="BZ14" s="1" t="s">
        <v>256</v>
      </c>
      <c r="CX14" s="1" t="s">
        <v>261</v>
      </c>
      <c r="CZ14" s="1" t="s">
        <v>262</v>
      </c>
      <c r="DB14" s="1" t="s">
        <v>263</v>
      </c>
      <c r="DC14" s="1" t="s">
        <v>238</v>
      </c>
    </row>
    <row r="15" spans="1:107" ht="15.75" customHeight="1" x14ac:dyDescent="0.25">
      <c r="A15" s="1" t="b">
        <v>1</v>
      </c>
      <c r="B15" s="3">
        <v>46151.560682870368</v>
      </c>
      <c r="C15" s="1" t="s">
        <v>264</v>
      </c>
      <c r="D15" s="1" t="s">
        <v>4</v>
      </c>
      <c r="E15" s="4">
        <f t="shared" ref="E15:K15" si="80">IF(ISNUMBER(SEARCH(E$1,$D15)), SEARCH(E$1,$D15), 0)</f>
        <v>1</v>
      </c>
      <c r="F15" s="4">
        <f t="shared" si="80"/>
        <v>0</v>
      </c>
      <c r="G15" s="4">
        <f t="shared" si="80"/>
        <v>0</v>
      </c>
      <c r="H15" s="4">
        <f t="shared" si="80"/>
        <v>0</v>
      </c>
      <c r="I15" s="4">
        <f t="shared" si="80"/>
        <v>0</v>
      </c>
      <c r="J15" s="4">
        <f t="shared" si="80"/>
        <v>0</v>
      </c>
      <c r="K15" s="4">
        <f t="shared" si="80"/>
        <v>0</v>
      </c>
      <c r="L15" s="4">
        <f t="shared" si="1"/>
        <v>1</v>
      </c>
      <c r="N15" s="1" t="s">
        <v>265</v>
      </c>
      <c r="O15" s="4">
        <f t="shared" ref="O15:T15" si="81">IF(ISNUMBER(SEARCH(O$1,$N15)), 1, 0)</f>
        <v>0</v>
      </c>
      <c r="P15" s="4">
        <f t="shared" si="81"/>
        <v>1</v>
      </c>
      <c r="Q15" s="4">
        <f t="shared" si="81"/>
        <v>0</v>
      </c>
      <c r="R15" s="4">
        <f t="shared" si="81"/>
        <v>0</v>
      </c>
      <c r="S15" s="4">
        <f t="shared" si="81"/>
        <v>0</v>
      </c>
      <c r="T15" s="4">
        <f t="shared" si="81"/>
        <v>0</v>
      </c>
      <c r="V15" s="1" t="s">
        <v>22</v>
      </c>
      <c r="W15" s="1" t="str">
        <f t="shared" si="69"/>
        <v>True</v>
      </c>
      <c r="X15" s="1" t="str">
        <f t="shared" si="69"/>
        <v>False</v>
      </c>
      <c r="Y15" s="1" t="str">
        <f t="shared" si="69"/>
        <v>False</v>
      </c>
      <c r="Z15" s="1" t="str">
        <f t="shared" si="69"/>
        <v>False</v>
      </c>
      <c r="AA15" s="1" t="str">
        <f t="shared" si="69"/>
        <v>False</v>
      </c>
      <c r="AB15" s="1" t="s">
        <v>28</v>
      </c>
      <c r="AC15" s="4">
        <f t="shared" ref="AC15:AH15" si="82">IF(ISNUMBER(SEARCH(AC$1,$AB15)), 1, 0)</f>
        <v>1</v>
      </c>
      <c r="AD15" s="4">
        <f t="shared" si="82"/>
        <v>0</v>
      </c>
      <c r="AE15" s="4">
        <f t="shared" si="82"/>
        <v>0</v>
      </c>
      <c r="AF15" s="4">
        <f t="shared" si="82"/>
        <v>0</v>
      </c>
      <c r="AG15" s="4">
        <f t="shared" si="82"/>
        <v>0</v>
      </c>
      <c r="AH15" s="4">
        <f t="shared" si="82"/>
        <v>0</v>
      </c>
      <c r="AI15" s="1">
        <f t="shared" si="5"/>
        <v>1</v>
      </c>
      <c r="AK15" s="1" t="s">
        <v>266</v>
      </c>
      <c r="AL15" s="4">
        <f t="shared" ref="AL15:AS15" si="83">IF(ISNUMBER(SEARCH(AL$1,$AK15)), 1, 0)</f>
        <v>0</v>
      </c>
      <c r="AM15" s="4">
        <f t="shared" si="83"/>
        <v>1</v>
      </c>
      <c r="AN15" s="4">
        <f t="shared" si="83"/>
        <v>1</v>
      </c>
      <c r="AO15" s="4">
        <f t="shared" si="83"/>
        <v>1</v>
      </c>
      <c r="AP15" s="4">
        <f t="shared" si="83"/>
        <v>0</v>
      </c>
      <c r="AQ15" s="4">
        <f t="shared" si="83"/>
        <v>1</v>
      </c>
      <c r="AR15" s="4">
        <f t="shared" si="83"/>
        <v>1</v>
      </c>
      <c r="AS15" s="4">
        <f t="shared" si="83"/>
        <v>0</v>
      </c>
      <c r="AU15" s="1" t="s">
        <v>47</v>
      </c>
      <c r="AV15" s="1">
        <f t="shared" si="7"/>
        <v>1</v>
      </c>
      <c r="AW15" s="1">
        <f t="shared" si="8"/>
        <v>0</v>
      </c>
      <c r="AX15" s="1">
        <f t="shared" si="9"/>
        <v>0</v>
      </c>
      <c r="AY15" s="1" t="s">
        <v>48</v>
      </c>
      <c r="BA15" s="1" t="s">
        <v>61</v>
      </c>
      <c r="BB15" s="4">
        <f t="shared" ref="BB15:BJ15" si="84">IF(ISNUMBER(SEARCH(BB$1,$BA15)), 1, 0)</f>
        <v>0</v>
      </c>
      <c r="BC15" s="4">
        <f t="shared" si="84"/>
        <v>0</v>
      </c>
      <c r="BD15" s="4">
        <f t="shared" si="84"/>
        <v>0</v>
      </c>
      <c r="BE15" s="4">
        <f t="shared" si="84"/>
        <v>0</v>
      </c>
      <c r="BF15" s="4">
        <f t="shared" si="84"/>
        <v>0</v>
      </c>
      <c r="BG15" s="4">
        <f t="shared" si="84"/>
        <v>0</v>
      </c>
      <c r="BH15" s="4">
        <f t="shared" si="84"/>
        <v>0</v>
      </c>
      <c r="BI15" s="4">
        <f t="shared" si="84"/>
        <v>0</v>
      </c>
      <c r="BJ15" s="4">
        <f t="shared" si="84"/>
        <v>1</v>
      </c>
      <c r="BK15" s="4">
        <f t="shared" si="11"/>
        <v>1</v>
      </c>
      <c r="BM15" s="1" t="s">
        <v>267</v>
      </c>
      <c r="BN15" s="1" t="s">
        <v>268</v>
      </c>
      <c r="BO15" s="4">
        <f t="shared" ref="BO15:BU15" si="85">IF(ISNUMBER(SEARCH(BO$1,$BN15)), 1, 0)</f>
        <v>1</v>
      </c>
      <c r="BP15" s="4">
        <f t="shared" si="85"/>
        <v>1</v>
      </c>
      <c r="BQ15" s="4">
        <f t="shared" si="85"/>
        <v>0</v>
      </c>
      <c r="BR15" s="4">
        <f t="shared" si="85"/>
        <v>0</v>
      </c>
      <c r="BS15" s="4">
        <f t="shared" si="85"/>
        <v>0</v>
      </c>
      <c r="BT15" s="4">
        <f t="shared" si="85"/>
        <v>0</v>
      </c>
      <c r="BU15" s="4">
        <f t="shared" si="85"/>
        <v>0</v>
      </c>
      <c r="BV15" s="1" t="s">
        <v>269</v>
      </c>
      <c r="DC15" s="1" t="s">
        <v>238</v>
      </c>
    </row>
    <row r="16" spans="1:107" ht="15.75" customHeight="1" x14ac:dyDescent="0.25">
      <c r="A16" s="1" t="b">
        <v>1</v>
      </c>
      <c r="B16" s="3">
        <v>46151.902384259258</v>
      </c>
      <c r="C16" s="1" t="s">
        <v>270</v>
      </c>
      <c r="D16" s="1" t="s">
        <v>271</v>
      </c>
      <c r="E16" s="4">
        <f t="shared" ref="E16:K16" si="86">IF(ISNUMBER(SEARCH(E$1,$D16)), SEARCH(E$1,$D16), 0)</f>
        <v>1</v>
      </c>
      <c r="F16" s="4">
        <f t="shared" si="86"/>
        <v>30</v>
      </c>
      <c r="G16" s="4">
        <f t="shared" si="86"/>
        <v>105</v>
      </c>
      <c r="H16" s="4">
        <f t="shared" si="86"/>
        <v>0</v>
      </c>
      <c r="I16" s="4">
        <f t="shared" si="86"/>
        <v>0</v>
      </c>
      <c r="J16" s="4">
        <f t="shared" si="86"/>
        <v>161</v>
      </c>
      <c r="K16" s="4">
        <f t="shared" si="86"/>
        <v>0</v>
      </c>
      <c r="L16" s="4">
        <f t="shared" si="1"/>
        <v>161</v>
      </c>
      <c r="N16" s="1" t="s">
        <v>272</v>
      </c>
      <c r="O16" s="4">
        <f t="shared" ref="O16:T16" si="87">IF(ISNUMBER(SEARCH(O$1,$N16)), 1, 0)</f>
        <v>1</v>
      </c>
      <c r="P16" s="4">
        <f t="shared" si="87"/>
        <v>1</v>
      </c>
      <c r="Q16" s="4">
        <f t="shared" si="87"/>
        <v>1</v>
      </c>
      <c r="R16" s="4">
        <f t="shared" si="87"/>
        <v>1</v>
      </c>
      <c r="S16" s="4">
        <f t="shared" si="87"/>
        <v>1</v>
      </c>
      <c r="T16" s="4">
        <f t="shared" si="87"/>
        <v>0</v>
      </c>
      <c r="V16" s="1" t="s">
        <v>24</v>
      </c>
      <c r="W16" s="1" t="str">
        <f t="shared" si="69"/>
        <v>False</v>
      </c>
      <c r="X16" s="1" t="str">
        <f t="shared" si="69"/>
        <v>False</v>
      </c>
      <c r="Y16" s="1" t="str">
        <f t="shared" si="69"/>
        <v>True</v>
      </c>
      <c r="Z16" s="1" t="str">
        <f t="shared" si="69"/>
        <v>False</v>
      </c>
      <c r="AA16" s="1" t="str">
        <f t="shared" si="69"/>
        <v>False</v>
      </c>
      <c r="AB16" s="1" t="s">
        <v>273</v>
      </c>
      <c r="AC16" s="4">
        <f t="shared" ref="AC16:AH16" si="88">IF(ISNUMBER(SEARCH(AC$1,$AB16)), 1, 0)</f>
        <v>0</v>
      </c>
      <c r="AD16" s="4">
        <f t="shared" si="88"/>
        <v>0</v>
      </c>
      <c r="AE16" s="4">
        <f t="shared" si="88"/>
        <v>0</v>
      </c>
      <c r="AF16" s="4">
        <f t="shared" si="88"/>
        <v>0</v>
      </c>
      <c r="AG16" s="4">
        <f t="shared" si="88"/>
        <v>1</v>
      </c>
      <c r="AH16" s="4">
        <f t="shared" si="88"/>
        <v>0</v>
      </c>
      <c r="AI16" s="1">
        <f t="shared" si="5"/>
        <v>1</v>
      </c>
      <c r="AJ16" s="1" t="s">
        <v>274</v>
      </c>
      <c r="AK16" s="1" t="s">
        <v>259</v>
      </c>
      <c r="AL16" s="4">
        <f t="shared" ref="AL16:AS16" si="89">IF(ISNUMBER(SEARCH(AL$1,$AK16)), 1, 0)</f>
        <v>1</v>
      </c>
      <c r="AM16" s="4">
        <f t="shared" si="89"/>
        <v>1</v>
      </c>
      <c r="AN16" s="4">
        <f t="shared" si="89"/>
        <v>0</v>
      </c>
      <c r="AO16" s="4">
        <f t="shared" si="89"/>
        <v>1</v>
      </c>
      <c r="AP16" s="4">
        <f t="shared" si="89"/>
        <v>0</v>
      </c>
      <c r="AQ16" s="4">
        <f t="shared" si="89"/>
        <v>0</v>
      </c>
      <c r="AR16" s="4">
        <f t="shared" si="89"/>
        <v>0</v>
      </c>
      <c r="AS16" s="4">
        <f t="shared" si="89"/>
        <v>0</v>
      </c>
      <c r="AU16" s="1" t="s">
        <v>48</v>
      </c>
      <c r="AV16" s="1">
        <f t="shared" si="7"/>
        <v>0</v>
      </c>
      <c r="AW16" s="1">
        <f t="shared" si="8"/>
        <v>1</v>
      </c>
      <c r="AX16" s="1">
        <f t="shared" si="9"/>
        <v>0</v>
      </c>
      <c r="AY16" s="1" t="s">
        <v>48</v>
      </c>
      <c r="BA16" s="1" t="s">
        <v>275</v>
      </c>
      <c r="BB16" s="4">
        <f t="shared" ref="BB16:BJ16" si="90">IF(ISNUMBER(SEARCH(BB$1,$BA16)), 1, 0)</f>
        <v>0</v>
      </c>
      <c r="BC16" s="4">
        <f t="shared" si="90"/>
        <v>1</v>
      </c>
      <c r="BD16" s="4">
        <f t="shared" si="90"/>
        <v>1</v>
      </c>
      <c r="BE16" s="4">
        <f t="shared" si="90"/>
        <v>1</v>
      </c>
      <c r="BF16" s="4">
        <f t="shared" si="90"/>
        <v>0</v>
      </c>
      <c r="BG16" s="4">
        <f t="shared" si="90"/>
        <v>0</v>
      </c>
      <c r="BH16" s="4">
        <f t="shared" si="90"/>
        <v>1</v>
      </c>
      <c r="BI16" s="4">
        <f t="shared" si="90"/>
        <v>1</v>
      </c>
      <c r="BJ16" s="4">
        <f t="shared" si="90"/>
        <v>1</v>
      </c>
      <c r="BK16" s="4">
        <f t="shared" si="11"/>
        <v>6</v>
      </c>
      <c r="BM16" s="1" t="s">
        <v>166</v>
      </c>
      <c r="BN16" s="1" t="s">
        <v>276</v>
      </c>
      <c r="BO16" s="4">
        <f t="shared" ref="BO16:BU16" si="91">IF(ISNUMBER(SEARCH(BO$1,$BN16)), 1, 0)</f>
        <v>1</v>
      </c>
      <c r="BP16" s="4">
        <f t="shared" si="91"/>
        <v>0</v>
      </c>
      <c r="BQ16" s="4">
        <f t="shared" si="91"/>
        <v>0</v>
      </c>
      <c r="BR16" s="4">
        <f t="shared" si="91"/>
        <v>1</v>
      </c>
      <c r="BS16" s="4">
        <f t="shared" si="91"/>
        <v>1</v>
      </c>
      <c r="BT16" s="4">
        <f t="shared" si="91"/>
        <v>0</v>
      </c>
      <c r="BU16" s="4">
        <f t="shared" si="91"/>
        <v>0</v>
      </c>
      <c r="BW16" s="1" t="s">
        <v>277</v>
      </c>
      <c r="BZ16" s="1" t="s">
        <v>278</v>
      </c>
      <c r="CR16" s="1" t="s">
        <v>178</v>
      </c>
      <c r="CT16" s="1" t="s">
        <v>279</v>
      </c>
      <c r="CU16" s="1" t="s">
        <v>280</v>
      </c>
      <c r="CW16" s="1" t="s">
        <v>281</v>
      </c>
      <c r="CX16" s="1" t="s">
        <v>282</v>
      </c>
      <c r="CZ16" s="1" t="s">
        <v>283</v>
      </c>
      <c r="DB16" s="1" t="s">
        <v>284</v>
      </c>
      <c r="DC16" s="1" t="s">
        <v>180</v>
      </c>
    </row>
    <row r="17" spans="1:107" ht="15.75" customHeight="1" x14ac:dyDescent="0.25">
      <c r="A17" s="1" t="b">
        <v>1</v>
      </c>
      <c r="B17" s="3">
        <v>46152.460173611114</v>
      </c>
      <c r="C17" s="1" t="s">
        <v>285</v>
      </c>
      <c r="D17" s="1" t="s">
        <v>286</v>
      </c>
      <c r="E17" s="4">
        <f t="shared" ref="E17:K17" si="92">IF(ISNUMBER(SEARCH(E$1,$D17)), SEARCH(E$1,$D17), 0)</f>
        <v>1</v>
      </c>
      <c r="F17" s="4">
        <f t="shared" si="92"/>
        <v>0</v>
      </c>
      <c r="G17" s="4">
        <f t="shared" si="92"/>
        <v>0</v>
      </c>
      <c r="H17" s="4">
        <f t="shared" si="92"/>
        <v>0</v>
      </c>
      <c r="I17" s="4">
        <f t="shared" si="92"/>
        <v>0</v>
      </c>
      <c r="J17" s="4">
        <f t="shared" si="92"/>
        <v>30</v>
      </c>
      <c r="K17" s="4">
        <f t="shared" si="92"/>
        <v>67</v>
      </c>
      <c r="L17" s="4">
        <f t="shared" si="1"/>
        <v>67</v>
      </c>
      <c r="N17" s="1" t="s">
        <v>208</v>
      </c>
      <c r="O17" s="4">
        <f t="shared" ref="O17:T17" si="93">IF(ISNUMBER(SEARCH(O$1,$N17)), 1, 0)</f>
        <v>1</v>
      </c>
      <c r="P17" s="4">
        <f t="shared" si="93"/>
        <v>1</v>
      </c>
      <c r="Q17" s="4">
        <f t="shared" si="93"/>
        <v>0</v>
      </c>
      <c r="R17" s="4">
        <f t="shared" si="93"/>
        <v>1</v>
      </c>
      <c r="S17" s="4">
        <f t="shared" si="93"/>
        <v>0</v>
      </c>
      <c r="T17" s="4">
        <f t="shared" si="93"/>
        <v>0</v>
      </c>
      <c r="V17" s="1" t="s">
        <v>25</v>
      </c>
      <c r="W17" s="1" t="str">
        <f t="shared" si="69"/>
        <v>False</v>
      </c>
      <c r="X17" s="1" t="str">
        <f t="shared" si="69"/>
        <v>False</v>
      </c>
      <c r="Y17" s="1" t="str">
        <f t="shared" si="69"/>
        <v>False</v>
      </c>
      <c r="Z17" s="1" t="str">
        <f t="shared" si="69"/>
        <v>True</v>
      </c>
      <c r="AA17" s="1" t="str">
        <f t="shared" si="69"/>
        <v>False</v>
      </c>
      <c r="AB17" s="1" t="s">
        <v>287</v>
      </c>
      <c r="AC17" s="4">
        <f t="shared" ref="AC17:AH17" si="94">IF(ISNUMBER(SEARCH(AC$1,$AB17)), 1, 0)</f>
        <v>0</v>
      </c>
      <c r="AD17" s="4">
        <f t="shared" si="94"/>
        <v>0</v>
      </c>
      <c r="AE17" s="4">
        <f t="shared" si="94"/>
        <v>0</v>
      </c>
      <c r="AF17" s="4">
        <f t="shared" si="94"/>
        <v>1</v>
      </c>
      <c r="AG17" s="4">
        <f t="shared" si="94"/>
        <v>1</v>
      </c>
      <c r="AH17" s="4">
        <f t="shared" si="94"/>
        <v>0</v>
      </c>
      <c r="AI17" s="1">
        <f t="shared" si="5"/>
        <v>2</v>
      </c>
      <c r="AK17" s="1" t="s">
        <v>288</v>
      </c>
      <c r="AL17" s="4">
        <f t="shared" ref="AL17:AS17" si="95">IF(ISNUMBER(SEARCH(AL$1,$AK17)), 1, 0)</f>
        <v>0</v>
      </c>
      <c r="AM17" s="4">
        <f t="shared" si="95"/>
        <v>1</v>
      </c>
      <c r="AN17" s="4">
        <f t="shared" si="95"/>
        <v>0</v>
      </c>
      <c r="AO17" s="4">
        <f t="shared" si="95"/>
        <v>1</v>
      </c>
      <c r="AP17" s="4">
        <f t="shared" si="95"/>
        <v>0</v>
      </c>
      <c r="AQ17" s="4">
        <f t="shared" si="95"/>
        <v>0</v>
      </c>
      <c r="AR17" s="4">
        <f t="shared" si="95"/>
        <v>0</v>
      </c>
      <c r="AS17" s="4">
        <f t="shared" si="95"/>
        <v>0</v>
      </c>
      <c r="AU17" s="1" t="s">
        <v>48</v>
      </c>
      <c r="AV17" s="1">
        <f t="shared" si="7"/>
        <v>0</v>
      </c>
      <c r="AW17" s="1">
        <f t="shared" si="8"/>
        <v>1</v>
      </c>
      <c r="AX17" s="1">
        <f t="shared" si="9"/>
        <v>0</v>
      </c>
      <c r="AY17" s="1" t="s">
        <v>48</v>
      </c>
      <c r="BA17" s="1" t="s">
        <v>289</v>
      </c>
      <c r="BB17" s="4">
        <f t="shared" ref="BB17:BJ17" si="96">IF(ISNUMBER(SEARCH(BB$1,$BA17)), 1, 0)</f>
        <v>0</v>
      </c>
      <c r="BC17" s="4">
        <f t="shared" si="96"/>
        <v>1</v>
      </c>
      <c r="BD17" s="4">
        <f t="shared" si="96"/>
        <v>1</v>
      </c>
      <c r="BE17" s="4">
        <f t="shared" si="96"/>
        <v>1</v>
      </c>
      <c r="BF17" s="4">
        <f t="shared" si="96"/>
        <v>0</v>
      </c>
      <c r="BG17" s="4">
        <f t="shared" si="96"/>
        <v>0</v>
      </c>
      <c r="BH17" s="4">
        <f t="shared" si="96"/>
        <v>1</v>
      </c>
      <c r="BI17" s="4">
        <f t="shared" si="96"/>
        <v>0</v>
      </c>
      <c r="BJ17" s="4">
        <f t="shared" si="96"/>
        <v>1</v>
      </c>
      <c r="BK17" s="4">
        <f t="shared" si="11"/>
        <v>5</v>
      </c>
      <c r="BM17" s="1" t="s">
        <v>166</v>
      </c>
      <c r="BN17" s="1" t="s">
        <v>290</v>
      </c>
      <c r="BO17" s="4">
        <f t="shared" ref="BO17:BU17" si="97">IF(ISNUMBER(SEARCH(BO$1,$BN17)), 1, 0)</f>
        <v>0</v>
      </c>
      <c r="BP17" s="4">
        <f t="shared" si="97"/>
        <v>0</v>
      </c>
      <c r="BQ17" s="4">
        <f t="shared" si="97"/>
        <v>0</v>
      </c>
      <c r="BR17" s="4">
        <f t="shared" si="97"/>
        <v>1</v>
      </c>
      <c r="BS17" s="4">
        <f t="shared" si="97"/>
        <v>0</v>
      </c>
      <c r="BT17" s="4">
        <f t="shared" si="97"/>
        <v>1</v>
      </c>
      <c r="BU17" s="4">
        <f t="shared" si="97"/>
        <v>0</v>
      </c>
      <c r="BW17" s="1" t="s">
        <v>220</v>
      </c>
      <c r="BY17" s="1" t="s">
        <v>291</v>
      </c>
      <c r="BZ17" s="1" t="s">
        <v>278</v>
      </c>
      <c r="CM17" s="1" t="s">
        <v>47</v>
      </c>
      <c r="CQ17" s="1" t="s">
        <v>48</v>
      </c>
      <c r="CR17" s="1" t="s">
        <v>214</v>
      </c>
      <c r="CT17" s="1" t="s">
        <v>292</v>
      </c>
      <c r="DC17" s="1" t="s">
        <v>238</v>
      </c>
    </row>
    <row r="18" spans="1:107" ht="15.75" customHeight="1" x14ac:dyDescent="0.25">
      <c r="A18" s="1" t="b">
        <v>1</v>
      </c>
      <c r="B18" s="3">
        <v>46152.556076388886</v>
      </c>
      <c r="C18" s="1" t="s">
        <v>293</v>
      </c>
      <c r="D18" s="1" t="s">
        <v>4</v>
      </c>
      <c r="E18" s="4">
        <f t="shared" ref="E18:K18" si="98">IF(ISNUMBER(SEARCH(E$1,$D18)), SEARCH(E$1,$D18), 0)</f>
        <v>1</v>
      </c>
      <c r="F18" s="4">
        <f t="shared" si="98"/>
        <v>0</v>
      </c>
      <c r="G18" s="4">
        <f t="shared" si="98"/>
        <v>0</v>
      </c>
      <c r="H18" s="4">
        <f t="shared" si="98"/>
        <v>0</v>
      </c>
      <c r="I18" s="4">
        <f t="shared" si="98"/>
        <v>0</v>
      </c>
      <c r="J18" s="4">
        <f t="shared" si="98"/>
        <v>0</v>
      </c>
      <c r="K18" s="4">
        <f t="shared" si="98"/>
        <v>0</v>
      </c>
      <c r="L18" s="4">
        <f t="shared" si="1"/>
        <v>1</v>
      </c>
      <c r="N18" s="1" t="s">
        <v>294</v>
      </c>
      <c r="O18" s="4">
        <f t="shared" ref="O18:T18" si="99">IF(ISNUMBER(SEARCH(O$1,$N18)), 1, 0)</f>
        <v>1</v>
      </c>
      <c r="P18" s="4">
        <f t="shared" si="99"/>
        <v>1</v>
      </c>
      <c r="Q18" s="4">
        <f t="shared" si="99"/>
        <v>0</v>
      </c>
      <c r="R18" s="4">
        <f t="shared" si="99"/>
        <v>0</v>
      </c>
      <c r="S18" s="4">
        <f t="shared" si="99"/>
        <v>0</v>
      </c>
      <c r="T18" s="4">
        <f t="shared" si="99"/>
        <v>0</v>
      </c>
      <c r="V18" s="1" t="s">
        <v>22</v>
      </c>
      <c r="W18" s="1" t="str">
        <f t="shared" si="69"/>
        <v>True</v>
      </c>
      <c r="X18" s="1" t="str">
        <f t="shared" si="69"/>
        <v>False</v>
      </c>
      <c r="Y18" s="1" t="str">
        <f t="shared" si="69"/>
        <v>False</v>
      </c>
      <c r="Z18" s="1" t="str">
        <f t="shared" si="69"/>
        <v>False</v>
      </c>
      <c r="AA18" s="1" t="str">
        <f t="shared" si="69"/>
        <v>False</v>
      </c>
      <c r="AB18" s="1" t="s">
        <v>29</v>
      </c>
      <c r="AC18" s="4">
        <f t="shared" ref="AC18:AH18" si="100">IF(ISNUMBER(SEARCH(AC$1,$AB18)), 1, 0)</f>
        <v>0</v>
      </c>
      <c r="AD18" s="4">
        <f t="shared" si="100"/>
        <v>1</v>
      </c>
      <c r="AE18" s="4">
        <f t="shared" si="100"/>
        <v>0</v>
      </c>
      <c r="AF18" s="4">
        <f t="shared" si="100"/>
        <v>0</v>
      </c>
      <c r="AG18" s="4">
        <f t="shared" si="100"/>
        <v>0</v>
      </c>
      <c r="AH18" s="4">
        <f t="shared" si="100"/>
        <v>0</v>
      </c>
      <c r="AI18" s="1">
        <f t="shared" si="5"/>
        <v>1</v>
      </c>
      <c r="AK18" s="1" t="s">
        <v>44</v>
      </c>
      <c r="AL18" s="4">
        <f t="shared" ref="AL18:AS18" si="101">IF(ISNUMBER(SEARCH(AL$1,$AK18)), 1, 0)</f>
        <v>0</v>
      </c>
      <c r="AM18" s="4">
        <f t="shared" si="101"/>
        <v>0</v>
      </c>
      <c r="AN18" s="4">
        <f t="shared" si="101"/>
        <v>0</v>
      </c>
      <c r="AO18" s="4">
        <f t="shared" si="101"/>
        <v>0</v>
      </c>
      <c r="AP18" s="4">
        <f t="shared" si="101"/>
        <v>0</v>
      </c>
      <c r="AQ18" s="4">
        <f t="shared" si="101"/>
        <v>0</v>
      </c>
      <c r="AR18" s="4">
        <f t="shared" si="101"/>
        <v>0</v>
      </c>
      <c r="AS18" s="4">
        <f t="shared" si="101"/>
        <v>1</v>
      </c>
      <c r="AU18" s="1" t="s">
        <v>47</v>
      </c>
      <c r="AV18" s="1">
        <f t="shared" si="7"/>
        <v>1</v>
      </c>
      <c r="AW18" s="1">
        <f t="shared" si="8"/>
        <v>0</v>
      </c>
      <c r="AX18" s="1">
        <f t="shared" si="9"/>
        <v>0</v>
      </c>
      <c r="AY18" s="1" t="s">
        <v>47</v>
      </c>
      <c r="AZ18" s="1" t="s">
        <v>47</v>
      </c>
      <c r="BA18" s="1" t="s">
        <v>54</v>
      </c>
      <c r="BB18" s="4">
        <f t="shared" ref="BB18:BJ18" si="102">IF(ISNUMBER(SEARCH(BB$1,$BA18)), 1, 0)</f>
        <v>0</v>
      </c>
      <c r="BC18" s="4">
        <f t="shared" si="102"/>
        <v>1</v>
      </c>
      <c r="BD18" s="4">
        <f t="shared" si="102"/>
        <v>0</v>
      </c>
      <c r="BE18" s="4">
        <f t="shared" si="102"/>
        <v>0</v>
      </c>
      <c r="BF18" s="4">
        <f t="shared" si="102"/>
        <v>0</v>
      </c>
      <c r="BG18" s="4">
        <f t="shared" si="102"/>
        <v>0</v>
      </c>
      <c r="BH18" s="4">
        <f t="shared" si="102"/>
        <v>0</v>
      </c>
      <c r="BI18" s="4">
        <f t="shared" si="102"/>
        <v>0</v>
      </c>
      <c r="BJ18" s="4">
        <f t="shared" si="102"/>
        <v>0</v>
      </c>
      <c r="BK18" s="4">
        <f t="shared" si="11"/>
        <v>1</v>
      </c>
      <c r="BO18" s="4">
        <f t="shared" ref="BO18:BU18" si="103">IF(ISNUMBER(SEARCH(BO$1,$BN18)), 1, 0)</f>
        <v>0</v>
      </c>
      <c r="BP18" s="4">
        <f t="shared" si="103"/>
        <v>0</v>
      </c>
      <c r="BQ18" s="4">
        <f t="shared" si="103"/>
        <v>0</v>
      </c>
      <c r="BR18" s="4">
        <f t="shared" si="103"/>
        <v>0</v>
      </c>
      <c r="BS18" s="4">
        <f t="shared" si="103"/>
        <v>0</v>
      </c>
      <c r="BT18" s="4">
        <f t="shared" si="103"/>
        <v>0</v>
      </c>
      <c r="BU18" s="4">
        <f t="shared" si="103"/>
        <v>0</v>
      </c>
      <c r="DC18" s="1" t="s">
        <v>180</v>
      </c>
    </row>
    <row r="19" spans="1:107" ht="15.75" customHeight="1" x14ac:dyDescent="0.25">
      <c r="A19" s="1" t="b">
        <v>0</v>
      </c>
      <c r="B19" s="3">
        <v>46152.652453703704</v>
      </c>
      <c r="C19" s="1" t="s">
        <v>295</v>
      </c>
      <c r="D19" s="1" t="s">
        <v>296</v>
      </c>
      <c r="E19" s="4">
        <f t="shared" ref="E19:K19" si="104">IF(ISNUMBER(SEARCH(E$1,$D19)), SEARCH(E$1,$D19), 0)</f>
        <v>1</v>
      </c>
      <c r="F19" s="4">
        <f t="shared" si="104"/>
        <v>30</v>
      </c>
      <c r="G19" s="4">
        <f t="shared" si="104"/>
        <v>105</v>
      </c>
      <c r="H19" s="4">
        <f t="shared" si="104"/>
        <v>161</v>
      </c>
      <c r="I19" s="4">
        <f t="shared" si="104"/>
        <v>199</v>
      </c>
      <c r="J19" s="4">
        <f t="shared" si="104"/>
        <v>231</v>
      </c>
      <c r="K19" s="4">
        <f t="shared" si="104"/>
        <v>0</v>
      </c>
      <c r="L19" s="4">
        <f t="shared" si="1"/>
        <v>231</v>
      </c>
      <c r="N19" s="1" t="s">
        <v>240</v>
      </c>
      <c r="O19" s="4">
        <f t="shared" ref="O19:T19" si="105">IF(ISNUMBER(SEARCH(O$1,$N19)), 1, 0)</f>
        <v>1</v>
      </c>
      <c r="P19" s="4">
        <f t="shared" si="105"/>
        <v>1</v>
      </c>
      <c r="Q19" s="4">
        <f t="shared" si="105"/>
        <v>1</v>
      </c>
      <c r="R19" s="4">
        <f t="shared" si="105"/>
        <v>1</v>
      </c>
      <c r="S19" s="4">
        <f t="shared" si="105"/>
        <v>0</v>
      </c>
      <c r="T19" s="4">
        <f t="shared" si="105"/>
        <v>0</v>
      </c>
      <c r="V19" s="1" t="s">
        <v>24</v>
      </c>
      <c r="W19" s="1" t="str">
        <f t="shared" si="69"/>
        <v>False</v>
      </c>
      <c r="X19" s="1" t="str">
        <f t="shared" si="69"/>
        <v>False</v>
      </c>
      <c r="Y19" s="1" t="str">
        <f t="shared" si="69"/>
        <v>True</v>
      </c>
      <c r="Z19" s="1" t="str">
        <f t="shared" si="69"/>
        <v>False</v>
      </c>
      <c r="AA19" s="1" t="str">
        <f t="shared" si="69"/>
        <v>False</v>
      </c>
      <c r="AB19" s="1" t="s">
        <v>33</v>
      </c>
      <c r="AC19" s="4">
        <f t="shared" ref="AC19:AH19" si="106">IF(ISNUMBER(SEARCH(AC$1,$AB19)), 1, 0)</f>
        <v>0</v>
      </c>
      <c r="AD19" s="4">
        <f t="shared" si="106"/>
        <v>0</v>
      </c>
      <c r="AE19" s="4">
        <f t="shared" si="106"/>
        <v>0</v>
      </c>
      <c r="AF19" s="4">
        <f t="shared" si="106"/>
        <v>0</v>
      </c>
      <c r="AG19" s="4">
        <f t="shared" si="106"/>
        <v>0</v>
      </c>
      <c r="AH19" s="4">
        <f t="shared" si="106"/>
        <v>1</v>
      </c>
      <c r="AI19" s="1">
        <f t="shared" si="5"/>
        <v>1</v>
      </c>
      <c r="AJ19" s="1"/>
      <c r="AK19" s="1" t="s">
        <v>38</v>
      </c>
      <c r="AL19" s="4">
        <f t="shared" ref="AL19:AS19" si="107">IF(ISNUMBER(SEARCH(AL$1,$AK19)), 1, 0)</f>
        <v>0</v>
      </c>
      <c r="AM19" s="4">
        <f t="shared" si="107"/>
        <v>1</v>
      </c>
      <c r="AN19" s="4">
        <f t="shared" si="107"/>
        <v>0</v>
      </c>
      <c r="AO19" s="4">
        <f t="shared" si="107"/>
        <v>0</v>
      </c>
      <c r="AP19" s="4">
        <f t="shared" si="107"/>
        <v>0</v>
      </c>
      <c r="AQ19" s="4">
        <f t="shared" si="107"/>
        <v>0</v>
      </c>
      <c r="AR19" s="4">
        <f t="shared" si="107"/>
        <v>0</v>
      </c>
      <c r="AS19" s="4">
        <f t="shared" si="107"/>
        <v>0</v>
      </c>
      <c r="AU19" s="1" t="s">
        <v>48</v>
      </c>
      <c r="AV19" s="1">
        <f t="shared" si="7"/>
        <v>0</v>
      </c>
      <c r="AW19" s="1">
        <f t="shared" si="8"/>
        <v>1</v>
      </c>
      <c r="AX19" s="1">
        <f t="shared" si="9"/>
        <v>0</v>
      </c>
      <c r="AY19" s="1" t="s">
        <v>48</v>
      </c>
      <c r="BA19" s="1" t="s">
        <v>297</v>
      </c>
      <c r="BB19" s="4">
        <f t="shared" ref="BB19:BJ19" si="108">IF(ISNUMBER(SEARCH(BB$1,$BA19)), 1, 0)</f>
        <v>1</v>
      </c>
      <c r="BC19" s="4">
        <f t="shared" si="108"/>
        <v>0</v>
      </c>
      <c r="BD19" s="4">
        <f t="shared" si="108"/>
        <v>1</v>
      </c>
      <c r="BE19" s="4">
        <f t="shared" si="108"/>
        <v>0</v>
      </c>
      <c r="BF19" s="4">
        <f t="shared" si="108"/>
        <v>1</v>
      </c>
      <c r="BG19" s="4">
        <f t="shared" si="108"/>
        <v>1</v>
      </c>
      <c r="BH19" s="4">
        <f t="shared" si="108"/>
        <v>0</v>
      </c>
      <c r="BI19" s="4">
        <f t="shared" si="108"/>
        <v>0</v>
      </c>
      <c r="BJ19" s="4">
        <f t="shared" si="108"/>
        <v>1</v>
      </c>
      <c r="BK19" s="4">
        <f t="shared" si="11"/>
        <v>5</v>
      </c>
      <c r="BM19" s="1" t="s">
        <v>190</v>
      </c>
      <c r="BN19" s="1" t="s">
        <v>298</v>
      </c>
      <c r="BO19" s="4">
        <f t="shared" ref="BO19:BU19" si="109">IF(ISNUMBER(SEARCH(BO$1,$BN19)), 1, 0)</f>
        <v>0</v>
      </c>
      <c r="BP19" s="4">
        <f t="shared" si="109"/>
        <v>0</v>
      </c>
      <c r="BQ19" s="4">
        <f t="shared" si="109"/>
        <v>0</v>
      </c>
      <c r="BR19" s="4">
        <f t="shared" si="109"/>
        <v>1</v>
      </c>
      <c r="BS19" s="4">
        <f t="shared" si="109"/>
        <v>1</v>
      </c>
      <c r="BT19" s="4">
        <f t="shared" si="109"/>
        <v>0</v>
      </c>
      <c r="BU19" s="4">
        <f t="shared" si="109"/>
        <v>1</v>
      </c>
      <c r="BV19" s="1" t="s">
        <v>299</v>
      </c>
      <c r="BY19" s="1" t="s">
        <v>300</v>
      </c>
    </row>
    <row r="20" spans="1:107" ht="15.75" customHeight="1" x14ac:dyDescent="0.25">
      <c r="A20" s="1" t="b">
        <v>0</v>
      </c>
      <c r="B20" s="3">
        <v>46152.736087962963</v>
      </c>
      <c r="C20" s="1" t="s">
        <v>301</v>
      </c>
      <c r="D20" s="1" t="s">
        <v>302</v>
      </c>
      <c r="E20" s="4">
        <f t="shared" ref="E20:K20" si="110">IF(ISNUMBER(SEARCH(E$1,$D20)), SEARCH(E$1,$D20), 0)</f>
        <v>1</v>
      </c>
      <c r="F20" s="4">
        <f t="shared" si="110"/>
        <v>0</v>
      </c>
      <c r="G20" s="4">
        <f t="shared" si="110"/>
        <v>30</v>
      </c>
      <c r="H20" s="4">
        <f t="shared" si="110"/>
        <v>0</v>
      </c>
      <c r="I20" s="4">
        <f t="shared" si="110"/>
        <v>0</v>
      </c>
      <c r="J20" s="4">
        <f t="shared" si="110"/>
        <v>0</v>
      </c>
      <c r="K20" s="4">
        <f t="shared" si="110"/>
        <v>0</v>
      </c>
      <c r="L20" s="4">
        <f t="shared" si="1"/>
        <v>30</v>
      </c>
      <c r="N20" s="1" t="s">
        <v>222</v>
      </c>
      <c r="O20" s="4">
        <f t="shared" ref="O20:T20" si="111">IF(ISNUMBER(SEARCH(O$1,$N20)), 1, 0)</f>
        <v>0</v>
      </c>
      <c r="P20" s="4">
        <f t="shared" si="111"/>
        <v>1</v>
      </c>
      <c r="Q20" s="4">
        <f t="shared" si="111"/>
        <v>0</v>
      </c>
      <c r="R20" s="4">
        <f t="shared" si="111"/>
        <v>1</v>
      </c>
      <c r="S20" s="4">
        <f t="shared" si="111"/>
        <v>0</v>
      </c>
      <c r="T20" s="4">
        <f t="shared" si="111"/>
        <v>0</v>
      </c>
      <c r="W20" s="1" t="str">
        <f t="shared" si="69"/>
        <v>False</v>
      </c>
      <c r="X20" s="1" t="str">
        <f t="shared" si="69"/>
        <v>False</v>
      </c>
      <c r="Y20" s="1" t="str">
        <f t="shared" si="69"/>
        <v>False</v>
      </c>
      <c r="Z20" s="1" t="str">
        <f t="shared" si="69"/>
        <v>False</v>
      </c>
      <c r="AA20" s="1" t="str">
        <f t="shared" si="69"/>
        <v>False</v>
      </c>
      <c r="AC20" s="4">
        <f t="shared" ref="AC20:AH20" si="112">IF(ISNUMBER(SEARCH(AC$1,$AB20)), 1, 0)</f>
        <v>0</v>
      </c>
      <c r="AD20" s="4">
        <f t="shared" si="112"/>
        <v>0</v>
      </c>
      <c r="AE20" s="4">
        <f t="shared" si="112"/>
        <v>0</v>
      </c>
      <c r="AF20" s="4">
        <f t="shared" si="112"/>
        <v>0</v>
      </c>
      <c r="AG20" s="4">
        <f t="shared" si="112"/>
        <v>0</v>
      </c>
      <c r="AH20" s="4">
        <f t="shared" si="112"/>
        <v>0</v>
      </c>
      <c r="AI20" s="1">
        <f t="shared" si="5"/>
        <v>0</v>
      </c>
      <c r="AL20" s="4">
        <f t="shared" ref="AL20:AS20" si="113">IF(ISNUMBER(SEARCH(AL$1,$AK20)), 1, 0)</f>
        <v>0</v>
      </c>
      <c r="AM20" s="4">
        <f t="shared" si="113"/>
        <v>0</v>
      </c>
      <c r="AN20" s="4">
        <f t="shared" si="113"/>
        <v>0</v>
      </c>
      <c r="AO20" s="4">
        <f t="shared" si="113"/>
        <v>0</v>
      </c>
      <c r="AP20" s="4">
        <f t="shared" si="113"/>
        <v>0</v>
      </c>
      <c r="AQ20" s="4">
        <f t="shared" si="113"/>
        <v>0</v>
      </c>
      <c r="AR20" s="4">
        <f t="shared" si="113"/>
        <v>0</v>
      </c>
      <c r="AS20" s="4">
        <f t="shared" si="113"/>
        <v>0</v>
      </c>
      <c r="AV20" s="1">
        <f t="shared" si="7"/>
        <v>0</v>
      </c>
      <c r="AW20" s="1">
        <f t="shared" si="8"/>
        <v>0</v>
      </c>
      <c r="AX20" s="1">
        <f t="shared" si="9"/>
        <v>0</v>
      </c>
      <c r="BB20" s="4">
        <f t="shared" ref="BB20:BJ20" si="114">IF(ISNUMBER(SEARCH(BB$1,$BA20)), 1, 0)</f>
        <v>0</v>
      </c>
      <c r="BC20" s="4">
        <f t="shared" si="114"/>
        <v>0</v>
      </c>
      <c r="BD20" s="4">
        <f t="shared" si="114"/>
        <v>0</v>
      </c>
      <c r="BE20" s="4">
        <f t="shared" si="114"/>
        <v>0</v>
      </c>
      <c r="BF20" s="4">
        <f t="shared" si="114"/>
        <v>0</v>
      </c>
      <c r="BG20" s="4">
        <f t="shared" si="114"/>
        <v>0</v>
      </c>
      <c r="BH20" s="4">
        <f t="shared" si="114"/>
        <v>0</v>
      </c>
      <c r="BI20" s="4">
        <f t="shared" si="114"/>
        <v>0</v>
      </c>
      <c r="BJ20" s="4">
        <f t="shared" si="114"/>
        <v>0</v>
      </c>
      <c r="BK20" s="4">
        <f t="shared" si="11"/>
        <v>0</v>
      </c>
      <c r="BO20" s="4">
        <f t="shared" ref="BO20:BU20" si="115">IF(ISNUMBER(SEARCH(BO$1,$BN20)), 1, 0)</f>
        <v>0</v>
      </c>
      <c r="BP20" s="4">
        <f t="shared" si="115"/>
        <v>0</v>
      </c>
      <c r="BQ20" s="4">
        <f t="shared" si="115"/>
        <v>0</v>
      </c>
      <c r="BR20" s="4">
        <f t="shared" si="115"/>
        <v>0</v>
      </c>
      <c r="BS20" s="4">
        <f t="shared" si="115"/>
        <v>0</v>
      </c>
      <c r="BT20" s="4">
        <f t="shared" si="115"/>
        <v>0</v>
      </c>
      <c r="BU20" s="4">
        <f t="shared" si="115"/>
        <v>0</v>
      </c>
    </row>
    <row r="21" spans="1:107" ht="15.75" customHeight="1" x14ac:dyDescent="0.25">
      <c r="A21" s="1" t="b">
        <v>1</v>
      </c>
      <c r="B21" s="3">
        <v>46152.914687500001</v>
      </c>
      <c r="C21" s="1" t="s">
        <v>303</v>
      </c>
      <c r="D21" s="1" t="s">
        <v>4</v>
      </c>
      <c r="E21" s="4">
        <f t="shared" ref="E21:K21" si="116">IF(ISNUMBER(SEARCH(E$1,$D21)), SEARCH(E$1,$D21), 0)</f>
        <v>1</v>
      </c>
      <c r="F21" s="4">
        <f t="shared" si="116"/>
        <v>0</v>
      </c>
      <c r="G21" s="4">
        <f t="shared" si="116"/>
        <v>0</v>
      </c>
      <c r="H21" s="4">
        <f t="shared" si="116"/>
        <v>0</v>
      </c>
      <c r="I21" s="4">
        <f t="shared" si="116"/>
        <v>0</v>
      </c>
      <c r="J21" s="4">
        <f t="shared" si="116"/>
        <v>0</v>
      </c>
      <c r="K21" s="4">
        <f t="shared" si="116"/>
        <v>0</v>
      </c>
      <c r="L21" s="4">
        <f t="shared" si="1"/>
        <v>1</v>
      </c>
      <c r="N21" s="1" t="s">
        <v>294</v>
      </c>
      <c r="O21" s="4">
        <f t="shared" ref="O21:T21" si="117">IF(ISNUMBER(SEARCH(O$1,$N21)), 1, 0)</f>
        <v>1</v>
      </c>
      <c r="P21" s="4">
        <f t="shared" si="117"/>
        <v>1</v>
      </c>
      <c r="Q21" s="4">
        <f t="shared" si="117"/>
        <v>0</v>
      </c>
      <c r="R21" s="4">
        <f t="shared" si="117"/>
        <v>0</v>
      </c>
      <c r="S21" s="4">
        <f t="shared" si="117"/>
        <v>0</v>
      </c>
      <c r="T21" s="4">
        <f t="shared" si="117"/>
        <v>0</v>
      </c>
      <c r="V21" s="1" t="s">
        <v>22</v>
      </c>
      <c r="W21" s="1" t="str">
        <f t="shared" si="69"/>
        <v>True</v>
      </c>
      <c r="X21" s="1" t="str">
        <f t="shared" si="69"/>
        <v>False</v>
      </c>
      <c r="Y21" s="1" t="str">
        <f t="shared" si="69"/>
        <v>False</v>
      </c>
      <c r="Z21" s="1" t="str">
        <f t="shared" si="69"/>
        <v>False</v>
      </c>
      <c r="AA21" s="1" t="str">
        <f t="shared" si="69"/>
        <v>False</v>
      </c>
      <c r="AC21" s="4">
        <f t="shared" ref="AC21:AH21" si="118">IF(ISNUMBER(SEARCH(AC$1,$AB21)), 1, 0)</f>
        <v>0</v>
      </c>
      <c r="AD21" s="4">
        <f t="shared" si="118"/>
        <v>0</v>
      </c>
      <c r="AE21" s="4">
        <f t="shared" si="118"/>
        <v>0</v>
      </c>
      <c r="AF21" s="4">
        <f t="shared" si="118"/>
        <v>0</v>
      </c>
      <c r="AG21" s="4">
        <f t="shared" si="118"/>
        <v>0</v>
      </c>
      <c r="AH21" s="4">
        <f t="shared" si="118"/>
        <v>0</v>
      </c>
      <c r="AI21" s="1">
        <f t="shared" si="5"/>
        <v>0</v>
      </c>
      <c r="AK21" s="1" t="s">
        <v>38</v>
      </c>
      <c r="AL21" s="4">
        <f t="shared" ref="AL21:AS21" si="119">IF(ISNUMBER(SEARCH(AL$1,$AK21)), 1, 0)</f>
        <v>0</v>
      </c>
      <c r="AM21" s="4">
        <f t="shared" si="119"/>
        <v>1</v>
      </c>
      <c r="AN21" s="4">
        <f t="shared" si="119"/>
        <v>0</v>
      </c>
      <c r="AO21" s="4">
        <f t="shared" si="119"/>
        <v>0</v>
      </c>
      <c r="AP21" s="4">
        <f t="shared" si="119"/>
        <v>0</v>
      </c>
      <c r="AQ21" s="4">
        <f t="shared" si="119"/>
        <v>0</v>
      </c>
      <c r="AR21" s="4">
        <f t="shared" si="119"/>
        <v>0</v>
      </c>
      <c r="AS21" s="4">
        <f t="shared" si="119"/>
        <v>0</v>
      </c>
      <c r="AU21" s="1" t="s">
        <v>47</v>
      </c>
      <c r="AV21" s="1">
        <f t="shared" si="7"/>
        <v>1</v>
      </c>
      <c r="AW21" s="1">
        <f t="shared" si="8"/>
        <v>0</v>
      </c>
      <c r="AX21" s="1">
        <f t="shared" si="9"/>
        <v>0</v>
      </c>
      <c r="AY21" s="1" t="s">
        <v>47</v>
      </c>
      <c r="AZ21" s="1" t="s">
        <v>47</v>
      </c>
      <c r="BA21" s="1" t="s">
        <v>61</v>
      </c>
      <c r="BB21" s="4">
        <f t="shared" ref="BB21:BJ21" si="120">IF(ISNUMBER(SEARCH(BB$1,$BA21)), 1, 0)</f>
        <v>0</v>
      </c>
      <c r="BC21" s="4">
        <f t="shared" si="120"/>
        <v>0</v>
      </c>
      <c r="BD21" s="4">
        <f t="shared" si="120"/>
        <v>0</v>
      </c>
      <c r="BE21" s="4">
        <f t="shared" si="120"/>
        <v>0</v>
      </c>
      <c r="BF21" s="4">
        <f t="shared" si="120"/>
        <v>0</v>
      </c>
      <c r="BG21" s="4">
        <f t="shared" si="120"/>
        <v>0</v>
      </c>
      <c r="BH21" s="4">
        <f t="shared" si="120"/>
        <v>0</v>
      </c>
      <c r="BI21" s="4">
        <f t="shared" si="120"/>
        <v>0</v>
      </c>
      <c r="BJ21" s="4">
        <f t="shared" si="120"/>
        <v>1</v>
      </c>
      <c r="BK21" s="4">
        <f t="shared" si="11"/>
        <v>1</v>
      </c>
      <c r="BO21" s="4">
        <f t="shared" ref="BO21:BU21" si="121">IF(ISNUMBER(SEARCH(BO$1,$BN21)), 1, 0)</f>
        <v>0</v>
      </c>
      <c r="BP21" s="4">
        <f t="shared" si="121"/>
        <v>0</v>
      </c>
      <c r="BQ21" s="4">
        <f t="shared" si="121"/>
        <v>0</v>
      </c>
      <c r="BR21" s="4">
        <f t="shared" si="121"/>
        <v>0</v>
      </c>
      <c r="BS21" s="4">
        <f t="shared" si="121"/>
        <v>0</v>
      </c>
      <c r="BT21" s="4">
        <f t="shared" si="121"/>
        <v>0</v>
      </c>
      <c r="BU21" s="4">
        <f t="shared" si="121"/>
        <v>0</v>
      </c>
    </row>
    <row r="22" spans="1:107" ht="15.75" customHeight="1" x14ac:dyDescent="0.25">
      <c r="A22" s="1" t="b">
        <v>1</v>
      </c>
      <c r="B22" s="3">
        <v>46152.990335648145</v>
      </c>
      <c r="C22" s="1" t="s">
        <v>304</v>
      </c>
      <c r="D22" s="1" t="s">
        <v>305</v>
      </c>
      <c r="E22" s="4">
        <f t="shared" ref="E22:K22" si="122">IF(ISNUMBER(SEARCH(E$1,$D22)), SEARCH(E$1,$D22), 0)</f>
        <v>1</v>
      </c>
      <c r="F22" s="4">
        <f t="shared" si="122"/>
        <v>0</v>
      </c>
      <c r="G22" s="4">
        <f t="shared" si="122"/>
        <v>0</v>
      </c>
      <c r="H22" s="4">
        <f t="shared" si="122"/>
        <v>0</v>
      </c>
      <c r="I22" s="4">
        <f t="shared" si="122"/>
        <v>0</v>
      </c>
      <c r="J22" s="4">
        <f t="shared" si="122"/>
        <v>0</v>
      </c>
      <c r="K22" s="4">
        <f t="shared" si="122"/>
        <v>30</v>
      </c>
      <c r="L22" s="4">
        <f t="shared" si="1"/>
        <v>30</v>
      </c>
      <c r="N22" s="1" t="s">
        <v>306</v>
      </c>
      <c r="O22" s="4">
        <f t="shared" ref="O22:T22" si="123">IF(ISNUMBER(SEARCH(O$1,$N22)), 1, 0)</f>
        <v>1</v>
      </c>
      <c r="P22" s="4">
        <f t="shared" si="123"/>
        <v>1</v>
      </c>
      <c r="Q22" s="4">
        <f t="shared" si="123"/>
        <v>0</v>
      </c>
      <c r="R22" s="4">
        <f t="shared" si="123"/>
        <v>0</v>
      </c>
      <c r="S22" s="4">
        <f t="shared" si="123"/>
        <v>1</v>
      </c>
      <c r="T22" s="4">
        <f t="shared" si="123"/>
        <v>0</v>
      </c>
      <c r="V22" s="1" t="s">
        <v>22</v>
      </c>
      <c r="W22" s="1" t="str">
        <f t="shared" si="69"/>
        <v>True</v>
      </c>
      <c r="X22" s="1" t="str">
        <f t="shared" si="69"/>
        <v>False</v>
      </c>
      <c r="Y22" s="1" t="str">
        <f t="shared" si="69"/>
        <v>False</v>
      </c>
      <c r="Z22" s="1" t="str">
        <f t="shared" si="69"/>
        <v>False</v>
      </c>
      <c r="AA22" s="1" t="str">
        <f t="shared" si="69"/>
        <v>False</v>
      </c>
      <c r="AB22" s="1" t="s">
        <v>183</v>
      </c>
      <c r="AC22" s="4">
        <f t="shared" ref="AC22:AH22" si="124">IF(ISNUMBER(SEARCH(AC$1,$AB22)), 1, 0)</f>
        <v>0</v>
      </c>
      <c r="AD22" s="4">
        <f t="shared" si="124"/>
        <v>0</v>
      </c>
      <c r="AE22" s="4">
        <f t="shared" si="124"/>
        <v>0</v>
      </c>
      <c r="AF22" s="4">
        <f t="shared" si="124"/>
        <v>0</v>
      </c>
      <c r="AG22" s="4">
        <f t="shared" si="124"/>
        <v>0</v>
      </c>
      <c r="AH22" s="4">
        <f t="shared" si="124"/>
        <v>0</v>
      </c>
      <c r="AI22" s="1">
        <f t="shared" si="5"/>
        <v>0</v>
      </c>
      <c r="AJ22" s="1" t="s">
        <v>184</v>
      </c>
      <c r="AK22" s="1" t="s">
        <v>307</v>
      </c>
      <c r="AL22" s="4">
        <f t="shared" ref="AL22:AS22" si="125">IF(ISNUMBER(SEARCH(AL$1,$AK22)), 1, 0)</f>
        <v>1</v>
      </c>
      <c r="AM22" s="4">
        <f t="shared" si="125"/>
        <v>0</v>
      </c>
      <c r="AN22" s="4">
        <f t="shared" si="125"/>
        <v>1</v>
      </c>
      <c r="AO22" s="4">
        <f t="shared" si="125"/>
        <v>0</v>
      </c>
      <c r="AP22" s="4">
        <f t="shared" si="125"/>
        <v>0</v>
      </c>
      <c r="AQ22" s="4">
        <f t="shared" si="125"/>
        <v>0</v>
      </c>
      <c r="AR22" s="4">
        <f t="shared" si="125"/>
        <v>0</v>
      </c>
      <c r="AS22" s="4">
        <f t="shared" si="125"/>
        <v>0</v>
      </c>
      <c r="AU22" s="1" t="s">
        <v>47</v>
      </c>
      <c r="AV22" s="1">
        <f t="shared" si="7"/>
        <v>1</v>
      </c>
      <c r="AW22" s="1">
        <f t="shared" si="8"/>
        <v>0</v>
      </c>
      <c r="AX22" s="1">
        <f t="shared" si="9"/>
        <v>0</v>
      </c>
      <c r="AY22" s="1" t="s">
        <v>47</v>
      </c>
      <c r="AZ22" s="1" t="s">
        <v>47</v>
      </c>
      <c r="BA22" s="1" t="s">
        <v>308</v>
      </c>
      <c r="BB22" s="4">
        <f t="shared" ref="BB22:BJ22" si="126">IF(ISNUMBER(SEARCH(BB$1,$BA22)), 1, 0)</f>
        <v>1</v>
      </c>
      <c r="BC22" s="4">
        <f t="shared" si="126"/>
        <v>1</v>
      </c>
      <c r="BD22" s="4">
        <f t="shared" si="126"/>
        <v>0</v>
      </c>
      <c r="BE22" s="4">
        <f t="shared" si="126"/>
        <v>1</v>
      </c>
      <c r="BF22" s="4">
        <f t="shared" si="126"/>
        <v>1</v>
      </c>
      <c r="BG22" s="4">
        <f t="shared" si="126"/>
        <v>1</v>
      </c>
      <c r="BH22" s="4">
        <f t="shared" si="126"/>
        <v>0</v>
      </c>
      <c r="BI22" s="4">
        <f t="shared" si="126"/>
        <v>0</v>
      </c>
      <c r="BJ22" s="4">
        <f t="shared" si="126"/>
        <v>1</v>
      </c>
      <c r="BK22" s="4">
        <f t="shared" si="11"/>
        <v>6</v>
      </c>
      <c r="BO22" s="4">
        <f t="shared" ref="BO22:BU22" si="127">IF(ISNUMBER(SEARCH(BO$1,$BN22)), 1, 0)</f>
        <v>0</v>
      </c>
      <c r="BP22" s="4">
        <f t="shared" si="127"/>
        <v>0</v>
      </c>
      <c r="BQ22" s="4">
        <f t="shared" si="127"/>
        <v>0</v>
      </c>
      <c r="BR22" s="4">
        <f t="shared" si="127"/>
        <v>0</v>
      </c>
      <c r="BS22" s="4">
        <f t="shared" si="127"/>
        <v>0</v>
      </c>
      <c r="BT22" s="4">
        <f t="shared" si="127"/>
        <v>0</v>
      </c>
      <c r="BU22" s="4">
        <f t="shared" si="127"/>
        <v>0</v>
      </c>
      <c r="DC22" s="1" t="s">
        <v>180</v>
      </c>
    </row>
    <row r="23" spans="1:107" ht="15.75" customHeight="1" x14ac:dyDescent="0.25">
      <c r="A23" s="1" t="b">
        <v>1</v>
      </c>
      <c r="B23" s="3">
        <v>46153.407986111109</v>
      </c>
      <c r="C23" s="1" t="s">
        <v>309</v>
      </c>
      <c r="D23" s="1" t="s">
        <v>4</v>
      </c>
      <c r="E23" s="4">
        <f t="shared" ref="E23:K23" si="128">IF(ISNUMBER(SEARCH(E$1,$D23)), SEARCH(E$1,$D23), 0)</f>
        <v>1</v>
      </c>
      <c r="F23" s="4">
        <f t="shared" si="128"/>
        <v>0</v>
      </c>
      <c r="G23" s="4">
        <f t="shared" si="128"/>
        <v>0</v>
      </c>
      <c r="H23" s="4">
        <f t="shared" si="128"/>
        <v>0</v>
      </c>
      <c r="I23" s="4">
        <f t="shared" si="128"/>
        <v>0</v>
      </c>
      <c r="J23" s="4">
        <f t="shared" si="128"/>
        <v>0</v>
      </c>
      <c r="K23" s="4">
        <f t="shared" si="128"/>
        <v>0</v>
      </c>
      <c r="L23" s="4">
        <f t="shared" si="1"/>
        <v>1</v>
      </c>
      <c r="N23" s="1" t="s">
        <v>19</v>
      </c>
      <c r="O23" s="4">
        <f t="shared" ref="O23:T23" si="129">IF(ISNUMBER(SEARCH(O$1,$N23)), 1, 0)</f>
        <v>0</v>
      </c>
      <c r="P23" s="4">
        <f t="shared" si="129"/>
        <v>0</v>
      </c>
      <c r="Q23" s="4">
        <f t="shared" si="129"/>
        <v>0</v>
      </c>
      <c r="R23" s="4">
        <f t="shared" si="129"/>
        <v>0</v>
      </c>
      <c r="S23" s="4">
        <f t="shared" si="129"/>
        <v>0</v>
      </c>
      <c r="T23" s="4">
        <f t="shared" si="129"/>
        <v>1</v>
      </c>
      <c r="W23" s="1" t="str">
        <f t="shared" ref="W23:AA32" si="130">IF(W$1=$V23, "True", "False")</f>
        <v>False</v>
      </c>
      <c r="X23" s="1" t="str">
        <f t="shared" si="130"/>
        <v>False</v>
      </c>
      <c r="Y23" s="1" t="str">
        <f t="shared" si="130"/>
        <v>False</v>
      </c>
      <c r="Z23" s="1" t="str">
        <f t="shared" si="130"/>
        <v>False</v>
      </c>
      <c r="AA23" s="1" t="str">
        <f t="shared" si="130"/>
        <v>False</v>
      </c>
      <c r="AB23" s="1" t="s">
        <v>33</v>
      </c>
      <c r="AC23" s="4">
        <f t="shared" ref="AC23:AH23" si="131">IF(ISNUMBER(SEARCH(AC$1,$AB23)), 1, 0)</f>
        <v>0</v>
      </c>
      <c r="AD23" s="4">
        <f t="shared" si="131"/>
        <v>0</v>
      </c>
      <c r="AE23" s="4">
        <f t="shared" si="131"/>
        <v>0</v>
      </c>
      <c r="AF23" s="4">
        <f t="shared" si="131"/>
        <v>0</v>
      </c>
      <c r="AG23" s="4">
        <f t="shared" si="131"/>
        <v>0</v>
      </c>
      <c r="AH23" s="4">
        <f t="shared" si="131"/>
        <v>1</v>
      </c>
      <c r="AI23" s="1">
        <f t="shared" si="5"/>
        <v>1</v>
      </c>
      <c r="AK23" s="1" t="s">
        <v>42</v>
      </c>
      <c r="AL23" s="4">
        <f t="shared" ref="AL23:AS23" si="132">IF(ISNUMBER(SEARCH(AL$1,$AK23)), 1, 0)</f>
        <v>0</v>
      </c>
      <c r="AM23" s="4">
        <f t="shared" si="132"/>
        <v>0</v>
      </c>
      <c r="AN23" s="4">
        <f t="shared" si="132"/>
        <v>0</v>
      </c>
      <c r="AO23" s="4">
        <f t="shared" si="132"/>
        <v>0</v>
      </c>
      <c r="AP23" s="4">
        <f t="shared" si="132"/>
        <v>0</v>
      </c>
      <c r="AQ23" s="4">
        <f t="shared" si="132"/>
        <v>1</v>
      </c>
      <c r="AR23" s="4">
        <f t="shared" si="132"/>
        <v>0</v>
      </c>
      <c r="AS23" s="4">
        <f t="shared" si="132"/>
        <v>0</v>
      </c>
      <c r="AU23" s="1" t="s">
        <v>49</v>
      </c>
      <c r="AV23" s="1">
        <f t="shared" si="7"/>
        <v>0</v>
      </c>
      <c r="AW23" s="1">
        <f t="shared" si="8"/>
        <v>0</v>
      </c>
      <c r="AX23" s="1">
        <f t="shared" si="9"/>
        <v>1</v>
      </c>
      <c r="AY23" s="1" t="s">
        <v>48</v>
      </c>
      <c r="BA23" s="1" t="s">
        <v>57</v>
      </c>
      <c r="BB23" s="4">
        <f t="shared" ref="BB23:BJ23" si="133">IF(ISNUMBER(SEARCH(BB$1,$BA23)), 1, 0)</f>
        <v>0</v>
      </c>
      <c r="BC23" s="4">
        <f t="shared" si="133"/>
        <v>0</v>
      </c>
      <c r="BD23" s="4">
        <f t="shared" si="133"/>
        <v>0</v>
      </c>
      <c r="BE23" s="4">
        <f t="shared" si="133"/>
        <v>0</v>
      </c>
      <c r="BF23" s="4">
        <f t="shared" si="133"/>
        <v>1</v>
      </c>
      <c r="BG23" s="4">
        <f t="shared" si="133"/>
        <v>0</v>
      </c>
      <c r="BH23" s="4">
        <f t="shared" si="133"/>
        <v>0</v>
      </c>
      <c r="BI23" s="4">
        <f t="shared" si="133"/>
        <v>0</v>
      </c>
      <c r="BJ23" s="4">
        <f t="shared" si="133"/>
        <v>0</v>
      </c>
      <c r="BK23" s="4">
        <f t="shared" si="11"/>
        <v>1</v>
      </c>
      <c r="BM23" s="1" t="s">
        <v>166</v>
      </c>
      <c r="BN23" s="1" t="s">
        <v>66</v>
      </c>
      <c r="BO23" s="4">
        <f t="shared" ref="BO23:BU23" si="134">IF(ISNUMBER(SEARCH(BO$1,$BN23)), 1, 0)</f>
        <v>1</v>
      </c>
      <c r="BP23" s="4">
        <f t="shared" si="134"/>
        <v>0</v>
      </c>
      <c r="BQ23" s="4">
        <f t="shared" si="134"/>
        <v>0</v>
      </c>
      <c r="BR23" s="4">
        <f t="shared" si="134"/>
        <v>0</v>
      </c>
      <c r="BS23" s="4">
        <f t="shared" si="134"/>
        <v>0</v>
      </c>
      <c r="BT23" s="4">
        <f t="shared" si="134"/>
        <v>0</v>
      </c>
      <c r="BU23" s="4">
        <f t="shared" si="134"/>
        <v>0</v>
      </c>
      <c r="DC23" s="1" t="s">
        <v>180</v>
      </c>
    </row>
    <row r="24" spans="1:107" ht="15.75" customHeight="1" x14ac:dyDescent="0.25">
      <c r="A24" s="1" t="b">
        <v>1</v>
      </c>
      <c r="B24" s="3">
        <v>46153.465046296296</v>
      </c>
      <c r="C24" s="1" t="s">
        <v>310</v>
      </c>
      <c r="D24" s="1" t="s">
        <v>4</v>
      </c>
      <c r="E24" s="4">
        <f t="shared" ref="E24:K24" si="135">IF(ISNUMBER(SEARCH(E$1,$D24)), SEARCH(E$1,$D24), 0)</f>
        <v>1</v>
      </c>
      <c r="F24" s="4">
        <f t="shared" si="135"/>
        <v>0</v>
      </c>
      <c r="G24" s="4">
        <f t="shared" si="135"/>
        <v>0</v>
      </c>
      <c r="H24" s="4">
        <f t="shared" si="135"/>
        <v>0</v>
      </c>
      <c r="I24" s="4">
        <f t="shared" si="135"/>
        <v>0</v>
      </c>
      <c r="J24" s="4">
        <f t="shared" si="135"/>
        <v>0</v>
      </c>
      <c r="K24" s="4">
        <f t="shared" si="135"/>
        <v>0</v>
      </c>
      <c r="L24" s="4">
        <f t="shared" si="1"/>
        <v>1</v>
      </c>
      <c r="N24" s="1" t="s">
        <v>244</v>
      </c>
      <c r="O24" s="4">
        <f t="shared" ref="O24:T24" si="136">IF(ISNUMBER(SEARCH(O$1,$N24)), 1, 0)</f>
        <v>1</v>
      </c>
      <c r="P24" s="4">
        <f t="shared" si="136"/>
        <v>0</v>
      </c>
      <c r="Q24" s="4">
        <f t="shared" si="136"/>
        <v>1</v>
      </c>
      <c r="R24" s="4">
        <f t="shared" si="136"/>
        <v>1</v>
      </c>
      <c r="S24" s="4">
        <f t="shared" si="136"/>
        <v>0</v>
      </c>
      <c r="T24" s="4">
        <f t="shared" si="136"/>
        <v>0</v>
      </c>
      <c r="V24" s="1" t="s">
        <v>26</v>
      </c>
      <c r="W24" s="1" t="str">
        <f t="shared" si="130"/>
        <v>False</v>
      </c>
      <c r="X24" s="1" t="str">
        <f t="shared" si="130"/>
        <v>False</v>
      </c>
      <c r="Y24" s="1" t="str">
        <f t="shared" si="130"/>
        <v>False</v>
      </c>
      <c r="Z24" s="1" t="str">
        <f t="shared" si="130"/>
        <v>False</v>
      </c>
      <c r="AA24" s="1" t="str">
        <f t="shared" si="130"/>
        <v>True</v>
      </c>
      <c r="AB24" s="1" t="s">
        <v>311</v>
      </c>
      <c r="AC24" s="4">
        <f t="shared" ref="AC24:AH24" si="137">IF(ISNUMBER(SEARCH(AC$1,$AB24)), 1, 0)</f>
        <v>1</v>
      </c>
      <c r="AD24" s="4">
        <f t="shared" si="137"/>
        <v>0</v>
      </c>
      <c r="AE24" s="4">
        <f t="shared" si="137"/>
        <v>0</v>
      </c>
      <c r="AF24" s="4">
        <f t="shared" si="137"/>
        <v>0</v>
      </c>
      <c r="AG24" s="4">
        <f t="shared" si="137"/>
        <v>0</v>
      </c>
      <c r="AH24" s="4">
        <f t="shared" si="137"/>
        <v>0</v>
      </c>
      <c r="AI24" s="1">
        <f t="shared" si="5"/>
        <v>1</v>
      </c>
      <c r="AJ24" s="1" t="s">
        <v>312</v>
      </c>
      <c r="AK24" s="1" t="s">
        <v>313</v>
      </c>
      <c r="AL24" s="4">
        <f t="shared" ref="AL24:AS24" si="138">IF(ISNUMBER(SEARCH(AL$1,$AK24)), 1, 0)</f>
        <v>1</v>
      </c>
      <c r="AM24" s="4">
        <f t="shared" si="138"/>
        <v>1</v>
      </c>
      <c r="AN24" s="4">
        <f t="shared" si="138"/>
        <v>0</v>
      </c>
      <c r="AO24" s="4">
        <f t="shared" si="138"/>
        <v>1</v>
      </c>
      <c r="AP24" s="4">
        <f t="shared" si="138"/>
        <v>1</v>
      </c>
      <c r="AQ24" s="4">
        <f t="shared" si="138"/>
        <v>1</v>
      </c>
      <c r="AR24" s="4">
        <f t="shared" si="138"/>
        <v>0</v>
      </c>
      <c r="AS24" s="4">
        <f t="shared" si="138"/>
        <v>0</v>
      </c>
      <c r="AU24" s="1" t="s">
        <v>47</v>
      </c>
      <c r="AV24" s="1">
        <f t="shared" si="7"/>
        <v>1</v>
      </c>
      <c r="AW24" s="1">
        <f t="shared" si="8"/>
        <v>0</v>
      </c>
      <c r="AX24" s="1">
        <f t="shared" si="9"/>
        <v>0</v>
      </c>
      <c r="AY24" s="1" t="s">
        <v>48</v>
      </c>
      <c r="BA24" s="1" t="s">
        <v>314</v>
      </c>
      <c r="BB24" s="4">
        <f t="shared" ref="BB24:BJ24" si="139">IF(ISNUMBER(SEARCH(BB$1,$BA24)), 1, 0)</f>
        <v>0</v>
      </c>
      <c r="BC24" s="4">
        <f t="shared" si="139"/>
        <v>0</v>
      </c>
      <c r="BD24" s="4">
        <f t="shared" si="139"/>
        <v>1</v>
      </c>
      <c r="BE24" s="4">
        <f t="shared" si="139"/>
        <v>1</v>
      </c>
      <c r="BF24" s="4">
        <f t="shared" si="139"/>
        <v>0</v>
      </c>
      <c r="BG24" s="4">
        <f t="shared" si="139"/>
        <v>1</v>
      </c>
      <c r="BH24" s="4">
        <f t="shared" si="139"/>
        <v>0</v>
      </c>
      <c r="BI24" s="4">
        <f t="shared" si="139"/>
        <v>0</v>
      </c>
      <c r="BJ24" s="4">
        <f t="shared" si="139"/>
        <v>1</v>
      </c>
      <c r="BK24" s="4">
        <f t="shared" si="11"/>
        <v>4</v>
      </c>
      <c r="BO24" s="4">
        <f t="shared" ref="BO24:BU24" si="140">IF(ISNUMBER(SEARCH(BO$1,$BN24)), 1, 0)</f>
        <v>0</v>
      </c>
      <c r="BP24" s="4">
        <f t="shared" si="140"/>
        <v>0</v>
      </c>
      <c r="BQ24" s="4">
        <f t="shared" si="140"/>
        <v>0</v>
      </c>
      <c r="BR24" s="4">
        <f t="shared" si="140"/>
        <v>0</v>
      </c>
      <c r="BS24" s="4">
        <f t="shared" si="140"/>
        <v>0</v>
      </c>
      <c r="BT24" s="4">
        <f t="shared" si="140"/>
        <v>0</v>
      </c>
      <c r="BU24" s="4">
        <f t="shared" si="140"/>
        <v>0</v>
      </c>
      <c r="DC24" s="1" t="s">
        <v>180</v>
      </c>
    </row>
    <row r="25" spans="1:107" ht="15.75" customHeight="1" x14ac:dyDescent="0.25">
      <c r="A25" s="1" t="b">
        <v>1</v>
      </c>
      <c r="B25" s="3">
        <v>46153.54115740741</v>
      </c>
      <c r="C25" s="1" t="s">
        <v>315</v>
      </c>
      <c r="D25" s="1" t="s">
        <v>207</v>
      </c>
      <c r="E25" s="4">
        <f t="shared" ref="E25:K25" si="141">IF(ISNUMBER(SEARCH(E$1,$D25)), SEARCH(E$1,$D25), 0)</f>
        <v>1</v>
      </c>
      <c r="F25" s="4">
        <f t="shared" si="141"/>
        <v>30</v>
      </c>
      <c r="G25" s="4">
        <f t="shared" si="141"/>
        <v>0</v>
      </c>
      <c r="H25" s="4">
        <f t="shared" si="141"/>
        <v>0</v>
      </c>
      <c r="I25" s="4">
        <f t="shared" si="141"/>
        <v>0</v>
      </c>
      <c r="J25" s="4">
        <f t="shared" si="141"/>
        <v>0</v>
      </c>
      <c r="K25" s="4">
        <f t="shared" si="141"/>
        <v>0</v>
      </c>
      <c r="L25" s="4">
        <f t="shared" si="1"/>
        <v>30</v>
      </c>
      <c r="N25" s="1" t="s">
        <v>316</v>
      </c>
      <c r="O25" s="4">
        <f t="shared" ref="O25:T25" si="142">IF(ISNUMBER(SEARCH(O$1,$N25)), 1, 0)</f>
        <v>1</v>
      </c>
      <c r="P25" s="4">
        <f t="shared" si="142"/>
        <v>0</v>
      </c>
      <c r="Q25" s="4">
        <f t="shared" si="142"/>
        <v>1</v>
      </c>
      <c r="R25" s="4">
        <f t="shared" si="142"/>
        <v>0</v>
      </c>
      <c r="S25" s="4">
        <f t="shared" si="142"/>
        <v>0</v>
      </c>
      <c r="T25" s="4">
        <f t="shared" si="142"/>
        <v>0</v>
      </c>
      <c r="V25" s="1" t="s">
        <v>23</v>
      </c>
      <c r="W25" s="1" t="str">
        <f t="shared" si="130"/>
        <v>False</v>
      </c>
      <c r="X25" s="1" t="str">
        <f t="shared" si="130"/>
        <v>True</v>
      </c>
      <c r="Y25" s="1" t="str">
        <f t="shared" si="130"/>
        <v>False</v>
      </c>
      <c r="Z25" s="1" t="str">
        <f t="shared" si="130"/>
        <v>False</v>
      </c>
      <c r="AA25" s="1" t="str">
        <f t="shared" si="130"/>
        <v>False</v>
      </c>
      <c r="AB25" s="1" t="s">
        <v>28</v>
      </c>
      <c r="AC25" s="4">
        <f t="shared" ref="AC25:AH25" si="143">IF(ISNUMBER(SEARCH(AC$1,$AB25)), 1, 0)</f>
        <v>1</v>
      </c>
      <c r="AD25" s="4">
        <f t="shared" si="143"/>
        <v>0</v>
      </c>
      <c r="AE25" s="4">
        <f t="shared" si="143"/>
        <v>0</v>
      </c>
      <c r="AF25" s="4">
        <f t="shared" si="143"/>
        <v>0</v>
      </c>
      <c r="AG25" s="4">
        <f t="shared" si="143"/>
        <v>0</v>
      </c>
      <c r="AH25" s="4">
        <f t="shared" si="143"/>
        <v>0</v>
      </c>
      <c r="AI25" s="1">
        <f t="shared" si="5"/>
        <v>1</v>
      </c>
      <c r="AK25" s="1" t="s">
        <v>317</v>
      </c>
      <c r="AL25" s="4">
        <f t="shared" ref="AL25:AS25" si="144">IF(ISNUMBER(SEARCH(AL$1,$AK25)), 1, 0)</f>
        <v>0</v>
      </c>
      <c r="AM25" s="4">
        <f t="shared" si="144"/>
        <v>1</v>
      </c>
      <c r="AN25" s="4">
        <f t="shared" si="144"/>
        <v>0</v>
      </c>
      <c r="AO25" s="4">
        <f t="shared" si="144"/>
        <v>1</v>
      </c>
      <c r="AP25" s="4">
        <f t="shared" si="144"/>
        <v>1</v>
      </c>
      <c r="AQ25" s="4">
        <f t="shared" si="144"/>
        <v>1</v>
      </c>
      <c r="AR25" s="4">
        <f t="shared" si="144"/>
        <v>0</v>
      </c>
      <c r="AS25" s="4">
        <f t="shared" si="144"/>
        <v>0</v>
      </c>
      <c r="AU25" s="1" t="s">
        <v>47</v>
      </c>
      <c r="AV25" s="1">
        <f t="shared" si="7"/>
        <v>1</v>
      </c>
      <c r="AW25" s="1">
        <f t="shared" si="8"/>
        <v>0</v>
      </c>
      <c r="AX25" s="1">
        <f t="shared" si="9"/>
        <v>0</v>
      </c>
      <c r="AY25" s="1" t="s">
        <v>48</v>
      </c>
      <c r="BA25" s="1" t="s">
        <v>318</v>
      </c>
      <c r="BB25" s="4">
        <f t="shared" ref="BB25:BJ25" si="145">IF(ISNUMBER(SEARCH(BB$1,$BA25)), 1, 0)</f>
        <v>0</v>
      </c>
      <c r="BC25" s="4">
        <f t="shared" si="145"/>
        <v>0</v>
      </c>
      <c r="BD25" s="4">
        <f t="shared" si="145"/>
        <v>1</v>
      </c>
      <c r="BE25" s="4">
        <f t="shared" si="145"/>
        <v>1</v>
      </c>
      <c r="BF25" s="4">
        <f t="shared" si="145"/>
        <v>1</v>
      </c>
      <c r="BG25" s="4">
        <f t="shared" si="145"/>
        <v>1</v>
      </c>
      <c r="BH25" s="4">
        <f t="shared" si="145"/>
        <v>0</v>
      </c>
      <c r="BI25" s="4">
        <f t="shared" si="145"/>
        <v>0</v>
      </c>
      <c r="BJ25" s="4">
        <f t="shared" si="145"/>
        <v>1</v>
      </c>
      <c r="BK25" s="4">
        <f t="shared" si="11"/>
        <v>5</v>
      </c>
      <c r="BM25" s="1" t="s">
        <v>232</v>
      </c>
      <c r="BN25" s="1" t="s">
        <v>319</v>
      </c>
      <c r="BO25" s="4">
        <f t="shared" ref="BO25:BU25" si="146">IF(ISNUMBER(SEARCH(BO$1,$BN25)), 1, 0)</f>
        <v>1</v>
      </c>
      <c r="BP25" s="4">
        <f t="shared" si="146"/>
        <v>0</v>
      </c>
      <c r="BQ25" s="4">
        <f t="shared" si="146"/>
        <v>0</v>
      </c>
      <c r="BR25" s="4">
        <f t="shared" si="146"/>
        <v>0</v>
      </c>
      <c r="BS25" s="4">
        <f t="shared" si="146"/>
        <v>0</v>
      </c>
      <c r="BT25" s="4">
        <f t="shared" si="146"/>
        <v>1</v>
      </c>
      <c r="BU25" s="4">
        <f t="shared" si="146"/>
        <v>1</v>
      </c>
      <c r="CX25" s="1" t="s">
        <v>320</v>
      </c>
      <c r="DB25" s="1" t="s">
        <v>321</v>
      </c>
      <c r="DC25" s="1" t="s">
        <v>238</v>
      </c>
    </row>
    <row r="26" spans="1:107" ht="15.75" customHeight="1" x14ac:dyDescent="0.25">
      <c r="A26" s="1" t="b">
        <v>1</v>
      </c>
      <c r="B26" s="3">
        <v>46153.563831018517</v>
      </c>
      <c r="C26" s="1" t="s">
        <v>322</v>
      </c>
      <c r="D26" s="1" t="s">
        <v>4</v>
      </c>
      <c r="E26" s="4">
        <f t="shared" ref="E26:K26" si="147">IF(ISNUMBER(SEARCH(E$1,$D26)), SEARCH(E$1,$D26), 0)</f>
        <v>1</v>
      </c>
      <c r="F26" s="4">
        <f t="shared" si="147"/>
        <v>0</v>
      </c>
      <c r="G26" s="4">
        <f t="shared" si="147"/>
        <v>0</v>
      </c>
      <c r="H26" s="4">
        <f t="shared" si="147"/>
        <v>0</v>
      </c>
      <c r="I26" s="4">
        <f t="shared" si="147"/>
        <v>0</v>
      </c>
      <c r="J26" s="4">
        <f t="shared" si="147"/>
        <v>0</v>
      </c>
      <c r="K26" s="4">
        <f t="shared" si="147"/>
        <v>0</v>
      </c>
      <c r="L26" s="4">
        <f t="shared" si="1"/>
        <v>1</v>
      </c>
      <c r="N26" s="1" t="s">
        <v>323</v>
      </c>
      <c r="O26" s="4">
        <f t="shared" ref="O26:T26" si="148">IF(ISNUMBER(SEARCH(O$1,$N26)), 1, 0)</f>
        <v>1</v>
      </c>
      <c r="P26" s="4">
        <f t="shared" si="148"/>
        <v>1</v>
      </c>
      <c r="Q26" s="4">
        <f t="shared" si="148"/>
        <v>1</v>
      </c>
      <c r="R26" s="4">
        <f t="shared" si="148"/>
        <v>1</v>
      </c>
      <c r="S26" s="4">
        <f t="shared" si="148"/>
        <v>0</v>
      </c>
      <c r="T26" s="4">
        <f t="shared" si="148"/>
        <v>1</v>
      </c>
      <c r="V26" s="1" t="s">
        <v>23</v>
      </c>
      <c r="W26" s="1" t="str">
        <f t="shared" si="130"/>
        <v>False</v>
      </c>
      <c r="X26" s="1" t="str">
        <f t="shared" si="130"/>
        <v>True</v>
      </c>
      <c r="Y26" s="1" t="str">
        <f t="shared" si="130"/>
        <v>False</v>
      </c>
      <c r="Z26" s="1" t="str">
        <f t="shared" si="130"/>
        <v>False</v>
      </c>
      <c r="AA26" s="1" t="str">
        <f t="shared" si="130"/>
        <v>False</v>
      </c>
      <c r="AB26" s="1" t="s">
        <v>324</v>
      </c>
      <c r="AC26" s="4">
        <f t="shared" ref="AC26:AH26" si="149">IF(ISNUMBER(SEARCH(AC$1,$AB26)), 1, 0)</f>
        <v>0</v>
      </c>
      <c r="AD26" s="4">
        <f t="shared" si="149"/>
        <v>1</v>
      </c>
      <c r="AE26" s="4">
        <f t="shared" si="149"/>
        <v>0</v>
      </c>
      <c r="AF26" s="4">
        <f t="shared" si="149"/>
        <v>0</v>
      </c>
      <c r="AG26" s="4">
        <f t="shared" si="149"/>
        <v>0</v>
      </c>
      <c r="AH26" s="4">
        <f t="shared" si="149"/>
        <v>1</v>
      </c>
      <c r="AI26" s="1">
        <f t="shared" si="5"/>
        <v>2</v>
      </c>
      <c r="AK26" s="1" t="s">
        <v>246</v>
      </c>
      <c r="AL26" s="4">
        <f t="shared" ref="AL26:AS26" si="150">IF(ISNUMBER(SEARCH(AL$1,$AK26)), 1, 0)</f>
        <v>1</v>
      </c>
      <c r="AM26" s="4">
        <f t="shared" si="150"/>
        <v>1</v>
      </c>
      <c r="AN26" s="4">
        <f t="shared" si="150"/>
        <v>0</v>
      </c>
      <c r="AO26" s="4">
        <f t="shared" si="150"/>
        <v>1</v>
      </c>
      <c r="AP26" s="4">
        <f t="shared" si="150"/>
        <v>0</v>
      </c>
      <c r="AQ26" s="4">
        <f t="shared" si="150"/>
        <v>1</v>
      </c>
      <c r="AR26" s="4">
        <f t="shared" si="150"/>
        <v>0</v>
      </c>
      <c r="AS26" s="4">
        <f t="shared" si="150"/>
        <v>0</v>
      </c>
      <c r="AU26" s="1" t="s">
        <v>47</v>
      </c>
      <c r="AV26" s="1">
        <f t="shared" si="7"/>
        <v>1</v>
      </c>
      <c r="AW26" s="1">
        <f t="shared" si="8"/>
        <v>0</v>
      </c>
      <c r="AX26" s="1">
        <f t="shared" si="9"/>
        <v>0</v>
      </c>
      <c r="AY26" s="1" t="s">
        <v>48</v>
      </c>
      <c r="BA26" s="1" t="s">
        <v>325</v>
      </c>
      <c r="BB26" s="4">
        <f t="shared" ref="BB26:BJ26" si="151">IF(ISNUMBER(SEARCH(BB$1,$BA26)), 1, 0)</f>
        <v>1</v>
      </c>
      <c r="BC26" s="4">
        <f t="shared" si="151"/>
        <v>1</v>
      </c>
      <c r="BD26" s="4">
        <f t="shared" si="151"/>
        <v>1</v>
      </c>
      <c r="BE26" s="4">
        <f t="shared" si="151"/>
        <v>0</v>
      </c>
      <c r="BF26" s="4">
        <f t="shared" si="151"/>
        <v>1</v>
      </c>
      <c r="BG26" s="4">
        <f t="shared" si="151"/>
        <v>0</v>
      </c>
      <c r="BH26" s="4">
        <f t="shared" si="151"/>
        <v>0</v>
      </c>
      <c r="BI26" s="4">
        <f t="shared" si="151"/>
        <v>0</v>
      </c>
      <c r="BJ26" s="4">
        <f t="shared" si="151"/>
        <v>1</v>
      </c>
      <c r="BK26" s="4">
        <f t="shared" si="11"/>
        <v>5</v>
      </c>
      <c r="BM26" s="1" t="s">
        <v>232</v>
      </c>
      <c r="BN26" s="1" t="s">
        <v>326</v>
      </c>
      <c r="BO26" s="4">
        <f t="shared" ref="BO26:BU26" si="152">IF(ISNUMBER(SEARCH(BO$1,$BN26)), 1, 0)</f>
        <v>0</v>
      </c>
      <c r="BP26" s="4">
        <f t="shared" si="152"/>
        <v>1</v>
      </c>
      <c r="BQ26" s="4">
        <f t="shared" si="152"/>
        <v>0</v>
      </c>
      <c r="BR26" s="4">
        <f t="shared" si="152"/>
        <v>0</v>
      </c>
      <c r="BS26" s="4">
        <f t="shared" si="152"/>
        <v>0</v>
      </c>
      <c r="BT26" s="4">
        <f t="shared" si="152"/>
        <v>0</v>
      </c>
      <c r="BU26" s="4">
        <f t="shared" si="152"/>
        <v>1</v>
      </c>
      <c r="DC26" s="1" t="s">
        <v>180</v>
      </c>
    </row>
    <row r="27" spans="1:107" ht="15.75" customHeight="1" x14ac:dyDescent="0.25">
      <c r="A27" s="1" t="b">
        <v>0</v>
      </c>
      <c r="B27" s="3">
        <v>46153.697731481479</v>
      </c>
      <c r="C27" s="1" t="s">
        <v>327</v>
      </c>
      <c r="D27" s="1" t="s">
        <v>4</v>
      </c>
      <c r="E27" s="4">
        <f t="shared" ref="E27:K27" si="153">IF(ISNUMBER(SEARCH(E$1,$D27)), SEARCH(E$1,$D27), 0)</f>
        <v>1</v>
      </c>
      <c r="F27" s="4">
        <f t="shared" si="153"/>
        <v>0</v>
      </c>
      <c r="G27" s="4">
        <f t="shared" si="153"/>
        <v>0</v>
      </c>
      <c r="H27" s="4">
        <f t="shared" si="153"/>
        <v>0</v>
      </c>
      <c r="I27" s="4">
        <f t="shared" si="153"/>
        <v>0</v>
      </c>
      <c r="J27" s="4">
        <f t="shared" si="153"/>
        <v>0</v>
      </c>
      <c r="K27" s="4">
        <f t="shared" si="153"/>
        <v>0</v>
      </c>
      <c r="L27" s="4">
        <f t="shared" si="1"/>
        <v>1</v>
      </c>
      <c r="N27" s="1" t="s">
        <v>328</v>
      </c>
      <c r="O27" s="4">
        <f t="shared" ref="O27:T27" si="154">IF(ISNUMBER(SEARCH(O$1,$N27)), 1, 0)</f>
        <v>1</v>
      </c>
      <c r="P27" s="4">
        <f t="shared" si="154"/>
        <v>1</v>
      </c>
      <c r="Q27" s="4">
        <f t="shared" si="154"/>
        <v>1</v>
      </c>
      <c r="R27" s="4">
        <f t="shared" si="154"/>
        <v>0</v>
      </c>
      <c r="S27" s="4">
        <f t="shared" si="154"/>
        <v>0</v>
      </c>
      <c r="T27" s="4">
        <f t="shared" si="154"/>
        <v>0</v>
      </c>
      <c r="W27" s="1" t="str">
        <f t="shared" si="130"/>
        <v>False</v>
      </c>
      <c r="X27" s="1" t="str">
        <f t="shared" si="130"/>
        <v>False</v>
      </c>
      <c r="Y27" s="1" t="str">
        <f t="shared" si="130"/>
        <v>False</v>
      </c>
      <c r="Z27" s="1" t="str">
        <f t="shared" si="130"/>
        <v>False</v>
      </c>
      <c r="AA27" s="1" t="str">
        <f t="shared" si="130"/>
        <v>False</v>
      </c>
      <c r="AC27" s="4">
        <f t="shared" ref="AC27:AH27" si="155">IF(ISNUMBER(SEARCH(AC$1,$AB27)), 1, 0)</f>
        <v>0</v>
      </c>
      <c r="AD27" s="4">
        <f t="shared" si="155"/>
        <v>0</v>
      </c>
      <c r="AE27" s="4">
        <f t="shared" si="155"/>
        <v>0</v>
      </c>
      <c r="AF27" s="4">
        <f t="shared" si="155"/>
        <v>0</v>
      </c>
      <c r="AG27" s="4">
        <f t="shared" si="155"/>
        <v>0</v>
      </c>
      <c r="AH27" s="4">
        <f t="shared" si="155"/>
        <v>0</v>
      </c>
      <c r="AI27" s="1">
        <f t="shared" si="5"/>
        <v>0</v>
      </c>
      <c r="AL27" s="4">
        <f t="shared" ref="AL27:AS27" si="156">IF(ISNUMBER(SEARCH(AL$1,$AK27)), 1, 0)</f>
        <v>0</v>
      </c>
      <c r="AM27" s="4">
        <f t="shared" si="156"/>
        <v>0</v>
      </c>
      <c r="AN27" s="4">
        <f t="shared" si="156"/>
        <v>0</v>
      </c>
      <c r="AO27" s="4">
        <f t="shared" si="156"/>
        <v>0</v>
      </c>
      <c r="AP27" s="4">
        <f t="shared" si="156"/>
        <v>0</v>
      </c>
      <c r="AQ27" s="4">
        <f t="shared" si="156"/>
        <v>0</v>
      </c>
      <c r="AR27" s="4">
        <f t="shared" si="156"/>
        <v>0</v>
      </c>
      <c r="AS27" s="4">
        <f t="shared" si="156"/>
        <v>0</v>
      </c>
      <c r="AV27" s="1">
        <f t="shared" si="7"/>
        <v>0</v>
      </c>
      <c r="AW27" s="1">
        <f t="shared" si="8"/>
        <v>0</v>
      </c>
      <c r="AX27" s="1">
        <f t="shared" si="9"/>
        <v>0</v>
      </c>
      <c r="BB27" s="4">
        <f t="shared" ref="BB27:BJ27" si="157">IF(ISNUMBER(SEARCH(BB$1,$BA27)), 1, 0)</f>
        <v>0</v>
      </c>
      <c r="BC27" s="4">
        <f t="shared" si="157"/>
        <v>0</v>
      </c>
      <c r="BD27" s="4">
        <f t="shared" si="157"/>
        <v>0</v>
      </c>
      <c r="BE27" s="4">
        <f t="shared" si="157"/>
        <v>0</v>
      </c>
      <c r="BF27" s="4">
        <f t="shared" si="157"/>
        <v>0</v>
      </c>
      <c r="BG27" s="4">
        <f t="shared" si="157"/>
        <v>0</v>
      </c>
      <c r="BH27" s="4">
        <f t="shared" si="157"/>
        <v>0</v>
      </c>
      <c r="BI27" s="4">
        <f t="shared" si="157"/>
        <v>0</v>
      </c>
      <c r="BJ27" s="4">
        <f t="shared" si="157"/>
        <v>0</v>
      </c>
      <c r="BK27" s="4">
        <f t="shared" si="11"/>
        <v>0</v>
      </c>
      <c r="BO27" s="4">
        <f t="shared" ref="BO27:BU27" si="158">IF(ISNUMBER(SEARCH(BO$1,$BN27)), 1, 0)</f>
        <v>0</v>
      </c>
      <c r="BP27" s="4">
        <f t="shared" si="158"/>
        <v>0</v>
      </c>
      <c r="BQ27" s="4">
        <f t="shared" si="158"/>
        <v>0</v>
      </c>
      <c r="BR27" s="4">
        <f t="shared" si="158"/>
        <v>0</v>
      </c>
      <c r="BS27" s="4">
        <f t="shared" si="158"/>
        <v>0</v>
      </c>
      <c r="BT27" s="4">
        <f t="shared" si="158"/>
        <v>0</v>
      </c>
      <c r="BU27" s="4">
        <f t="shared" si="158"/>
        <v>0</v>
      </c>
    </row>
    <row r="28" spans="1:107" ht="15.75" customHeight="1" x14ac:dyDescent="0.25">
      <c r="A28" s="1" t="b">
        <v>1</v>
      </c>
      <c r="B28" s="3">
        <v>46153.833113425928</v>
      </c>
      <c r="C28" s="1" t="s">
        <v>329</v>
      </c>
      <c r="D28" s="1" t="s">
        <v>207</v>
      </c>
      <c r="E28" s="4">
        <f t="shared" ref="E28:K28" si="159">IF(ISNUMBER(SEARCH(E$1,$D28)), SEARCH(E$1,$D28), 0)</f>
        <v>1</v>
      </c>
      <c r="F28" s="4">
        <f t="shared" si="159"/>
        <v>30</v>
      </c>
      <c r="G28" s="4">
        <f t="shared" si="159"/>
        <v>0</v>
      </c>
      <c r="H28" s="4">
        <f t="shared" si="159"/>
        <v>0</v>
      </c>
      <c r="I28" s="4">
        <f t="shared" si="159"/>
        <v>0</v>
      </c>
      <c r="J28" s="4">
        <f t="shared" si="159"/>
        <v>0</v>
      </c>
      <c r="K28" s="4">
        <f t="shared" si="159"/>
        <v>0</v>
      </c>
      <c r="L28" s="4">
        <f t="shared" si="1"/>
        <v>30</v>
      </c>
      <c r="N28" s="1" t="s">
        <v>240</v>
      </c>
      <c r="O28" s="4">
        <f t="shared" ref="O28:T28" si="160">IF(ISNUMBER(SEARCH(O$1,$N28)), 1, 0)</f>
        <v>1</v>
      </c>
      <c r="P28" s="4">
        <f t="shared" si="160"/>
        <v>1</v>
      </c>
      <c r="Q28" s="4">
        <f t="shared" si="160"/>
        <v>1</v>
      </c>
      <c r="R28" s="4">
        <f t="shared" si="160"/>
        <v>1</v>
      </c>
      <c r="S28" s="4">
        <f t="shared" si="160"/>
        <v>0</v>
      </c>
      <c r="T28" s="4">
        <f t="shared" si="160"/>
        <v>0</v>
      </c>
      <c r="V28" s="1" t="s">
        <v>25</v>
      </c>
      <c r="W28" s="1" t="str">
        <f t="shared" si="130"/>
        <v>False</v>
      </c>
      <c r="X28" s="1" t="str">
        <f t="shared" si="130"/>
        <v>False</v>
      </c>
      <c r="Y28" s="1" t="str">
        <f t="shared" si="130"/>
        <v>False</v>
      </c>
      <c r="Z28" s="1" t="str">
        <f t="shared" si="130"/>
        <v>True</v>
      </c>
      <c r="AA28" s="1" t="str">
        <f t="shared" si="130"/>
        <v>False</v>
      </c>
      <c r="AB28" s="1" t="s">
        <v>311</v>
      </c>
      <c r="AC28" s="4">
        <f t="shared" ref="AC28:AH28" si="161">IF(ISNUMBER(SEARCH(AC$1,$AB28)), 1, 0)</f>
        <v>1</v>
      </c>
      <c r="AD28" s="4">
        <f t="shared" si="161"/>
        <v>0</v>
      </c>
      <c r="AE28" s="4">
        <f t="shared" si="161"/>
        <v>0</v>
      </c>
      <c r="AF28" s="4">
        <f t="shared" si="161"/>
        <v>0</v>
      </c>
      <c r="AG28" s="4">
        <f t="shared" si="161"/>
        <v>0</v>
      </c>
      <c r="AH28" s="4">
        <f t="shared" si="161"/>
        <v>0</v>
      </c>
      <c r="AI28" s="1">
        <f t="shared" si="5"/>
        <v>1</v>
      </c>
      <c r="AJ28" s="1" t="s">
        <v>330</v>
      </c>
      <c r="AK28" s="1" t="s">
        <v>317</v>
      </c>
      <c r="AL28" s="4">
        <f t="shared" ref="AL28:AS28" si="162">IF(ISNUMBER(SEARCH(AL$1,$AK28)), 1, 0)</f>
        <v>0</v>
      </c>
      <c r="AM28" s="4">
        <f t="shared" si="162"/>
        <v>1</v>
      </c>
      <c r="AN28" s="4">
        <f t="shared" si="162"/>
        <v>0</v>
      </c>
      <c r="AO28" s="4">
        <f t="shared" si="162"/>
        <v>1</v>
      </c>
      <c r="AP28" s="4">
        <f t="shared" si="162"/>
        <v>1</v>
      </c>
      <c r="AQ28" s="4">
        <f t="shared" si="162"/>
        <v>1</v>
      </c>
      <c r="AR28" s="4">
        <f t="shared" si="162"/>
        <v>0</v>
      </c>
      <c r="AS28" s="4">
        <f t="shared" si="162"/>
        <v>0</v>
      </c>
      <c r="AU28" s="1" t="s">
        <v>47</v>
      </c>
      <c r="AV28" s="1">
        <f t="shared" si="7"/>
        <v>1</v>
      </c>
      <c r="AW28" s="1">
        <f t="shared" si="8"/>
        <v>0</v>
      </c>
      <c r="AX28" s="1">
        <f t="shared" si="9"/>
        <v>0</v>
      </c>
      <c r="AY28" s="1" t="s">
        <v>48</v>
      </c>
      <c r="BA28" s="1" t="s">
        <v>331</v>
      </c>
      <c r="BB28" s="4">
        <f t="shared" ref="BB28:BJ28" si="163">IF(ISNUMBER(SEARCH(BB$1,$BA28)), 1, 0)</f>
        <v>1</v>
      </c>
      <c r="BC28" s="4">
        <f t="shared" si="163"/>
        <v>1</v>
      </c>
      <c r="BD28" s="4">
        <f t="shared" si="163"/>
        <v>1</v>
      </c>
      <c r="BE28" s="4">
        <f t="shared" si="163"/>
        <v>1</v>
      </c>
      <c r="BF28" s="4">
        <f t="shared" si="163"/>
        <v>1</v>
      </c>
      <c r="BG28" s="4">
        <f t="shared" si="163"/>
        <v>0</v>
      </c>
      <c r="BH28" s="4">
        <f t="shared" si="163"/>
        <v>0</v>
      </c>
      <c r="BI28" s="4">
        <f t="shared" si="163"/>
        <v>0</v>
      </c>
      <c r="BJ28" s="4">
        <f t="shared" si="163"/>
        <v>0</v>
      </c>
      <c r="BK28" s="4">
        <f t="shared" si="11"/>
        <v>5</v>
      </c>
      <c r="BL28" s="1" t="s">
        <v>332</v>
      </c>
      <c r="BM28" s="1" t="s">
        <v>166</v>
      </c>
      <c r="BO28" s="4">
        <f t="shared" ref="BO28:BU28" si="164">IF(ISNUMBER(SEARCH(BO$1,$BN28)), 1, 0)</f>
        <v>0</v>
      </c>
      <c r="BP28" s="4">
        <f t="shared" si="164"/>
        <v>0</v>
      </c>
      <c r="BQ28" s="4">
        <f t="shared" si="164"/>
        <v>0</v>
      </c>
      <c r="BR28" s="4">
        <f t="shared" si="164"/>
        <v>0</v>
      </c>
      <c r="BS28" s="4">
        <f t="shared" si="164"/>
        <v>0</v>
      </c>
      <c r="BT28" s="4">
        <f t="shared" si="164"/>
        <v>0</v>
      </c>
      <c r="BU28" s="4">
        <f t="shared" si="164"/>
        <v>0</v>
      </c>
      <c r="CX28" s="1" t="s">
        <v>320</v>
      </c>
      <c r="CZ28" s="1" t="s">
        <v>333</v>
      </c>
      <c r="DA28" s="1" t="s">
        <v>334</v>
      </c>
      <c r="DB28" s="1" t="s">
        <v>335</v>
      </c>
      <c r="DC28" s="1" t="s">
        <v>238</v>
      </c>
    </row>
    <row r="29" spans="1:107" ht="15.75" customHeight="1" x14ac:dyDescent="0.25">
      <c r="A29" s="1" t="b">
        <v>0</v>
      </c>
      <c r="B29" s="3">
        <v>46153.866793981484</v>
      </c>
      <c r="C29" s="1" t="s">
        <v>336</v>
      </c>
      <c r="D29" s="1" t="s">
        <v>4</v>
      </c>
      <c r="E29" s="4">
        <f t="shared" ref="E29:K29" si="165">IF(ISNUMBER(SEARCH(E$1,$D29)), SEARCH(E$1,$D29), 0)</f>
        <v>1</v>
      </c>
      <c r="F29" s="4">
        <f t="shared" si="165"/>
        <v>0</v>
      </c>
      <c r="G29" s="4">
        <f t="shared" si="165"/>
        <v>0</v>
      </c>
      <c r="H29" s="4">
        <f t="shared" si="165"/>
        <v>0</v>
      </c>
      <c r="I29" s="4">
        <f t="shared" si="165"/>
        <v>0</v>
      </c>
      <c r="J29" s="4">
        <f t="shared" si="165"/>
        <v>0</v>
      </c>
      <c r="K29" s="4">
        <f t="shared" si="165"/>
        <v>0</v>
      </c>
      <c r="L29" s="4">
        <f t="shared" si="1"/>
        <v>1</v>
      </c>
      <c r="N29" s="1" t="s">
        <v>14</v>
      </c>
      <c r="O29" s="4">
        <f t="shared" ref="O29:T29" si="166">IF(ISNUMBER(SEARCH(O$1,$N29)), 1, 0)</f>
        <v>1</v>
      </c>
      <c r="P29" s="4">
        <f t="shared" si="166"/>
        <v>0</v>
      </c>
      <c r="Q29" s="4">
        <f t="shared" si="166"/>
        <v>0</v>
      </c>
      <c r="R29" s="4">
        <f t="shared" si="166"/>
        <v>0</v>
      </c>
      <c r="S29" s="4">
        <f t="shared" si="166"/>
        <v>0</v>
      </c>
      <c r="T29" s="4">
        <f t="shared" si="166"/>
        <v>0</v>
      </c>
      <c r="W29" s="1" t="str">
        <f t="shared" si="130"/>
        <v>False</v>
      </c>
      <c r="X29" s="1" t="str">
        <f t="shared" si="130"/>
        <v>False</v>
      </c>
      <c r="Y29" s="1" t="str">
        <f t="shared" si="130"/>
        <v>False</v>
      </c>
      <c r="Z29" s="1" t="str">
        <f t="shared" si="130"/>
        <v>False</v>
      </c>
      <c r="AA29" s="1" t="str">
        <f t="shared" si="130"/>
        <v>False</v>
      </c>
      <c r="AC29" s="4">
        <f t="shared" ref="AC29:AH29" si="167">IF(ISNUMBER(SEARCH(AC$1,$AB29)), 1, 0)</f>
        <v>0</v>
      </c>
      <c r="AD29" s="4">
        <f t="shared" si="167"/>
        <v>0</v>
      </c>
      <c r="AE29" s="4">
        <f t="shared" si="167"/>
        <v>0</v>
      </c>
      <c r="AF29" s="4">
        <f t="shared" si="167"/>
        <v>0</v>
      </c>
      <c r="AG29" s="4">
        <f t="shared" si="167"/>
        <v>0</v>
      </c>
      <c r="AH29" s="4">
        <f t="shared" si="167"/>
        <v>0</v>
      </c>
      <c r="AI29" s="1">
        <f t="shared" si="5"/>
        <v>0</v>
      </c>
      <c r="AL29" s="4">
        <f t="shared" ref="AL29:AS29" si="168">IF(ISNUMBER(SEARCH(AL$1,$AK29)), 1, 0)</f>
        <v>0</v>
      </c>
      <c r="AM29" s="4">
        <f t="shared" si="168"/>
        <v>0</v>
      </c>
      <c r="AN29" s="4">
        <f t="shared" si="168"/>
        <v>0</v>
      </c>
      <c r="AO29" s="4">
        <f t="shared" si="168"/>
        <v>0</v>
      </c>
      <c r="AP29" s="4">
        <f t="shared" si="168"/>
        <v>0</v>
      </c>
      <c r="AQ29" s="4">
        <f t="shared" si="168"/>
        <v>0</v>
      </c>
      <c r="AR29" s="4">
        <f t="shared" si="168"/>
        <v>0</v>
      </c>
      <c r="AS29" s="4">
        <f t="shared" si="168"/>
        <v>0</v>
      </c>
      <c r="AV29" s="1">
        <f t="shared" si="7"/>
        <v>0</v>
      </c>
      <c r="AW29" s="1">
        <f t="shared" si="8"/>
        <v>0</v>
      </c>
      <c r="AX29" s="1">
        <f t="shared" si="9"/>
        <v>0</v>
      </c>
      <c r="BB29" s="4">
        <f t="shared" ref="BB29:BJ29" si="169">IF(ISNUMBER(SEARCH(BB$1,$BA29)), 1, 0)</f>
        <v>0</v>
      </c>
      <c r="BC29" s="4">
        <f t="shared" si="169"/>
        <v>0</v>
      </c>
      <c r="BD29" s="4">
        <f t="shared" si="169"/>
        <v>0</v>
      </c>
      <c r="BE29" s="4">
        <f t="shared" si="169"/>
        <v>0</v>
      </c>
      <c r="BF29" s="4">
        <f t="shared" si="169"/>
        <v>0</v>
      </c>
      <c r="BG29" s="4">
        <f t="shared" si="169"/>
        <v>0</v>
      </c>
      <c r="BH29" s="4">
        <f t="shared" si="169"/>
        <v>0</v>
      </c>
      <c r="BI29" s="4">
        <f t="shared" si="169"/>
        <v>0</v>
      </c>
      <c r="BJ29" s="4">
        <f t="shared" si="169"/>
        <v>0</v>
      </c>
      <c r="BK29" s="4">
        <f t="shared" si="11"/>
        <v>0</v>
      </c>
      <c r="BO29" s="4">
        <f t="shared" ref="BO29:BU29" si="170">IF(ISNUMBER(SEARCH(BO$1,$BN29)), 1, 0)</f>
        <v>0</v>
      </c>
      <c r="BP29" s="4">
        <f t="shared" si="170"/>
        <v>0</v>
      </c>
      <c r="BQ29" s="4">
        <f t="shared" si="170"/>
        <v>0</v>
      </c>
      <c r="BR29" s="4">
        <f t="shared" si="170"/>
        <v>0</v>
      </c>
      <c r="BS29" s="4">
        <f t="shared" si="170"/>
        <v>0</v>
      </c>
      <c r="BT29" s="4">
        <f t="shared" si="170"/>
        <v>0</v>
      </c>
      <c r="BU29" s="4">
        <f t="shared" si="170"/>
        <v>0</v>
      </c>
    </row>
    <row r="30" spans="1:107" ht="15.75" customHeight="1" x14ac:dyDescent="0.25">
      <c r="A30" s="1" t="b">
        <v>1</v>
      </c>
      <c r="B30" s="3">
        <v>46154.725532407407</v>
      </c>
      <c r="C30" s="1" t="s">
        <v>337</v>
      </c>
      <c r="D30" s="1" t="s">
        <v>338</v>
      </c>
      <c r="E30" s="4">
        <f t="shared" ref="E30:K30" si="171">IF(ISNUMBER(SEARCH(E$1,$D30)), SEARCH(E$1,$D30), 0)</f>
        <v>1</v>
      </c>
      <c r="F30" s="4">
        <f t="shared" si="171"/>
        <v>0</v>
      </c>
      <c r="G30" s="4">
        <f t="shared" si="171"/>
        <v>0</v>
      </c>
      <c r="H30" s="4">
        <f t="shared" si="171"/>
        <v>0</v>
      </c>
      <c r="I30" s="4">
        <f t="shared" si="171"/>
        <v>30</v>
      </c>
      <c r="J30" s="4">
        <f t="shared" si="171"/>
        <v>0</v>
      </c>
      <c r="K30" s="4">
        <f t="shared" si="171"/>
        <v>0</v>
      </c>
      <c r="L30" s="4">
        <f t="shared" si="1"/>
        <v>30</v>
      </c>
      <c r="N30" s="1" t="s">
        <v>328</v>
      </c>
      <c r="O30" s="4">
        <f t="shared" ref="O30:T30" si="172">IF(ISNUMBER(SEARCH(O$1,$N30)), 1, 0)</f>
        <v>1</v>
      </c>
      <c r="P30" s="4">
        <f t="shared" si="172"/>
        <v>1</v>
      </c>
      <c r="Q30" s="4">
        <f t="shared" si="172"/>
        <v>1</v>
      </c>
      <c r="R30" s="4">
        <f t="shared" si="172"/>
        <v>0</v>
      </c>
      <c r="S30" s="4">
        <f t="shared" si="172"/>
        <v>0</v>
      </c>
      <c r="T30" s="4">
        <f t="shared" si="172"/>
        <v>0</v>
      </c>
      <c r="V30" s="1" t="s">
        <v>22</v>
      </c>
      <c r="W30" s="1" t="str">
        <f t="shared" si="130"/>
        <v>True</v>
      </c>
      <c r="X30" s="1" t="str">
        <f t="shared" si="130"/>
        <v>False</v>
      </c>
      <c r="Y30" s="1" t="str">
        <f t="shared" si="130"/>
        <v>False</v>
      </c>
      <c r="Z30" s="1" t="str">
        <f t="shared" si="130"/>
        <v>False</v>
      </c>
      <c r="AA30" s="1" t="str">
        <f t="shared" si="130"/>
        <v>False</v>
      </c>
      <c r="AB30" s="1" t="s">
        <v>33</v>
      </c>
      <c r="AC30" s="4">
        <f t="shared" ref="AC30:AH30" si="173">IF(ISNUMBER(SEARCH(AC$1,$AB30)), 1, 0)</f>
        <v>0</v>
      </c>
      <c r="AD30" s="4">
        <f t="shared" si="173"/>
        <v>0</v>
      </c>
      <c r="AE30" s="4">
        <f t="shared" si="173"/>
        <v>0</v>
      </c>
      <c r="AF30" s="4">
        <f t="shared" si="173"/>
        <v>0</v>
      </c>
      <c r="AG30" s="4">
        <f t="shared" si="173"/>
        <v>0</v>
      </c>
      <c r="AH30" s="4">
        <f t="shared" si="173"/>
        <v>1</v>
      </c>
      <c r="AI30" s="1">
        <f t="shared" si="5"/>
        <v>1</v>
      </c>
      <c r="AK30" s="1" t="s">
        <v>288</v>
      </c>
      <c r="AL30" s="4">
        <f t="shared" ref="AL30:AS30" si="174">IF(ISNUMBER(SEARCH(AL$1,$AK30)), 1, 0)</f>
        <v>0</v>
      </c>
      <c r="AM30" s="4">
        <f t="shared" si="174"/>
        <v>1</v>
      </c>
      <c r="AN30" s="4">
        <f t="shared" si="174"/>
        <v>0</v>
      </c>
      <c r="AO30" s="4">
        <f t="shared" si="174"/>
        <v>1</v>
      </c>
      <c r="AP30" s="4">
        <f t="shared" si="174"/>
        <v>0</v>
      </c>
      <c r="AQ30" s="4">
        <f t="shared" si="174"/>
        <v>0</v>
      </c>
      <c r="AR30" s="4">
        <f t="shared" si="174"/>
        <v>0</v>
      </c>
      <c r="AS30" s="4">
        <f t="shared" si="174"/>
        <v>0</v>
      </c>
      <c r="AU30" s="1" t="s">
        <v>49</v>
      </c>
      <c r="AV30" s="1">
        <f t="shared" si="7"/>
        <v>0</v>
      </c>
      <c r="AW30" s="1">
        <f t="shared" si="8"/>
        <v>0</v>
      </c>
      <c r="AX30" s="1">
        <f t="shared" si="9"/>
        <v>1</v>
      </c>
      <c r="AY30" s="1" t="s">
        <v>48</v>
      </c>
      <c r="BA30" s="1" t="s">
        <v>339</v>
      </c>
      <c r="BB30" s="4">
        <f t="shared" ref="BB30:BJ30" si="175">IF(ISNUMBER(SEARCH(BB$1,$BA30)), 1, 0)</f>
        <v>0</v>
      </c>
      <c r="BC30" s="4">
        <f t="shared" si="175"/>
        <v>1</v>
      </c>
      <c r="BD30" s="4">
        <f t="shared" si="175"/>
        <v>1</v>
      </c>
      <c r="BE30" s="4">
        <f t="shared" si="175"/>
        <v>1</v>
      </c>
      <c r="BF30" s="4">
        <f t="shared" si="175"/>
        <v>0</v>
      </c>
      <c r="BG30" s="4">
        <f t="shared" si="175"/>
        <v>1</v>
      </c>
      <c r="BH30" s="4">
        <f t="shared" si="175"/>
        <v>0</v>
      </c>
      <c r="BI30" s="4">
        <f t="shared" si="175"/>
        <v>0</v>
      </c>
      <c r="BJ30" s="4">
        <f t="shared" si="175"/>
        <v>1</v>
      </c>
      <c r="BK30" s="4">
        <f t="shared" si="11"/>
        <v>5</v>
      </c>
      <c r="BM30" s="1" t="s">
        <v>166</v>
      </c>
      <c r="BN30" s="1" t="s">
        <v>340</v>
      </c>
      <c r="BO30" s="4">
        <f t="shared" ref="BO30:BU30" si="176">IF(ISNUMBER(SEARCH(BO$1,$BN30)), 1, 0)</f>
        <v>1</v>
      </c>
      <c r="BP30" s="4">
        <f t="shared" si="176"/>
        <v>1</v>
      </c>
      <c r="BQ30" s="4">
        <f t="shared" si="176"/>
        <v>0</v>
      </c>
      <c r="BR30" s="4">
        <f t="shared" si="176"/>
        <v>0</v>
      </c>
      <c r="BS30" s="4">
        <f t="shared" si="176"/>
        <v>0</v>
      </c>
      <c r="BT30" s="4">
        <f t="shared" si="176"/>
        <v>0</v>
      </c>
      <c r="BU30" s="4">
        <f t="shared" si="176"/>
        <v>0</v>
      </c>
      <c r="CH30" s="1" t="s">
        <v>341</v>
      </c>
      <c r="CJ30" s="1" t="s">
        <v>342</v>
      </c>
      <c r="CL30" s="1" t="s">
        <v>177</v>
      </c>
      <c r="DC30" s="1" t="s">
        <v>238</v>
      </c>
    </row>
    <row r="31" spans="1:107" ht="15.75" customHeight="1" x14ac:dyDescent="0.25">
      <c r="A31" s="1" t="b">
        <v>1</v>
      </c>
      <c r="B31" s="3">
        <v>46154.916574074072</v>
      </c>
      <c r="C31" s="1" t="s">
        <v>343</v>
      </c>
      <c r="D31" s="1" t="s">
        <v>344</v>
      </c>
      <c r="E31" s="4">
        <f t="shared" ref="E31:K31" si="177">IF(ISNUMBER(SEARCH(E$1,$D31)), SEARCH(E$1,$D31), 0)</f>
        <v>1</v>
      </c>
      <c r="F31" s="4">
        <f t="shared" si="177"/>
        <v>30</v>
      </c>
      <c r="G31" s="4">
        <f t="shared" si="177"/>
        <v>0</v>
      </c>
      <c r="H31" s="4">
        <f t="shared" si="177"/>
        <v>0</v>
      </c>
      <c r="I31" s="4">
        <f t="shared" si="177"/>
        <v>105</v>
      </c>
      <c r="J31" s="4">
        <f t="shared" si="177"/>
        <v>137</v>
      </c>
      <c r="K31" s="4">
        <f t="shared" si="177"/>
        <v>0</v>
      </c>
      <c r="L31" s="4">
        <f t="shared" si="1"/>
        <v>137</v>
      </c>
      <c r="N31" s="1" t="s">
        <v>328</v>
      </c>
      <c r="O31" s="4">
        <f t="shared" ref="O31:T31" si="178">IF(ISNUMBER(SEARCH(O$1,$N31)), 1, 0)</f>
        <v>1</v>
      </c>
      <c r="P31" s="4">
        <f t="shared" si="178"/>
        <v>1</v>
      </c>
      <c r="Q31" s="4">
        <f t="shared" si="178"/>
        <v>1</v>
      </c>
      <c r="R31" s="4">
        <f t="shared" si="178"/>
        <v>0</v>
      </c>
      <c r="S31" s="4">
        <f t="shared" si="178"/>
        <v>0</v>
      </c>
      <c r="T31" s="4">
        <f t="shared" si="178"/>
        <v>0</v>
      </c>
      <c r="V31" s="1" t="s">
        <v>23</v>
      </c>
      <c r="W31" s="1" t="str">
        <f t="shared" si="130"/>
        <v>False</v>
      </c>
      <c r="X31" s="1" t="str">
        <f t="shared" si="130"/>
        <v>True</v>
      </c>
      <c r="Y31" s="1" t="str">
        <f t="shared" si="130"/>
        <v>False</v>
      </c>
      <c r="Z31" s="1" t="str">
        <f t="shared" si="130"/>
        <v>False</v>
      </c>
      <c r="AA31" s="1" t="str">
        <f t="shared" si="130"/>
        <v>False</v>
      </c>
      <c r="AB31" s="1" t="s">
        <v>183</v>
      </c>
      <c r="AC31" s="4">
        <f t="shared" ref="AC31:AH31" si="179">IF(ISNUMBER(SEARCH(AC$1,$AB31)), 1, 0)</f>
        <v>0</v>
      </c>
      <c r="AD31" s="4">
        <f t="shared" si="179"/>
        <v>0</v>
      </c>
      <c r="AE31" s="4">
        <f t="shared" si="179"/>
        <v>0</v>
      </c>
      <c r="AF31" s="4">
        <f t="shared" si="179"/>
        <v>0</v>
      </c>
      <c r="AG31" s="4">
        <f t="shared" si="179"/>
        <v>0</v>
      </c>
      <c r="AH31" s="4">
        <f t="shared" si="179"/>
        <v>0</v>
      </c>
      <c r="AI31" s="1">
        <f t="shared" si="5"/>
        <v>0</v>
      </c>
      <c r="AJ31" s="1" t="s">
        <v>345</v>
      </c>
      <c r="AK31" s="1" t="s">
        <v>346</v>
      </c>
      <c r="AL31" s="4">
        <f t="shared" ref="AL31:AS31" si="180">IF(ISNUMBER(SEARCH(AL$1,$AK31)), 1, 0)</f>
        <v>0</v>
      </c>
      <c r="AM31" s="4">
        <f t="shared" si="180"/>
        <v>1</v>
      </c>
      <c r="AN31" s="4">
        <f t="shared" si="180"/>
        <v>1</v>
      </c>
      <c r="AO31" s="4">
        <f t="shared" si="180"/>
        <v>1</v>
      </c>
      <c r="AP31" s="4">
        <f t="shared" si="180"/>
        <v>0</v>
      </c>
      <c r="AQ31" s="4">
        <f t="shared" si="180"/>
        <v>0</v>
      </c>
      <c r="AR31" s="4">
        <f t="shared" si="180"/>
        <v>0</v>
      </c>
      <c r="AS31" s="4">
        <f t="shared" si="180"/>
        <v>0</v>
      </c>
      <c r="AU31" s="1" t="s">
        <v>47</v>
      </c>
      <c r="AV31" s="1">
        <f t="shared" si="7"/>
        <v>1</v>
      </c>
      <c r="AW31" s="1">
        <f t="shared" si="8"/>
        <v>0</v>
      </c>
      <c r="AX31" s="1">
        <f t="shared" si="9"/>
        <v>0</v>
      </c>
      <c r="AY31" s="1" t="s">
        <v>48</v>
      </c>
      <c r="BA31" s="1" t="s">
        <v>347</v>
      </c>
      <c r="BB31" s="4">
        <f t="shared" ref="BB31:BJ31" si="181">IF(ISNUMBER(SEARCH(BB$1,$BA31)), 1, 0)</f>
        <v>1</v>
      </c>
      <c r="BC31" s="4">
        <f t="shared" si="181"/>
        <v>0</v>
      </c>
      <c r="BD31" s="4">
        <f t="shared" si="181"/>
        <v>0</v>
      </c>
      <c r="BE31" s="4">
        <f t="shared" si="181"/>
        <v>0</v>
      </c>
      <c r="BF31" s="4">
        <f t="shared" si="181"/>
        <v>1</v>
      </c>
      <c r="BG31" s="4">
        <f t="shared" si="181"/>
        <v>0</v>
      </c>
      <c r="BH31" s="4">
        <f t="shared" si="181"/>
        <v>0</v>
      </c>
      <c r="BI31" s="4">
        <f t="shared" si="181"/>
        <v>0</v>
      </c>
      <c r="BJ31" s="4">
        <f t="shared" si="181"/>
        <v>1</v>
      </c>
      <c r="BK31" s="4">
        <f t="shared" si="11"/>
        <v>3</v>
      </c>
      <c r="BM31" s="1" t="s">
        <v>166</v>
      </c>
      <c r="BN31" s="1" t="s">
        <v>348</v>
      </c>
      <c r="BO31" s="4">
        <f t="shared" ref="BO31:BU31" si="182">IF(ISNUMBER(SEARCH(BO$1,$BN31)), 1, 0)</f>
        <v>0</v>
      </c>
      <c r="BP31" s="4">
        <f t="shared" si="182"/>
        <v>0</v>
      </c>
      <c r="BQ31" s="4">
        <f t="shared" si="182"/>
        <v>0</v>
      </c>
      <c r="BR31" s="4">
        <f t="shared" si="182"/>
        <v>0</v>
      </c>
      <c r="BS31" s="4">
        <f t="shared" si="182"/>
        <v>0</v>
      </c>
      <c r="BT31" s="4">
        <f t="shared" si="182"/>
        <v>1</v>
      </c>
      <c r="BU31" s="4">
        <f t="shared" si="182"/>
        <v>0</v>
      </c>
      <c r="BV31" s="1" t="s">
        <v>349</v>
      </c>
      <c r="CH31" s="1" t="s">
        <v>350</v>
      </c>
      <c r="CI31" s="1" t="s">
        <v>351</v>
      </c>
      <c r="CL31" s="1" t="s">
        <v>352</v>
      </c>
      <c r="CX31" s="1" t="s">
        <v>353</v>
      </c>
      <c r="CZ31" s="1" t="s">
        <v>354</v>
      </c>
      <c r="DB31" s="1" t="s">
        <v>355</v>
      </c>
      <c r="DC31" s="1" t="s">
        <v>180</v>
      </c>
    </row>
    <row r="32" spans="1:107" ht="15.75" customHeight="1" x14ac:dyDescent="0.25">
      <c r="A32" s="1" t="b">
        <v>1</v>
      </c>
      <c r="B32" s="3">
        <v>46155.312210648146</v>
      </c>
      <c r="C32" s="1" t="s">
        <v>356</v>
      </c>
      <c r="D32" s="1" t="s">
        <v>338</v>
      </c>
      <c r="E32" s="4">
        <f t="shared" ref="E32:K32" si="183">IF(ISNUMBER(SEARCH(E$1,$D32)), SEARCH(E$1,$D32), 0)</f>
        <v>1</v>
      </c>
      <c r="F32" s="4">
        <f t="shared" si="183"/>
        <v>0</v>
      </c>
      <c r="G32" s="4">
        <f t="shared" si="183"/>
        <v>0</v>
      </c>
      <c r="H32" s="4">
        <f t="shared" si="183"/>
        <v>0</v>
      </c>
      <c r="I32" s="4">
        <f t="shared" si="183"/>
        <v>30</v>
      </c>
      <c r="J32" s="4">
        <f t="shared" si="183"/>
        <v>0</v>
      </c>
      <c r="K32" s="4">
        <f t="shared" si="183"/>
        <v>0</v>
      </c>
      <c r="L32" s="4">
        <f t="shared" si="1"/>
        <v>30</v>
      </c>
      <c r="N32" s="1" t="s">
        <v>323</v>
      </c>
      <c r="O32" s="4">
        <f t="shared" ref="O32:T32" si="184">IF(ISNUMBER(SEARCH(O$1,$N32)), 1, 0)</f>
        <v>1</v>
      </c>
      <c r="P32" s="4">
        <f t="shared" si="184"/>
        <v>1</v>
      </c>
      <c r="Q32" s="4">
        <f t="shared" si="184"/>
        <v>1</v>
      </c>
      <c r="R32" s="4">
        <f t="shared" si="184"/>
        <v>1</v>
      </c>
      <c r="S32" s="4">
        <f t="shared" si="184"/>
        <v>0</v>
      </c>
      <c r="T32" s="4">
        <f t="shared" si="184"/>
        <v>1</v>
      </c>
      <c r="V32" s="1" t="s">
        <v>23</v>
      </c>
      <c r="W32" s="1" t="str">
        <f t="shared" si="130"/>
        <v>False</v>
      </c>
      <c r="X32" s="1" t="str">
        <f t="shared" si="130"/>
        <v>True</v>
      </c>
      <c r="Y32" s="1" t="str">
        <f t="shared" si="130"/>
        <v>False</v>
      </c>
      <c r="Z32" s="1" t="str">
        <f t="shared" si="130"/>
        <v>False</v>
      </c>
      <c r="AA32" s="1" t="str">
        <f t="shared" si="130"/>
        <v>False</v>
      </c>
      <c r="AB32" s="1" t="s">
        <v>357</v>
      </c>
      <c r="AC32" s="4">
        <f t="shared" ref="AC32:AH32" si="185">IF(ISNUMBER(SEARCH(AC$1,$AB32)), 1, 0)</f>
        <v>1</v>
      </c>
      <c r="AD32" s="4">
        <f t="shared" si="185"/>
        <v>0</v>
      </c>
      <c r="AE32" s="4">
        <f t="shared" si="185"/>
        <v>0</v>
      </c>
      <c r="AF32" s="4">
        <f t="shared" si="185"/>
        <v>0</v>
      </c>
      <c r="AG32" s="4">
        <f t="shared" si="185"/>
        <v>0</v>
      </c>
      <c r="AH32" s="4">
        <f t="shared" si="185"/>
        <v>1</v>
      </c>
      <c r="AI32" s="1">
        <f t="shared" si="5"/>
        <v>2</v>
      </c>
      <c r="AK32" s="1" t="s">
        <v>189</v>
      </c>
      <c r="AL32" s="4">
        <f t="shared" ref="AL32:AS32" si="186">IF(ISNUMBER(SEARCH(AL$1,$AK32)), 1, 0)</f>
        <v>1</v>
      </c>
      <c r="AM32" s="4">
        <f t="shared" si="186"/>
        <v>1</v>
      </c>
      <c r="AN32" s="4">
        <f t="shared" si="186"/>
        <v>1</v>
      </c>
      <c r="AO32" s="4">
        <f t="shared" si="186"/>
        <v>1</v>
      </c>
      <c r="AP32" s="4">
        <f t="shared" si="186"/>
        <v>0</v>
      </c>
      <c r="AQ32" s="4">
        <f t="shared" si="186"/>
        <v>1</v>
      </c>
      <c r="AR32" s="4">
        <f t="shared" si="186"/>
        <v>0</v>
      </c>
      <c r="AS32" s="4">
        <f t="shared" si="186"/>
        <v>0</v>
      </c>
      <c r="AU32" s="1" t="s">
        <v>47</v>
      </c>
      <c r="AV32" s="1">
        <f t="shared" si="7"/>
        <v>1</v>
      </c>
      <c r="AW32" s="1">
        <f t="shared" si="8"/>
        <v>0</v>
      </c>
      <c r="AX32" s="1">
        <f t="shared" si="9"/>
        <v>0</v>
      </c>
      <c r="AY32" s="1" t="s">
        <v>48</v>
      </c>
      <c r="BA32" s="1" t="s">
        <v>358</v>
      </c>
      <c r="BB32" s="4">
        <f t="shared" ref="BB32:BJ32" si="187">IF(ISNUMBER(SEARCH(BB$1,$BA32)), 1, 0)</f>
        <v>1</v>
      </c>
      <c r="BC32" s="4">
        <f t="shared" si="187"/>
        <v>1</v>
      </c>
      <c r="BD32" s="4">
        <f t="shared" si="187"/>
        <v>1</v>
      </c>
      <c r="BE32" s="4">
        <f t="shared" si="187"/>
        <v>1</v>
      </c>
      <c r="BF32" s="4">
        <f t="shared" si="187"/>
        <v>1</v>
      </c>
      <c r="BG32" s="4">
        <f t="shared" si="187"/>
        <v>0</v>
      </c>
      <c r="BH32" s="4">
        <f t="shared" si="187"/>
        <v>0</v>
      </c>
      <c r="BI32" s="4">
        <f t="shared" si="187"/>
        <v>1</v>
      </c>
      <c r="BJ32" s="4">
        <f t="shared" si="187"/>
        <v>1</v>
      </c>
      <c r="BK32" s="4">
        <f t="shared" si="11"/>
        <v>7</v>
      </c>
      <c r="BM32" s="1" t="s">
        <v>232</v>
      </c>
      <c r="BN32" s="1" t="s">
        <v>359</v>
      </c>
      <c r="BO32" s="4">
        <f t="shared" ref="BO32:BU32" si="188">IF(ISNUMBER(SEARCH(BO$1,$BN32)), 1, 0)</f>
        <v>0</v>
      </c>
      <c r="BP32" s="4">
        <f t="shared" si="188"/>
        <v>0</v>
      </c>
      <c r="BQ32" s="4">
        <f t="shared" si="188"/>
        <v>1</v>
      </c>
      <c r="BR32" s="4">
        <f t="shared" si="188"/>
        <v>1</v>
      </c>
      <c r="BS32" s="4">
        <f t="shared" si="188"/>
        <v>1</v>
      </c>
      <c r="BT32" s="4">
        <f t="shared" si="188"/>
        <v>0</v>
      </c>
      <c r="BU32" s="4">
        <f t="shared" si="188"/>
        <v>1</v>
      </c>
      <c r="CH32" s="1" t="s">
        <v>360</v>
      </c>
      <c r="CI32" s="1" t="s">
        <v>361</v>
      </c>
      <c r="CJ32" s="1" t="s">
        <v>175</v>
      </c>
      <c r="CK32" s="1" t="s">
        <v>362</v>
      </c>
      <c r="CL32" s="1" t="s">
        <v>352</v>
      </c>
    </row>
    <row r="33" spans="1:107" ht="15.75" customHeight="1" x14ac:dyDescent="0.25">
      <c r="A33" s="1" t="b">
        <v>0</v>
      </c>
      <c r="B33" s="3">
        <v>46155.403379629628</v>
      </c>
      <c r="C33" s="1" t="s">
        <v>363</v>
      </c>
      <c r="D33" s="1" t="s">
        <v>364</v>
      </c>
      <c r="E33" s="4">
        <f t="shared" ref="E33:K33" si="189">IF(ISNUMBER(SEARCH(E$1,$D33)), SEARCH(E$1,$D33), 0)</f>
        <v>0</v>
      </c>
      <c r="F33" s="4">
        <f t="shared" si="189"/>
        <v>1</v>
      </c>
      <c r="G33" s="4">
        <f t="shared" si="189"/>
        <v>76</v>
      </c>
      <c r="H33" s="4">
        <f t="shared" si="189"/>
        <v>0</v>
      </c>
      <c r="I33" s="4">
        <f t="shared" si="189"/>
        <v>0</v>
      </c>
      <c r="J33" s="4">
        <f t="shared" si="189"/>
        <v>0</v>
      </c>
      <c r="K33" s="4">
        <f t="shared" si="189"/>
        <v>132</v>
      </c>
      <c r="L33" s="4">
        <f t="shared" si="1"/>
        <v>132</v>
      </c>
      <c r="N33" s="1" t="s">
        <v>187</v>
      </c>
      <c r="O33" s="4">
        <f t="shared" ref="O33:T33" si="190">IF(ISNUMBER(SEARCH(O$1,$N33)), 1, 0)</f>
        <v>1</v>
      </c>
      <c r="P33" s="4">
        <f t="shared" si="190"/>
        <v>1</v>
      </c>
      <c r="Q33" s="4">
        <f t="shared" si="190"/>
        <v>1</v>
      </c>
      <c r="R33" s="4">
        <f t="shared" si="190"/>
        <v>1</v>
      </c>
      <c r="S33" s="4">
        <f t="shared" si="190"/>
        <v>1</v>
      </c>
      <c r="T33" s="4">
        <f t="shared" si="190"/>
        <v>1</v>
      </c>
      <c r="W33" s="1" t="str">
        <f t="shared" ref="W33:AA42" si="191">IF(W$1=$V33, "True", "False")</f>
        <v>False</v>
      </c>
      <c r="X33" s="1" t="str">
        <f t="shared" si="191"/>
        <v>False</v>
      </c>
      <c r="Y33" s="1" t="str">
        <f t="shared" si="191"/>
        <v>False</v>
      </c>
      <c r="Z33" s="1" t="str">
        <f t="shared" si="191"/>
        <v>False</v>
      </c>
      <c r="AA33" s="1" t="str">
        <f t="shared" si="191"/>
        <v>False</v>
      </c>
      <c r="AB33" s="1" t="s">
        <v>31</v>
      </c>
      <c r="AC33" s="4">
        <f t="shared" ref="AC33:AH33" si="192">IF(ISNUMBER(SEARCH(AC$1,$AB33)), 1, 0)</f>
        <v>0</v>
      </c>
      <c r="AD33" s="4">
        <f t="shared" si="192"/>
        <v>0</v>
      </c>
      <c r="AE33" s="4">
        <f t="shared" si="192"/>
        <v>0</v>
      </c>
      <c r="AF33" s="4">
        <f t="shared" si="192"/>
        <v>1</v>
      </c>
      <c r="AG33" s="4">
        <f t="shared" si="192"/>
        <v>0</v>
      </c>
      <c r="AH33" s="4">
        <f t="shared" si="192"/>
        <v>0</v>
      </c>
      <c r="AI33" s="1">
        <f t="shared" si="5"/>
        <v>1</v>
      </c>
      <c r="AK33" s="1" t="s">
        <v>365</v>
      </c>
      <c r="AL33" s="4">
        <f t="shared" ref="AL33:AS33" si="193">IF(ISNUMBER(SEARCH(AL$1,$AK33)), 1, 0)</f>
        <v>1</v>
      </c>
      <c r="AM33" s="4">
        <f t="shared" si="193"/>
        <v>1</v>
      </c>
      <c r="AN33" s="4">
        <f t="shared" si="193"/>
        <v>1</v>
      </c>
      <c r="AO33" s="4">
        <f t="shared" si="193"/>
        <v>1</v>
      </c>
      <c r="AP33" s="4">
        <f t="shared" si="193"/>
        <v>1</v>
      </c>
      <c r="AQ33" s="4">
        <f t="shared" si="193"/>
        <v>1</v>
      </c>
      <c r="AR33" s="4">
        <f t="shared" si="193"/>
        <v>1</v>
      </c>
      <c r="AS33" s="4">
        <f t="shared" si="193"/>
        <v>1</v>
      </c>
      <c r="AU33" s="1" t="s">
        <v>47</v>
      </c>
      <c r="AV33" s="1">
        <f t="shared" si="7"/>
        <v>1</v>
      </c>
      <c r="AW33" s="1">
        <f t="shared" si="8"/>
        <v>0</v>
      </c>
      <c r="AX33" s="1">
        <f t="shared" si="9"/>
        <v>0</v>
      </c>
      <c r="AY33" s="1" t="s">
        <v>47</v>
      </c>
      <c r="AZ33" s="1" t="s">
        <v>48</v>
      </c>
      <c r="BA33" s="1" t="s">
        <v>165</v>
      </c>
      <c r="BB33" s="4">
        <f t="shared" ref="BB33:BJ33" si="194">IF(ISNUMBER(SEARCH(BB$1,$BA33)), 1, 0)</f>
        <v>1</v>
      </c>
      <c r="BC33" s="4">
        <f t="shared" si="194"/>
        <v>1</v>
      </c>
      <c r="BD33" s="4">
        <f t="shared" si="194"/>
        <v>1</v>
      </c>
      <c r="BE33" s="4">
        <f t="shared" si="194"/>
        <v>1</v>
      </c>
      <c r="BF33" s="4">
        <f t="shared" si="194"/>
        <v>1</v>
      </c>
      <c r="BG33" s="4">
        <f t="shared" si="194"/>
        <v>1</v>
      </c>
      <c r="BH33" s="4">
        <f t="shared" si="194"/>
        <v>1</v>
      </c>
      <c r="BI33" s="4">
        <f t="shared" si="194"/>
        <v>1</v>
      </c>
      <c r="BJ33" s="4">
        <f t="shared" si="194"/>
        <v>1</v>
      </c>
      <c r="BK33" s="4">
        <f t="shared" si="11"/>
        <v>9</v>
      </c>
      <c r="BO33" s="4">
        <f t="shared" ref="BO33:BU33" si="195">IF(ISNUMBER(SEARCH(BO$1,$BN33)), 1, 0)</f>
        <v>0</v>
      </c>
      <c r="BP33" s="4">
        <f t="shared" si="195"/>
        <v>0</v>
      </c>
      <c r="BQ33" s="4">
        <f t="shared" si="195"/>
        <v>0</v>
      </c>
      <c r="BR33" s="4">
        <f t="shared" si="195"/>
        <v>0</v>
      </c>
      <c r="BS33" s="4">
        <f t="shared" si="195"/>
        <v>0</v>
      </c>
      <c r="BT33" s="4">
        <f t="shared" si="195"/>
        <v>0</v>
      </c>
      <c r="BU33" s="4">
        <f t="shared" si="195"/>
        <v>0</v>
      </c>
    </row>
    <row r="34" spans="1:107" ht="15.75" customHeight="1" x14ac:dyDescent="0.25">
      <c r="A34" s="1" t="b">
        <v>1</v>
      </c>
      <c r="B34" s="3">
        <v>46155.428888888891</v>
      </c>
      <c r="C34" s="1" t="s">
        <v>366</v>
      </c>
      <c r="D34" s="1" t="s">
        <v>5</v>
      </c>
      <c r="E34" s="4">
        <f t="shared" ref="E34:K34" si="196">IF(ISNUMBER(SEARCH(E$1,$D34)), SEARCH(E$1,$D34), 0)</f>
        <v>0</v>
      </c>
      <c r="F34" s="4">
        <f t="shared" si="196"/>
        <v>1</v>
      </c>
      <c r="G34" s="4">
        <f t="shared" si="196"/>
        <v>0</v>
      </c>
      <c r="H34" s="4">
        <f t="shared" si="196"/>
        <v>0</v>
      </c>
      <c r="I34" s="4">
        <f t="shared" si="196"/>
        <v>0</v>
      </c>
      <c r="J34" s="4">
        <f t="shared" si="196"/>
        <v>0</v>
      </c>
      <c r="K34" s="4">
        <f t="shared" si="196"/>
        <v>0</v>
      </c>
      <c r="L34" s="4">
        <f t="shared" si="1"/>
        <v>1</v>
      </c>
      <c r="N34" s="1" t="s">
        <v>367</v>
      </c>
      <c r="O34" s="4">
        <f t="shared" ref="O34:T34" si="197">IF(ISNUMBER(SEARCH(O$1,$N34)), 1, 0)</f>
        <v>1</v>
      </c>
      <c r="P34" s="4">
        <f t="shared" si="197"/>
        <v>1</v>
      </c>
      <c r="Q34" s="4">
        <f t="shared" si="197"/>
        <v>1</v>
      </c>
      <c r="R34" s="4">
        <f t="shared" si="197"/>
        <v>1</v>
      </c>
      <c r="S34" s="4">
        <f t="shared" si="197"/>
        <v>0</v>
      </c>
      <c r="T34" s="4">
        <f t="shared" si="197"/>
        <v>0</v>
      </c>
      <c r="U34" s="1" t="s">
        <v>368</v>
      </c>
      <c r="V34" s="1" t="s">
        <v>23</v>
      </c>
      <c r="W34" s="1" t="str">
        <f t="shared" si="191"/>
        <v>False</v>
      </c>
      <c r="X34" s="1" t="str">
        <f t="shared" si="191"/>
        <v>True</v>
      </c>
      <c r="Y34" s="1" t="str">
        <f t="shared" si="191"/>
        <v>False</v>
      </c>
      <c r="Z34" s="1" t="str">
        <f t="shared" si="191"/>
        <v>False</v>
      </c>
      <c r="AA34" s="1" t="str">
        <f t="shared" si="191"/>
        <v>False</v>
      </c>
      <c r="AB34" s="1" t="s">
        <v>28</v>
      </c>
      <c r="AC34" s="4">
        <f t="shared" ref="AC34:AH34" si="198">IF(ISNUMBER(SEARCH(AC$1,$AB34)), 1, 0)</f>
        <v>1</v>
      </c>
      <c r="AD34" s="4">
        <f t="shared" si="198"/>
        <v>0</v>
      </c>
      <c r="AE34" s="4">
        <f t="shared" si="198"/>
        <v>0</v>
      </c>
      <c r="AF34" s="4">
        <f t="shared" si="198"/>
        <v>0</v>
      </c>
      <c r="AG34" s="4">
        <f t="shared" si="198"/>
        <v>0</v>
      </c>
      <c r="AH34" s="4">
        <f t="shared" si="198"/>
        <v>0</v>
      </c>
      <c r="AI34" s="1">
        <f t="shared" si="5"/>
        <v>1</v>
      </c>
      <c r="AK34" s="1" t="s">
        <v>369</v>
      </c>
      <c r="AL34" s="4">
        <f t="shared" ref="AL34:AS34" si="199">IF(ISNUMBER(SEARCH(AL$1,$AK34)), 1, 0)</f>
        <v>0</v>
      </c>
      <c r="AM34" s="4">
        <f t="shared" si="199"/>
        <v>1</v>
      </c>
      <c r="AN34" s="4">
        <f t="shared" si="199"/>
        <v>0</v>
      </c>
      <c r="AO34" s="4">
        <f t="shared" si="199"/>
        <v>1</v>
      </c>
      <c r="AP34" s="4">
        <f t="shared" si="199"/>
        <v>0</v>
      </c>
      <c r="AQ34" s="4">
        <f t="shared" si="199"/>
        <v>1</v>
      </c>
      <c r="AR34" s="4">
        <f t="shared" si="199"/>
        <v>0</v>
      </c>
      <c r="AS34" s="4">
        <f t="shared" si="199"/>
        <v>0</v>
      </c>
      <c r="AT34" s="1" t="s">
        <v>370</v>
      </c>
      <c r="AU34" s="1" t="s">
        <v>47</v>
      </c>
      <c r="AV34" s="1">
        <f t="shared" si="7"/>
        <v>1</v>
      </c>
      <c r="AW34" s="1">
        <f t="shared" si="8"/>
        <v>0</v>
      </c>
      <c r="AX34" s="1">
        <f t="shared" si="9"/>
        <v>0</v>
      </c>
      <c r="AY34" s="1" t="s">
        <v>48</v>
      </c>
      <c r="BA34" s="1" t="s">
        <v>371</v>
      </c>
      <c r="BB34" s="4">
        <f t="shared" ref="BB34:BJ34" si="200">IF(ISNUMBER(SEARCH(BB$1,$BA34)), 1, 0)</f>
        <v>1</v>
      </c>
      <c r="BC34" s="4">
        <f t="shared" si="200"/>
        <v>1</v>
      </c>
      <c r="BD34" s="4">
        <f t="shared" si="200"/>
        <v>1</v>
      </c>
      <c r="BE34" s="4">
        <f t="shared" si="200"/>
        <v>0</v>
      </c>
      <c r="BF34" s="4">
        <f t="shared" si="200"/>
        <v>1</v>
      </c>
      <c r="BG34" s="4">
        <f t="shared" si="200"/>
        <v>1</v>
      </c>
      <c r="BH34" s="4">
        <f t="shared" si="200"/>
        <v>0</v>
      </c>
      <c r="BI34" s="4">
        <f t="shared" si="200"/>
        <v>0</v>
      </c>
      <c r="BJ34" s="4">
        <f t="shared" si="200"/>
        <v>1</v>
      </c>
      <c r="BK34" s="4">
        <f t="shared" si="11"/>
        <v>6</v>
      </c>
      <c r="BM34" s="1" t="s">
        <v>190</v>
      </c>
      <c r="BN34" s="1" t="s">
        <v>372</v>
      </c>
      <c r="BO34" s="4">
        <f t="shared" ref="BO34:BU34" si="201">IF(ISNUMBER(SEARCH(BO$1,$BN34)), 1, 0)</f>
        <v>0</v>
      </c>
      <c r="BP34" s="4">
        <f t="shared" si="201"/>
        <v>0</v>
      </c>
      <c r="BQ34" s="4">
        <f t="shared" si="201"/>
        <v>0</v>
      </c>
      <c r="BR34" s="4">
        <f t="shared" si="201"/>
        <v>0</v>
      </c>
      <c r="BS34" s="4">
        <f t="shared" si="201"/>
        <v>0</v>
      </c>
      <c r="BT34" s="4">
        <f t="shared" si="201"/>
        <v>1</v>
      </c>
      <c r="BU34" s="4">
        <f t="shared" si="201"/>
        <v>1</v>
      </c>
      <c r="CX34" s="1" t="s">
        <v>373</v>
      </c>
      <c r="CZ34" s="1" t="s">
        <v>374</v>
      </c>
      <c r="DB34" s="1" t="s">
        <v>375</v>
      </c>
      <c r="DC34" s="1" t="s">
        <v>238</v>
      </c>
    </row>
    <row r="35" spans="1:107" ht="15.75" customHeight="1" x14ac:dyDescent="0.25">
      <c r="A35" s="1" t="b">
        <v>0</v>
      </c>
      <c r="B35" s="3">
        <v>46156.245937500003</v>
      </c>
      <c r="C35" s="1" t="s">
        <v>376</v>
      </c>
      <c r="D35" s="1" t="s">
        <v>4</v>
      </c>
      <c r="E35" s="4">
        <f t="shared" ref="E35:K35" si="202">IF(ISNUMBER(SEARCH(E$1,$D35)), SEARCH(E$1,$D35), 0)</f>
        <v>1</v>
      </c>
      <c r="F35" s="4">
        <f t="shared" si="202"/>
        <v>0</v>
      </c>
      <c r="G35" s="4">
        <f t="shared" si="202"/>
        <v>0</v>
      </c>
      <c r="H35" s="4">
        <f t="shared" si="202"/>
        <v>0</v>
      </c>
      <c r="I35" s="4">
        <f t="shared" si="202"/>
        <v>0</v>
      </c>
      <c r="J35" s="4">
        <f t="shared" si="202"/>
        <v>0</v>
      </c>
      <c r="K35" s="4">
        <f t="shared" si="202"/>
        <v>0</v>
      </c>
      <c r="L35" s="4">
        <f t="shared" si="1"/>
        <v>1</v>
      </c>
      <c r="N35" s="1" t="s">
        <v>316</v>
      </c>
      <c r="O35" s="4">
        <f t="shared" ref="O35:T35" si="203">IF(ISNUMBER(SEARCH(O$1,$N35)), 1, 0)</f>
        <v>1</v>
      </c>
      <c r="P35" s="4">
        <f t="shared" si="203"/>
        <v>0</v>
      </c>
      <c r="Q35" s="4">
        <f t="shared" si="203"/>
        <v>1</v>
      </c>
      <c r="R35" s="4">
        <f t="shared" si="203"/>
        <v>0</v>
      </c>
      <c r="S35" s="4">
        <f t="shared" si="203"/>
        <v>0</v>
      </c>
      <c r="T35" s="4">
        <f t="shared" si="203"/>
        <v>0</v>
      </c>
      <c r="W35" s="1" t="str">
        <f t="shared" si="191"/>
        <v>False</v>
      </c>
      <c r="X35" s="1" t="str">
        <f t="shared" si="191"/>
        <v>False</v>
      </c>
      <c r="Y35" s="1" t="str">
        <f t="shared" si="191"/>
        <v>False</v>
      </c>
      <c r="Z35" s="1" t="str">
        <f t="shared" si="191"/>
        <v>False</v>
      </c>
      <c r="AA35" s="1" t="str">
        <f t="shared" si="191"/>
        <v>False</v>
      </c>
      <c r="AC35" s="4">
        <f t="shared" ref="AC35:AH35" si="204">IF(ISNUMBER(SEARCH(AC$1,$AB35)), 1, 0)</f>
        <v>0</v>
      </c>
      <c r="AD35" s="4">
        <f t="shared" si="204"/>
        <v>0</v>
      </c>
      <c r="AE35" s="4">
        <f t="shared" si="204"/>
        <v>0</v>
      </c>
      <c r="AF35" s="4">
        <f t="shared" si="204"/>
        <v>0</v>
      </c>
      <c r="AG35" s="4">
        <f t="shared" si="204"/>
        <v>0</v>
      </c>
      <c r="AH35" s="4">
        <f t="shared" si="204"/>
        <v>0</v>
      </c>
      <c r="AI35" s="1">
        <f t="shared" si="5"/>
        <v>0</v>
      </c>
      <c r="AL35" s="4">
        <f t="shared" ref="AL35:AS35" si="205">IF(ISNUMBER(SEARCH(AL$1,$AK35)), 1, 0)</f>
        <v>0</v>
      </c>
      <c r="AM35" s="4">
        <f t="shared" si="205"/>
        <v>0</v>
      </c>
      <c r="AN35" s="4">
        <f t="shared" si="205"/>
        <v>0</v>
      </c>
      <c r="AO35" s="4">
        <f t="shared" si="205"/>
        <v>0</v>
      </c>
      <c r="AP35" s="4">
        <f t="shared" si="205"/>
        <v>0</v>
      </c>
      <c r="AQ35" s="4">
        <f t="shared" si="205"/>
        <v>0</v>
      </c>
      <c r="AR35" s="4">
        <f t="shared" si="205"/>
        <v>0</v>
      </c>
      <c r="AS35" s="4">
        <f t="shared" si="205"/>
        <v>0</v>
      </c>
      <c r="AV35" s="1">
        <f t="shared" si="7"/>
        <v>0</v>
      </c>
      <c r="AW35" s="1">
        <f t="shared" si="8"/>
        <v>0</v>
      </c>
      <c r="AX35" s="1">
        <f t="shared" si="9"/>
        <v>0</v>
      </c>
      <c r="BB35" s="4">
        <f t="shared" ref="BB35:BJ35" si="206">IF(ISNUMBER(SEARCH(BB$1,$BA35)), 1, 0)</f>
        <v>0</v>
      </c>
      <c r="BC35" s="4">
        <f t="shared" si="206"/>
        <v>0</v>
      </c>
      <c r="BD35" s="4">
        <f t="shared" si="206"/>
        <v>0</v>
      </c>
      <c r="BE35" s="4">
        <f t="shared" si="206"/>
        <v>0</v>
      </c>
      <c r="BF35" s="4">
        <f t="shared" si="206"/>
        <v>0</v>
      </c>
      <c r="BG35" s="4">
        <f t="shared" si="206"/>
        <v>0</v>
      </c>
      <c r="BH35" s="4">
        <f t="shared" si="206"/>
        <v>0</v>
      </c>
      <c r="BI35" s="4">
        <f t="shared" si="206"/>
        <v>0</v>
      </c>
      <c r="BJ35" s="4">
        <f t="shared" si="206"/>
        <v>0</v>
      </c>
      <c r="BK35" s="4">
        <f t="shared" si="11"/>
        <v>0</v>
      </c>
      <c r="BO35" s="4">
        <f t="shared" ref="BO35:BU35" si="207">IF(ISNUMBER(SEARCH(BO$1,$BN35)), 1, 0)</f>
        <v>0</v>
      </c>
      <c r="BP35" s="4">
        <f t="shared" si="207"/>
        <v>0</v>
      </c>
      <c r="BQ35" s="4">
        <f t="shared" si="207"/>
        <v>0</v>
      </c>
      <c r="BR35" s="4">
        <f t="shared" si="207"/>
        <v>0</v>
      </c>
      <c r="BS35" s="4">
        <f t="shared" si="207"/>
        <v>0</v>
      </c>
      <c r="BT35" s="4">
        <f t="shared" si="207"/>
        <v>0</v>
      </c>
      <c r="BU35" s="4">
        <f t="shared" si="207"/>
        <v>0</v>
      </c>
    </row>
    <row r="36" spans="1:107" ht="15.75" customHeight="1" x14ac:dyDescent="0.25">
      <c r="A36" s="1" t="b">
        <v>1</v>
      </c>
      <c r="B36" s="3">
        <v>46156.602488425924</v>
      </c>
      <c r="C36" s="1" t="s">
        <v>377</v>
      </c>
      <c r="D36" s="1" t="s">
        <v>207</v>
      </c>
      <c r="E36" s="4">
        <f t="shared" ref="E36:K36" si="208">IF(ISNUMBER(SEARCH(E$1,$D36)), SEARCH(E$1,$D36), 0)</f>
        <v>1</v>
      </c>
      <c r="F36" s="4">
        <f t="shared" si="208"/>
        <v>30</v>
      </c>
      <c r="G36" s="4">
        <f t="shared" si="208"/>
        <v>0</v>
      </c>
      <c r="H36" s="4">
        <f t="shared" si="208"/>
        <v>0</v>
      </c>
      <c r="I36" s="4">
        <f t="shared" si="208"/>
        <v>0</v>
      </c>
      <c r="J36" s="4">
        <f t="shared" si="208"/>
        <v>0</v>
      </c>
      <c r="K36" s="4">
        <f t="shared" si="208"/>
        <v>0</v>
      </c>
      <c r="L36" s="4">
        <f t="shared" si="1"/>
        <v>30</v>
      </c>
      <c r="N36" s="1" t="s">
        <v>240</v>
      </c>
      <c r="O36" s="4">
        <f t="shared" ref="O36:T36" si="209">IF(ISNUMBER(SEARCH(O$1,$N36)), 1, 0)</f>
        <v>1</v>
      </c>
      <c r="P36" s="4">
        <f t="shared" si="209"/>
        <v>1</v>
      </c>
      <c r="Q36" s="4">
        <f t="shared" si="209"/>
        <v>1</v>
      </c>
      <c r="R36" s="4">
        <f t="shared" si="209"/>
        <v>1</v>
      </c>
      <c r="S36" s="4">
        <f t="shared" si="209"/>
        <v>0</v>
      </c>
      <c r="T36" s="4">
        <f t="shared" si="209"/>
        <v>0</v>
      </c>
      <c r="W36" s="1" t="str">
        <f t="shared" si="191"/>
        <v>False</v>
      </c>
      <c r="X36" s="1" t="str">
        <f t="shared" si="191"/>
        <v>False</v>
      </c>
      <c r="Y36" s="1" t="str">
        <f t="shared" si="191"/>
        <v>False</v>
      </c>
      <c r="Z36" s="1" t="str">
        <f t="shared" si="191"/>
        <v>False</v>
      </c>
      <c r="AA36" s="1" t="str">
        <f t="shared" si="191"/>
        <v>False</v>
      </c>
      <c r="AB36" s="1" t="s">
        <v>28</v>
      </c>
      <c r="AC36" s="4">
        <f t="shared" ref="AC36:AH36" si="210">IF(ISNUMBER(SEARCH(AC$1,$AB36)), 1, 0)</f>
        <v>1</v>
      </c>
      <c r="AD36" s="4">
        <f t="shared" si="210"/>
        <v>0</v>
      </c>
      <c r="AE36" s="4">
        <f t="shared" si="210"/>
        <v>0</v>
      </c>
      <c r="AF36" s="4">
        <f t="shared" si="210"/>
        <v>0</v>
      </c>
      <c r="AG36" s="4">
        <f t="shared" si="210"/>
        <v>0</v>
      </c>
      <c r="AH36" s="4">
        <f t="shared" si="210"/>
        <v>0</v>
      </c>
      <c r="AI36" s="1">
        <f t="shared" si="5"/>
        <v>1</v>
      </c>
      <c r="AK36" s="1" t="s">
        <v>378</v>
      </c>
      <c r="AL36" s="4">
        <f t="shared" ref="AL36:AS36" si="211">IF(ISNUMBER(SEARCH(AL$1,$AK36)), 1, 0)</f>
        <v>0</v>
      </c>
      <c r="AM36" s="4">
        <f t="shared" si="211"/>
        <v>0</v>
      </c>
      <c r="AN36" s="4">
        <f t="shared" si="211"/>
        <v>1</v>
      </c>
      <c r="AO36" s="4">
        <f t="shared" si="211"/>
        <v>1</v>
      </c>
      <c r="AP36" s="4">
        <f t="shared" si="211"/>
        <v>1</v>
      </c>
      <c r="AQ36" s="4">
        <f t="shared" si="211"/>
        <v>0</v>
      </c>
      <c r="AR36" s="4">
        <f t="shared" si="211"/>
        <v>0</v>
      </c>
      <c r="AS36" s="4">
        <f t="shared" si="211"/>
        <v>0</v>
      </c>
      <c r="AU36" s="1" t="s">
        <v>47</v>
      </c>
      <c r="AV36" s="1">
        <f t="shared" si="7"/>
        <v>1</v>
      </c>
      <c r="AW36" s="1">
        <f t="shared" si="8"/>
        <v>0</v>
      </c>
      <c r="AX36" s="1">
        <f t="shared" si="9"/>
        <v>0</v>
      </c>
      <c r="AY36" s="1" t="s">
        <v>48</v>
      </c>
      <c r="BA36" s="1" t="s">
        <v>318</v>
      </c>
      <c r="BB36" s="4">
        <f t="shared" ref="BB36:BJ36" si="212">IF(ISNUMBER(SEARCH(BB$1,$BA36)), 1, 0)</f>
        <v>0</v>
      </c>
      <c r="BC36" s="4">
        <f t="shared" si="212"/>
        <v>0</v>
      </c>
      <c r="BD36" s="4">
        <f t="shared" si="212"/>
        <v>1</v>
      </c>
      <c r="BE36" s="4">
        <f t="shared" si="212"/>
        <v>1</v>
      </c>
      <c r="BF36" s="4">
        <f t="shared" si="212"/>
        <v>1</v>
      </c>
      <c r="BG36" s="4">
        <f t="shared" si="212"/>
        <v>1</v>
      </c>
      <c r="BH36" s="4">
        <f t="shared" si="212"/>
        <v>0</v>
      </c>
      <c r="BI36" s="4">
        <f t="shared" si="212"/>
        <v>0</v>
      </c>
      <c r="BJ36" s="4">
        <f t="shared" si="212"/>
        <v>1</v>
      </c>
      <c r="BK36" s="4">
        <f t="shared" si="11"/>
        <v>5</v>
      </c>
      <c r="BM36" s="1" t="s">
        <v>190</v>
      </c>
      <c r="BN36" s="1" t="s">
        <v>72</v>
      </c>
      <c r="BO36" s="4">
        <f t="shared" ref="BO36:BU36" si="213">IF(ISNUMBER(SEARCH(BO$1,$BN36)), 1, 0)</f>
        <v>0</v>
      </c>
      <c r="BP36" s="4">
        <f t="shared" si="213"/>
        <v>0</v>
      </c>
      <c r="BQ36" s="4">
        <f t="shared" si="213"/>
        <v>0</v>
      </c>
      <c r="BR36" s="4">
        <f t="shared" si="213"/>
        <v>0</v>
      </c>
      <c r="BS36" s="4">
        <f t="shared" si="213"/>
        <v>0</v>
      </c>
      <c r="BT36" s="4">
        <f t="shared" si="213"/>
        <v>0</v>
      </c>
      <c r="BU36" s="4">
        <f t="shared" si="213"/>
        <v>1</v>
      </c>
      <c r="CX36" s="1" t="s">
        <v>249</v>
      </c>
      <c r="CZ36" s="1" t="s">
        <v>178</v>
      </c>
      <c r="DC36" s="1" t="s">
        <v>238</v>
      </c>
    </row>
    <row r="37" spans="1:107" ht="15.75" customHeight="1" x14ac:dyDescent="0.25">
      <c r="A37" s="1" t="b">
        <v>0</v>
      </c>
      <c r="B37" s="3">
        <v>46157.592962962961</v>
      </c>
      <c r="C37" s="1" t="s">
        <v>379</v>
      </c>
      <c r="D37" s="1" t="s">
        <v>192</v>
      </c>
      <c r="E37" s="4">
        <f t="shared" ref="E37:K37" si="214">IF(ISNUMBER(SEARCH(E$1,$D37)), SEARCH(E$1,$D37), 0)</f>
        <v>1</v>
      </c>
      <c r="F37" s="4">
        <f t="shared" si="214"/>
        <v>30</v>
      </c>
      <c r="G37" s="4">
        <f t="shared" si="214"/>
        <v>0</v>
      </c>
      <c r="H37" s="4">
        <f t="shared" si="214"/>
        <v>0</v>
      </c>
      <c r="I37" s="4">
        <f t="shared" si="214"/>
        <v>0</v>
      </c>
      <c r="J37" s="4">
        <f t="shared" si="214"/>
        <v>0</v>
      </c>
      <c r="K37" s="4">
        <f t="shared" si="214"/>
        <v>105</v>
      </c>
      <c r="L37" s="4">
        <f t="shared" si="1"/>
        <v>105</v>
      </c>
      <c r="N37" s="1" t="s">
        <v>187</v>
      </c>
      <c r="O37" s="4">
        <f t="shared" ref="O37:T37" si="215">IF(ISNUMBER(SEARCH(O$1,$N37)), 1, 0)</f>
        <v>1</v>
      </c>
      <c r="P37" s="4">
        <f t="shared" si="215"/>
        <v>1</v>
      </c>
      <c r="Q37" s="4">
        <f t="shared" si="215"/>
        <v>1</v>
      </c>
      <c r="R37" s="4">
        <f t="shared" si="215"/>
        <v>1</v>
      </c>
      <c r="S37" s="4">
        <f t="shared" si="215"/>
        <v>1</v>
      </c>
      <c r="T37" s="4">
        <f t="shared" si="215"/>
        <v>1</v>
      </c>
      <c r="V37" s="1" t="s">
        <v>26</v>
      </c>
      <c r="W37" s="1" t="str">
        <f t="shared" si="191"/>
        <v>False</v>
      </c>
      <c r="X37" s="1" t="str">
        <f t="shared" si="191"/>
        <v>False</v>
      </c>
      <c r="Y37" s="1" t="str">
        <f t="shared" si="191"/>
        <v>False</v>
      </c>
      <c r="Z37" s="1" t="str">
        <f t="shared" si="191"/>
        <v>False</v>
      </c>
      <c r="AA37" s="1" t="str">
        <f t="shared" si="191"/>
        <v>True</v>
      </c>
      <c r="AB37" s="1" t="s">
        <v>380</v>
      </c>
      <c r="AC37" s="4">
        <f t="shared" ref="AC37:AH37" si="216">IF(ISNUMBER(SEARCH(AC$1,$AB37)), 1, 0)</f>
        <v>1</v>
      </c>
      <c r="AD37" s="4">
        <f t="shared" si="216"/>
        <v>0</v>
      </c>
      <c r="AE37" s="4">
        <f t="shared" si="216"/>
        <v>1</v>
      </c>
      <c r="AF37" s="4">
        <f t="shared" si="216"/>
        <v>1</v>
      </c>
      <c r="AG37" s="4">
        <f t="shared" si="216"/>
        <v>0</v>
      </c>
      <c r="AH37" s="4">
        <f t="shared" si="216"/>
        <v>0</v>
      </c>
      <c r="AI37" s="1">
        <f t="shared" si="5"/>
        <v>3</v>
      </c>
      <c r="AK37" s="1" t="s">
        <v>381</v>
      </c>
      <c r="AL37" s="4">
        <f t="shared" ref="AL37:AS37" si="217">IF(ISNUMBER(SEARCH(AL$1,$AK37)), 1, 0)</f>
        <v>1</v>
      </c>
      <c r="AM37" s="4">
        <f t="shared" si="217"/>
        <v>1</v>
      </c>
      <c r="AN37" s="4">
        <f t="shared" si="217"/>
        <v>1</v>
      </c>
      <c r="AO37" s="4">
        <f t="shared" si="217"/>
        <v>1</v>
      </c>
      <c r="AP37" s="4">
        <f t="shared" si="217"/>
        <v>1</v>
      </c>
      <c r="AQ37" s="4">
        <f t="shared" si="217"/>
        <v>1</v>
      </c>
      <c r="AR37" s="4">
        <f t="shared" si="217"/>
        <v>0</v>
      </c>
      <c r="AS37" s="4">
        <f t="shared" si="217"/>
        <v>0</v>
      </c>
      <c r="AU37" s="1" t="s">
        <v>47</v>
      </c>
      <c r="AV37" s="1">
        <f t="shared" si="7"/>
        <v>1</v>
      </c>
      <c r="AW37" s="1">
        <f t="shared" si="8"/>
        <v>0</v>
      </c>
      <c r="AX37" s="1">
        <f t="shared" si="9"/>
        <v>0</v>
      </c>
      <c r="AY37" s="1" t="s">
        <v>48</v>
      </c>
      <c r="BA37" s="1" t="s">
        <v>358</v>
      </c>
      <c r="BB37" s="4">
        <f t="shared" ref="BB37:BJ37" si="218">IF(ISNUMBER(SEARCH(BB$1,$BA37)), 1, 0)</f>
        <v>1</v>
      </c>
      <c r="BC37" s="4">
        <f t="shared" si="218"/>
        <v>1</v>
      </c>
      <c r="BD37" s="4">
        <f t="shared" si="218"/>
        <v>1</v>
      </c>
      <c r="BE37" s="4">
        <f t="shared" si="218"/>
        <v>1</v>
      </c>
      <c r="BF37" s="4">
        <f t="shared" si="218"/>
        <v>1</v>
      </c>
      <c r="BG37" s="4">
        <f t="shared" si="218"/>
        <v>0</v>
      </c>
      <c r="BH37" s="4">
        <f t="shared" si="218"/>
        <v>0</v>
      </c>
      <c r="BI37" s="4">
        <f t="shared" si="218"/>
        <v>1</v>
      </c>
      <c r="BJ37" s="4">
        <f t="shared" si="218"/>
        <v>1</v>
      </c>
      <c r="BK37" s="4">
        <f t="shared" si="11"/>
        <v>7</v>
      </c>
      <c r="BM37" s="1" t="s">
        <v>232</v>
      </c>
      <c r="BN37" s="1" t="s">
        <v>382</v>
      </c>
      <c r="BO37" s="4">
        <f t="shared" ref="BO37:BU37" si="219">IF(ISNUMBER(SEARCH(BO$1,$BN37)), 1, 0)</f>
        <v>1</v>
      </c>
      <c r="BP37" s="4">
        <f t="shared" si="219"/>
        <v>1</v>
      </c>
      <c r="BQ37" s="4">
        <f t="shared" si="219"/>
        <v>1</v>
      </c>
      <c r="BR37" s="4">
        <f t="shared" si="219"/>
        <v>1</v>
      </c>
      <c r="BS37" s="4">
        <f t="shared" si="219"/>
        <v>1</v>
      </c>
      <c r="BT37" s="4">
        <f t="shared" si="219"/>
        <v>1</v>
      </c>
      <c r="BU37" s="4">
        <f t="shared" si="219"/>
        <v>0</v>
      </c>
    </row>
    <row r="38" spans="1:107" ht="15.75" customHeight="1" x14ac:dyDescent="0.25">
      <c r="A38" s="1" t="b">
        <v>1</v>
      </c>
      <c r="B38" s="3">
        <v>46158.319027777776</v>
      </c>
      <c r="C38" s="1" t="s">
        <v>383</v>
      </c>
      <c r="D38" s="1" t="s">
        <v>384</v>
      </c>
      <c r="E38" s="4">
        <f t="shared" ref="E38:K38" si="220">IF(ISNUMBER(SEARCH(E$1,$D38)), SEARCH(E$1,$D38), 0)</f>
        <v>1</v>
      </c>
      <c r="F38" s="4">
        <f t="shared" si="220"/>
        <v>0</v>
      </c>
      <c r="G38" s="4">
        <f t="shared" si="220"/>
        <v>30</v>
      </c>
      <c r="H38" s="4">
        <f t="shared" si="220"/>
        <v>86</v>
      </c>
      <c r="I38" s="4">
        <f t="shared" si="220"/>
        <v>0</v>
      </c>
      <c r="J38" s="4">
        <f t="shared" si="220"/>
        <v>0</v>
      </c>
      <c r="K38" s="4">
        <f t="shared" si="220"/>
        <v>0</v>
      </c>
      <c r="L38" s="4">
        <f t="shared" si="1"/>
        <v>86</v>
      </c>
      <c r="N38" s="1" t="s">
        <v>385</v>
      </c>
      <c r="O38" s="4">
        <f t="shared" ref="O38:T38" si="221">IF(ISNUMBER(SEARCH(O$1,$N38)), 1, 0)</f>
        <v>1</v>
      </c>
      <c r="P38" s="4">
        <f t="shared" si="221"/>
        <v>1</v>
      </c>
      <c r="Q38" s="4">
        <f t="shared" si="221"/>
        <v>0</v>
      </c>
      <c r="R38" s="4">
        <f t="shared" si="221"/>
        <v>1</v>
      </c>
      <c r="S38" s="4">
        <f t="shared" si="221"/>
        <v>1</v>
      </c>
      <c r="T38" s="4">
        <f t="shared" si="221"/>
        <v>0</v>
      </c>
      <c r="V38" s="1" t="s">
        <v>24</v>
      </c>
      <c r="W38" s="1" t="str">
        <f t="shared" si="191"/>
        <v>False</v>
      </c>
      <c r="X38" s="1" t="str">
        <f t="shared" si="191"/>
        <v>False</v>
      </c>
      <c r="Y38" s="1" t="str">
        <f t="shared" si="191"/>
        <v>True</v>
      </c>
      <c r="Z38" s="1" t="str">
        <f t="shared" si="191"/>
        <v>False</v>
      </c>
      <c r="AA38" s="1" t="str">
        <f t="shared" si="191"/>
        <v>False</v>
      </c>
      <c r="AB38" s="1" t="s">
        <v>28</v>
      </c>
      <c r="AC38" s="4">
        <f t="shared" ref="AC38:AH38" si="222">IF(ISNUMBER(SEARCH(AC$1,$AB38)), 1, 0)</f>
        <v>1</v>
      </c>
      <c r="AD38" s="4">
        <f t="shared" si="222"/>
        <v>0</v>
      </c>
      <c r="AE38" s="4">
        <f t="shared" si="222"/>
        <v>0</v>
      </c>
      <c r="AF38" s="4">
        <f t="shared" si="222"/>
        <v>0</v>
      </c>
      <c r="AG38" s="4">
        <f t="shared" si="222"/>
        <v>0</v>
      </c>
      <c r="AH38" s="4">
        <f t="shared" si="222"/>
        <v>0</v>
      </c>
      <c r="AI38" s="1">
        <f t="shared" si="5"/>
        <v>1</v>
      </c>
      <c r="AK38" s="1" t="s">
        <v>38</v>
      </c>
      <c r="AL38" s="4">
        <f t="shared" ref="AL38:AS38" si="223">IF(ISNUMBER(SEARCH(AL$1,$AK38)), 1, 0)</f>
        <v>0</v>
      </c>
      <c r="AM38" s="4">
        <f t="shared" si="223"/>
        <v>1</v>
      </c>
      <c r="AN38" s="4">
        <f t="shared" si="223"/>
        <v>0</v>
      </c>
      <c r="AO38" s="4">
        <f t="shared" si="223"/>
        <v>0</v>
      </c>
      <c r="AP38" s="4">
        <f t="shared" si="223"/>
        <v>0</v>
      </c>
      <c r="AQ38" s="4">
        <f t="shared" si="223"/>
        <v>0</v>
      </c>
      <c r="AR38" s="4">
        <f t="shared" si="223"/>
        <v>0</v>
      </c>
      <c r="AS38" s="4">
        <f t="shared" si="223"/>
        <v>0</v>
      </c>
      <c r="AU38" s="1" t="s">
        <v>48</v>
      </c>
      <c r="AV38" s="1">
        <f t="shared" si="7"/>
        <v>0</v>
      </c>
      <c r="AW38" s="1">
        <f t="shared" si="8"/>
        <v>1</v>
      </c>
      <c r="AX38" s="1">
        <f t="shared" si="9"/>
        <v>0</v>
      </c>
      <c r="AY38" s="1" t="s">
        <v>48</v>
      </c>
      <c r="BA38" s="1" t="s">
        <v>56</v>
      </c>
      <c r="BB38" s="4">
        <f t="shared" ref="BB38:BJ38" si="224">IF(ISNUMBER(SEARCH(BB$1,$BA38)), 1, 0)</f>
        <v>0</v>
      </c>
      <c r="BC38" s="4">
        <f t="shared" si="224"/>
        <v>0</v>
      </c>
      <c r="BD38" s="4">
        <f t="shared" si="224"/>
        <v>0</v>
      </c>
      <c r="BE38" s="4">
        <f t="shared" si="224"/>
        <v>1</v>
      </c>
      <c r="BF38" s="4">
        <f t="shared" si="224"/>
        <v>0</v>
      </c>
      <c r="BG38" s="4">
        <f t="shared" si="224"/>
        <v>0</v>
      </c>
      <c r="BH38" s="4">
        <f t="shared" si="224"/>
        <v>0</v>
      </c>
      <c r="BI38" s="4">
        <f t="shared" si="224"/>
        <v>0</v>
      </c>
      <c r="BJ38" s="4">
        <f t="shared" si="224"/>
        <v>0</v>
      </c>
      <c r="BK38" s="4">
        <f t="shared" si="11"/>
        <v>1</v>
      </c>
      <c r="BM38" s="1" t="s">
        <v>232</v>
      </c>
      <c r="BN38" s="1" t="s">
        <v>386</v>
      </c>
      <c r="BO38" s="4">
        <f t="shared" ref="BO38:BU38" si="225">IF(ISNUMBER(SEARCH(BO$1,$BN38)), 1, 0)</f>
        <v>0</v>
      </c>
      <c r="BP38" s="4">
        <f t="shared" si="225"/>
        <v>1</v>
      </c>
      <c r="BQ38" s="4">
        <f t="shared" si="225"/>
        <v>0</v>
      </c>
      <c r="BR38" s="4">
        <f t="shared" si="225"/>
        <v>0</v>
      </c>
      <c r="BS38" s="4">
        <f t="shared" si="225"/>
        <v>0</v>
      </c>
      <c r="BT38" s="4">
        <f t="shared" si="225"/>
        <v>1</v>
      </c>
      <c r="BU38" s="4">
        <f t="shared" si="225"/>
        <v>0</v>
      </c>
      <c r="BW38" s="1" t="s">
        <v>169</v>
      </c>
      <c r="CB38" s="1" t="s">
        <v>47</v>
      </c>
      <c r="CF38" s="1" t="s">
        <v>387</v>
      </c>
      <c r="CG38" s="1" t="s">
        <v>388</v>
      </c>
      <c r="CU38" s="1" t="s">
        <v>389</v>
      </c>
    </row>
    <row r="39" spans="1:107" ht="15.75" customHeight="1" x14ac:dyDescent="0.25">
      <c r="A39" s="1" t="b">
        <v>1</v>
      </c>
      <c r="B39" s="3">
        <v>46158.708622685182</v>
      </c>
      <c r="C39" s="1" t="s">
        <v>390</v>
      </c>
      <c r="D39" s="1" t="s">
        <v>391</v>
      </c>
      <c r="E39" s="4">
        <f t="shared" ref="E39:K39" si="226">IF(ISNUMBER(SEARCH(E$1,$D39)), SEARCH(E$1,$D39), 0)</f>
        <v>1</v>
      </c>
      <c r="F39" s="4">
        <f t="shared" si="226"/>
        <v>30</v>
      </c>
      <c r="G39" s="4">
        <f t="shared" si="226"/>
        <v>105</v>
      </c>
      <c r="H39" s="4">
        <f t="shared" si="226"/>
        <v>161</v>
      </c>
      <c r="I39" s="4">
        <f t="shared" si="226"/>
        <v>199</v>
      </c>
      <c r="J39" s="4">
        <f t="shared" si="226"/>
        <v>231</v>
      </c>
      <c r="K39" s="4">
        <f t="shared" si="226"/>
        <v>268</v>
      </c>
      <c r="L39" s="4">
        <f t="shared" si="1"/>
        <v>268</v>
      </c>
      <c r="N39" s="1" t="s">
        <v>160</v>
      </c>
      <c r="O39" s="4">
        <f t="shared" ref="O39:T39" si="227">IF(ISNUMBER(SEARCH(O$1,$N39)), 1, 0)</f>
        <v>1</v>
      </c>
      <c r="P39" s="4">
        <f t="shared" si="227"/>
        <v>1</v>
      </c>
      <c r="Q39" s="4">
        <f t="shared" si="227"/>
        <v>1</v>
      </c>
      <c r="R39" s="4">
        <f t="shared" si="227"/>
        <v>1</v>
      </c>
      <c r="S39" s="4">
        <f t="shared" si="227"/>
        <v>1</v>
      </c>
      <c r="T39" s="4">
        <f t="shared" si="227"/>
        <v>1</v>
      </c>
      <c r="W39" s="1" t="str">
        <f t="shared" si="191"/>
        <v>False</v>
      </c>
      <c r="X39" s="1" t="str">
        <f t="shared" si="191"/>
        <v>False</v>
      </c>
      <c r="Y39" s="1" t="str">
        <f t="shared" si="191"/>
        <v>False</v>
      </c>
      <c r="Z39" s="1" t="str">
        <f t="shared" si="191"/>
        <v>False</v>
      </c>
      <c r="AA39" s="1" t="str">
        <f t="shared" si="191"/>
        <v>False</v>
      </c>
      <c r="AB39" s="1" t="s">
        <v>392</v>
      </c>
      <c r="AC39" s="4">
        <f t="shared" ref="AC39:AH39" si="228">IF(ISNUMBER(SEARCH(AC$1,$AB39)), 1, 0)</f>
        <v>0</v>
      </c>
      <c r="AD39" s="4">
        <f t="shared" si="228"/>
        <v>1</v>
      </c>
      <c r="AE39" s="4">
        <f t="shared" si="228"/>
        <v>1</v>
      </c>
      <c r="AF39" s="4">
        <f t="shared" si="228"/>
        <v>0</v>
      </c>
      <c r="AG39" s="4">
        <f t="shared" si="228"/>
        <v>0</v>
      </c>
      <c r="AH39" s="4">
        <f t="shared" si="228"/>
        <v>0</v>
      </c>
      <c r="AI39" s="1">
        <f t="shared" si="5"/>
        <v>2</v>
      </c>
      <c r="AL39" s="4">
        <f t="shared" ref="AL39:AS39" si="229">IF(ISNUMBER(SEARCH(AL$1,$AK39)), 1, 0)</f>
        <v>0</v>
      </c>
      <c r="AM39" s="4">
        <f t="shared" si="229"/>
        <v>0</v>
      </c>
      <c r="AN39" s="4">
        <f t="shared" si="229"/>
        <v>0</v>
      </c>
      <c r="AO39" s="4">
        <f t="shared" si="229"/>
        <v>0</v>
      </c>
      <c r="AP39" s="4">
        <f t="shared" si="229"/>
        <v>0</v>
      </c>
      <c r="AQ39" s="4">
        <f t="shared" si="229"/>
        <v>0</v>
      </c>
      <c r="AR39" s="4">
        <f t="shared" si="229"/>
        <v>0</v>
      </c>
      <c r="AS39" s="4">
        <f t="shared" si="229"/>
        <v>0</v>
      </c>
      <c r="AV39" s="1">
        <f t="shared" si="7"/>
        <v>0</v>
      </c>
      <c r="AW39" s="1">
        <f t="shared" si="8"/>
        <v>0</v>
      </c>
      <c r="AX39" s="1">
        <f t="shared" si="9"/>
        <v>0</v>
      </c>
      <c r="BB39" s="4">
        <f t="shared" ref="BB39:BJ39" si="230">IF(ISNUMBER(SEARCH(BB$1,$BA39)), 1, 0)</f>
        <v>0</v>
      </c>
      <c r="BC39" s="4">
        <f t="shared" si="230"/>
        <v>0</v>
      </c>
      <c r="BD39" s="4">
        <f t="shared" si="230"/>
        <v>0</v>
      </c>
      <c r="BE39" s="4">
        <f t="shared" si="230"/>
        <v>0</v>
      </c>
      <c r="BF39" s="4">
        <f t="shared" si="230"/>
        <v>0</v>
      </c>
      <c r="BG39" s="4">
        <f t="shared" si="230"/>
        <v>0</v>
      </c>
      <c r="BH39" s="4">
        <f t="shared" si="230"/>
        <v>0</v>
      </c>
      <c r="BI39" s="4">
        <f t="shared" si="230"/>
        <v>0</v>
      </c>
      <c r="BJ39" s="4">
        <f t="shared" si="230"/>
        <v>0</v>
      </c>
      <c r="BK39" s="4">
        <f t="shared" si="11"/>
        <v>0</v>
      </c>
      <c r="BO39" s="4">
        <f t="shared" ref="BO39:BU39" si="231">IF(ISNUMBER(SEARCH(BO$1,$BN39)), 1, 0)</f>
        <v>0</v>
      </c>
      <c r="BP39" s="4">
        <f t="shared" si="231"/>
        <v>0</v>
      </c>
      <c r="BQ39" s="4">
        <f t="shared" si="231"/>
        <v>0</v>
      </c>
      <c r="BR39" s="4">
        <f t="shared" si="231"/>
        <v>0</v>
      </c>
      <c r="BS39" s="4">
        <f t="shared" si="231"/>
        <v>0</v>
      </c>
      <c r="BT39" s="4">
        <f t="shared" si="231"/>
        <v>0</v>
      </c>
      <c r="BU39" s="4">
        <f t="shared" si="231"/>
        <v>0</v>
      </c>
      <c r="CB39" s="1" t="s">
        <v>48</v>
      </c>
      <c r="CC39" s="1" t="s">
        <v>48</v>
      </c>
    </row>
    <row r="40" spans="1:107" ht="15.75" customHeight="1" x14ac:dyDescent="0.25">
      <c r="A40" s="1" t="b">
        <v>1</v>
      </c>
      <c r="B40" s="3">
        <v>46159.038958333331</v>
      </c>
      <c r="C40" s="1" t="s">
        <v>393</v>
      </c>
      <c r="D40" s="1" t="s">
        <v>394</v>
      </c>
      <c r="E40" s="4">
        <f t="shared" ref="E40:K40" si="232">IF(ISNUMBER(SEARCH(E$1,$D40)), SEARCH(E$1,$D40), 0)</f>
        <v>1</v>
      </c>
      <c r="F40" s="4">
        <f t="shared" si="232"/>
        <v>0</v>
      </c>
      <c r="G40" s="4">
        <f t="shared" si="232"/>
        <v>30</v>
      </c>
      <c r="H40" s="4">
        <f t="shared" si="232"/>
        <v>0</v>
      </c>
      <c r="I40" s="4">
        <f t="shared" si="232"/>
        <v>0</v>
      </c>
      <c r="J40" s="4">
        <f t="shared" si="232"/>
        <v>0</v>
      </c>
      <c r="K40" s="4">
        <f t="shared" si="232"/>
        <v>86</v>
      </c>
      <c r="L40" s="4">
        <f t="shared" si="1"/>
        <v>86</v>
      </c>
      <c r="N40" s="1" t="s">
        <v>328</v>
      </c>
      <c r="O40" s="4">
        <f t="shared" ref="O40:T40" si="233">IF(ISNUMBER(SEARCH(O$1,$N40)), 1, 0)</f>
        <v>1</v>
      </c>
      <c r="P40" s="4">
        <f t="shared" si="233"/>
        <v>1</v>
      </c>
      <c r="Q40" s="4">
        <f t="shared" si="233"/>
        <v>1</v>
      </c>
      <c r="R40" s="4">
        <f t="shared" si="233"/>
        <v>0</v>
      </c>
      <c r="S40" s="4">
        <f t="shared" si="233"/>
        <v>0</v>
      </c>
      <c r="T40" s="4">
        <f t="shared" si="233"/>
        <v>0</v>
      </c>
      <c r="V40" s="1" t="s">
        <v>25</v>
      </c>
      <c r="W40" s="1" t="str">
        <f t="shared" si="191"/>
        <v>False</v>
      </c>
      <c r="X40" s="1" t="str">
        <f t="shared" si="191"/>
        <v>False</v>
      </c>
      <c r="Y40" s="1" t="str">
        <f t="shared" si="191"/>
        <v>False</v>
      </c>
      <c r="Z40" s="1" t="str">
        <f t="shared" si="191"/>
        <v>True</v>
      </c>
      <c r="AA40" s="1" t="str">
        <f t="shared" si="191"/>
        <v>False</v>
      </c>
      <c r="AB40" s="1" t="s">
        <v>395</v>
      </c>
      <c r="AC40" s="4">
        <f t="shared" ref="AC40:AH40" si="234">IF(ISNUMBER(SEARCH(AC$1,$AB40)), 1, 0)</f>
        <v>1</v>
      </c>
      <c r="AD40" s="4">
        <f t="shared" si="234"/>
        <v>1</v>
      </c>
      <c r="AE40" s="4">
        <f t="shared" si="234"/>
        <v>1</v>
      </c>
      <c r="AF40" s="4">
        <f t="shared" si="234"/>
        <v>0</v>
      </c>
      <c r="AG40" s="4">
        <f t="shared" si="234"/>
        <v>1</v>
      </c>
      <c r="AH40" s="4">
        <f t="shared" si="234"/>
        <v>1</v>
      </c>
      <c r="AI40" s="1">
        <f t="shared" si="5"/>
        <v>5</v>
      </c>
      <c r="AK40" s="1" t="s">
        <v>396</v>
      </c>
      <c r="AL40" s="4">
        <f t="shared" ref="AL40:AS40" si="235">IF(ISNUMBER(SEARCH(AL$1,$AK40)), 1, 0)</f>
        <v>0</v>
      </c>
      <c r="AM40" s="4">
        <f t="shared" si="235"/>
        <v>1</v>
      </c>
      <c r="AN40" s="4">
        <f t="shared" si="235"/>
        <v>1</v>
      </c>
      <c r="AO40" s="4">
        <f t="shared" si="235"/>
        <v>0</v>
      </c>
      <c r="AP40" s="4">
        <f t="shared" si="235"/>
        <v>1</v>
      </c>
      <c r="AQ40" s="4">
        <f t="shared" si="235"/>
        <v>1</v>
      </c>
      <c r="AR40" s="4">
        <f t="shared" si="235"/>
        <v>0</v>
      </c>
      <c r="AS40" s="4">
        <f t="shared" si="235"/>
        <v>0</v>
      </c>
      <c r="AU40" s="1" t="s">
        <v>47</v>
      </c>
      <c r="AV40" s="1">
        <f t="shared" si="7"/>
        <v>1</v>
      </c>
      <c r="AW40" s="1">
        <f t="shared" si="8"/>
        <v>0</v>
      </c>
      <c r="AX40" s="1">
        <f t="shared" si="9"/>
        <v>0</v>
      </c>
      <c r="AY40" s="1" t="s">
        <v>48</v>
      </c>
      <c r="BA40" s="1" t="s">
        <v>397</v>
      </c>
      <c r="BB40" s="4">
        <f t="shared" ref="BB40:BJ40" si="236">IF(ISNUMBER(SEARCH(BB$1,$BA40)), 1, 0)</f>
        <v>1</v>
      </c>
      <c r="BC40" s="4">
        <f t="shared" si="236"/>
        <v>1</v>
      </c>
      <c r="BD40" s="4">
        <f t="shared" si="236"/>
        <v>1</v>
      </c>
      <c r="BE40" s="4">
        <f t="shared" si="236"/>
        <v>1</v>
      </c>
      <c r="BF40" s="4">
        <f t="shared" si="236"/>
        <v>1</v>
      </c>
      <c r="BG40" s="4">
        <f t="shared" si="236"/>
        <v>0</v>
      </c>
      <c r="BH40" s="4">
        <f t="shared" si="236"/>
        <v>0</v>
      </c>
      <c r="BI40" s="4">
        <f t="shared" si="236"/>
        <v>0</v>
      </c>
      <c r="BJ40" s="4">
        <f t="shared" si="236"/>
        <v>0</v>
      </c>
      <c r="BK40" s="4">
        <f t="shared" si="11"/>
        <v>5</v>
      </c>
      <c r="BM40" s="1" t="s">
        <v>166</v>
      </c>
      <c r="BN40" s="1" t="s">
        <v>398</v>
      </c>
      <c r="BO40" s="4">
        <f t="shared" ref="BO40:BU40" si="237">IF(ISNUMBER(SEARCH(BO$1,$BN40)), 1, 0)</f>
        <v>1</v>
      </c>
      <c r="BP40" s="4">
        <f t="shared" si="237"/>
        <v>1</v>
      </c>
      <c r="BQ40" s="4">
        <f t="shared" si="237"/>
        <v>1</v>
      </c>
      <c r="BR40" s="4">
        <f t="shared" si="237"/>
        <v>1</v>
      </c>
      <c r="BS40" s="4">
        <f t="shared" si="237"/>
        <v>1</v>
      </c>
      <c r="BT40" s="4">
        <f t="shared" si="237"/>
        <v>0</v>
      </c>
      <c r="BU40" s="4">
        <f t="shared" si="237"/>
        <v>0</v>
      </c>
      <c r="CM40" s="1" t="s">
        <v>49</v>
      </c>
      <c r="CU40" s="1" t="s">
        <v>399</v>
      </c>
      <c r="DC40" s="1" t="s">
        <v>238</v>
      </c>
    </row>
    <row r="41" spans="1:107" ht="15.75" customHeight="1" x14ac:dyDescent="0.25">
      <c r="A41" s="1" t="b">
        <v>1</v>
      </c>
      <c r="B41" s="3">
        <v>46159.974074074074</v>
      </c>
      <c r="C41" s="1" t="s">
        <v>400</v>
      </c>
      <c r="D41" s="1" t="s">
        <v>207</v>
      </c>
      <c r="E41" s="4">
        <f t="shared" ref="E41:K41" si="238">IF(ISNUMBER(SEARCH(E$1,$D41)), SEARCH(E$1,$D41), 0)</f>
        <v>1</v>
      </c>
      <c r="F41" s="4">
        <f t="shared" si="238"/>
        <v>30</v>
      </c>
      <c r="G41" s="4">
        <f t="shared" si="238"/>
        <v>0</v>
      </c>
      <c r="H41" s="4">
        <f t="shared" si="238"/>
        <v>0</v>
      </c>
      <c r="I41" s="4">
        <f t="shared" si="238"/>
        <v>0</v>
      </c>
      <c r="J41" s="4">
        <f t="shared" si="238"/>
        <v>0</v>
      </c>
      <c r="K41" s="4">
        <f t="shared" si="238"/>
        <v>0</v>
      </c>
      <c r="L41" s="4">
        <f t="shared" si="1"/>
        <v>30</v>
      </c>
      <c r="N41" s="1" t="s">
        <v>187</v>
      </c>
      <c r="O41" s="4">
        <f t="shared" ref="O41:T41" si="239">IF(ISNUMBER(SEARCH(O$1,$N41)), 1, 0)</f>
        <v>1</v>
      </c>
      <c r="P41" s="4">
        <f t="shared" si="239"/>
        <v>1</v>
      </c>
      <c r="Q41" s="4">
        <f t="shared" si="239"/>
        <v>1</v>
      </c>
      <c r="R41" s="4">
        <f t="shared" si="239"/>
        <v>1</v>
      </c>
      <c r="S41" s="4">
        <f t="shared" si="239"/>
        <v>1</v>
      </c>
      <c r="T41" s="4">
        <f t="shared" si="239"/>
        <v>1</v>
      </c>
      <c r="W41" s="1" t="str">
        <f t="shared" si="191"/>
        <v>False</v>
      </c>
      <c r="X41" s="1" t="str">
        <f t="shared" si="191"/>
        <v>False</v>
      </c>
      <c r="Y41" s="1" t="str">
        <f t="shared" si="191"/>
        <v>False</v>
      </c>
      <c r="Z41" s="1" t="str">
        <f t="shared" si="191"/>
        <v>False</v>
      </c>
      <c r="AA41" s="1" t="str">
        <f t="shared" si="191"/>
        <v>False</v>
      </c>
      <c r="AB41" s="1" t="s">
        <v>401</v>
      </c>
      <c r="AC41" s="4">
        <f t="shared" ref="AC41:AH41" si="240">IF(ISNUMBER(SEARCH(AC$1,$AB41)), 1, 0)</f>
        <v>0</v>
      </c>
      <c r="AD41" s="4">
        <f t="shared" si="240"/>
        <v>0</v>
      </c>
      <c r="AE41" s="4">
        <f t="shared" si="240"/>
        <v>0</v>
      </c>
      <c r="AF41" s="4">
        <f t="shared" si="240"/>
        <v>0</v>
      </c>
      <c r="AG41" s="4">
        <f t="shared" si="240"/>
        <v>0</v>
      </c>
      <c r="AH41" s="4">
        <f t="shared" si="240"/>
        <v>1</v>
      </c>
      <c r="AI41" s="1">
        <f t="shared" si="5"/>
        <v>1</v>
      </c>
      <c r="AJ41" s="1" t="s">
        <v>402</v>
      </c>
      <c r="AK41" s="1" t="s">
        <v>183</v>
      </c>
      <c r="AL41" s="4">
        <f t="shared" ref="AL41:AS41" si="241">IF(ISNUMBER(SEARCH(AL$1,$AK41)), 1, 0)</f>
        <v>0</v>
      </c>
      <c r="AM41" s="4">
        <f t="shared" si="241"/>
        <v>0</v>
      </c>
      <c r="AN41" s="4">
        <f t="shared" si="241"/>
        <v>0</v>
      </c>
      <c r="AO41" s="4">
        <f t="shared" si="241"/>
        <v>0</v>
      </c>
      <c r="AP41" s="4">
        <f t="shared" si="241"/>
        <v>0</v>
      </c>
      <c r="AQ41" s="4">
        <f t="shared" si="241"/>
        <v>0</v>
      </c>
      <c r="AR41" s="4">
        <f t="shared" si="241"/>
        <v>0</v>
      </c>
      <c r="AS41" s="4">
        <f t="shared" si="241"/>
        <v>0</v>
      </c>
      <c r="AT41" s="1" t="s">
        <v>403</v>
      </c>
      <c r="AU41" s="1" t="s">
        <v>48</v>
      </c>
      <c r="AV41" s="1">
        <f t="shared" si="7"/>
        <v>0</v>
      </c>
      <c r="AW41" s="1">
        <f t="shared" si="8"/>
        <v>1</v>
      </c>
      <c r="AX41" s="1">
        <f t="shared" si="9"/>
        <v>0</v>
      </c>
      <c r="AY41" s="1" t="s">
        <v>48</v>
      </c>
      <c r="BA41" s="1" t="s">
        <v>61</v>
      </c>
      <c r="BB41" s="4">
        <f t="shared" ref="BB41:BJ41" si="242">IF(ISNUMBER(SEARCH(BB$1,$BA41)), 1, 0)</f>
        <v>0</v>
      </c>
      <c r="BC41" s="4">
        <f t="shared" si="242"/>
        <v>0</v>
      </c>
      <c r="BD41" s="4">
        <f t="shared" si="242"/>
        <v>0</v>
      </c>
      <c r="BE41" s="4">
        <f t="shared" si="242"/>
        <v>0</v>
      </c>
      <c r="BF41" s="4">
        <f t="shared" si="242"/>
        <v>0</v>
      </c>
      <c r="BG41" s="4">
        <f t="shared" si="242"/>
        <v>0</v>
      </c>
      <c r="BH41" s="4">
        <f t="shared" si="242"/>
        <v>0</v>
      </c>
      <c r="BI41" s="4">
        <f t="shared" si="242"/>
        <v>0</v>
      </c>
      <c r="BJ41" s="4">
        <f t="shared" si="242"/>
        <v>1</v>
      </c>
      <c r="BK41" s="4">
        <f t="shared" si="11"/>
        <v>1</v>
      </c>
      <c r="BM41" s="1" t="s">
        <v>166</v>
      </c>
      <c r="BN41" s="1" t="s">
        <v>404</v>
      </c>
      <c r="BO41" s="4">
        <f t="shared" ref="BO41:BU41" si="243">IF(ISNUMBER(SEARCH(BO$1,$BN41)), 1, 0)</f>
        <v>0</v>
      </c>
      <c r="BP41" s="4">
        <f t="shared" si="243"/>
        <v>0</v>
      </c>
      <c r="BQ41" s="4">
        <f t="shared" si="243"/>
        <v>0</v>
      </c>
      <c r="BR41" s="4">
        <f t="shared" si="243"/>
        <v>0</v>
      </c>
      <c r="BS41" s="4">
        <f t="shared" si="243"/>
        <v>0</v>
      </c>
      <c r="BT41" s="4">
        <f t="shared" si="243"/>
        <v>0</v>
      </c>
      <c r="BU41" s="4">
        <f t="shared" si="243"/>
        <v>0</v>
      </c>
      <c r="BV41" s="1" t="s">
        <v>405</v>
      </c>
      <c r="BW41" s="1" t="s">
        <v>212</v>
      </c>
      <c r="BZ41" s="1" t="s">
        <v>406</v>
      </c>
      <c r="CX41" s="1" t="s">
        <v>320</v>
      </c>
      <c r="DC41" s="1" t="s">
        <v>238</v>
      </c>
    </row>
    <row r="42" spans="1:107" ht="15.75" customHeight="1" x14ac:dyDescent="0.25">
      <c r="A42" s="1" t="b">
        <v>1</v>
      </c>
      <c r="B42" s="3">
        <v>46160.127824074072</v>
      </c>
      <c r="C42" s="1" t="s">
        <v>407</v>
      </c>
      <c r="D42" s="1" t="s">
        <v>408</v>
      </c>
      <c r="E42" s="4">
        <f t="shared" ref="E42:K42" si="244">IF(ISNUMBER(SEARCH(E$1,$D42)), SEARCH(E$1,$D42), 0)</f>
        <v>0</v>
      </c>
      <c r="F42" s="4">
        <f t="shared" si="244"/>
        <v>0</v>
      </c>
      <c r="G42" s="4">
        <f t="shared" si="244"/>
        <v>0</v>
      </c>
      <c r="H42" s="4">
        <f t="shared" si="244"/>
        <v>1</v>
      </c>
      <c r="I42" s="4">
        <f t="shared" si="244"/>
        <v>39</v>
      </c>
      <c r="J42" s="4">
        <f t="shared" si="244"/>
        <v>0</v>
      </c>
      <c r="K42" s="4">
        <f t="shared" si="244"/>
        <v>0</v>
      </c>
      <c r="L42" s="4">
        <f t="shared" si="1"/>
        <v>39</v>
      </c>
      <c r="N42" s="1" t="s">
        <v>409</v>
      </c>
      <c r="O42" s="4">
        <f t="shared" ref="O42:T42" si="245">IF(ISNUMBER(SEARCH(O$1,$N42)), 1, 0)</f>
        <v>0</v>
      </c>
      <c r="P42" s="4">
        <f t="shared" si="245"/>
        <v>0</v>
      </c>
      <c r="Q42" s="4">
        <f t="shared" si="245"/>
        <v>1</v>
      </c>
      <c r="R42" s="4">
        <f t="shared" si="245"/>
        <v>0</v>
      </c>
      <c r="S42" s="4">
        <f t="shared" si="245"/>
        <v>0</v>
      </c>
      <c r="T42" s="4">
        <f t="shared" si="245"/>
        <v>1</v>
      </c>
      <c r="V42" s="1" t="s">
        <v>22</v>
      </c>
      <c r="W42" s="1" t="str">
        <f t="shared" si="191"/>
        <v>True</v>
      </c>
      <c r="X42" s="1" t="str">
        <f t="shared" si="191"/>
        <v>False</v>
      </c>
      <c r="Y42" s="1" t="str">
        <f t="shared" si="191"/>
        <v>False</v>
      </c>
      <c r="Z42" s="1" t="str">
        <f t="shared" si="191"/>
        <v>False</v>
      </c>
      <c r="AA42" s="1" t="str">
        <f t="shared" si="191"/>
        <v>False</v>
      </c>
      <c r="AB42" s="1" t="s">
        <v>230</v>
      </c>
      <c r="AC42" s="4">
        <f t="shared" ref="AC42:AH42" si="246">IF(ISNUMBER(SEARCH(AC$1,$AB42)), 1, 0)</f>
        <v>1</v>
      </c>
      <c r="AD42" s="4">
        <f t="shared" si="246"/>
        <v>1</v>
      </c>
      <c r="AE42" s="4">
        <f t="shared" si="246"/>
        <v>0</v>
      </c>
      <c r="AF42" s="4">
        <f t="shared" si="246"/>
        <v>0</v>
      </c>
      <c r="AG42" s="4">
        <f t="shared" si="246"/>
        <v>0</v>
      </c>
      <c r="AH42" s="4">
        <f t="shared" si="246"/>
        <v>0</v>
      </c>
      <c r="AI42" s="1">
        <f t="shared" si="5"/>
        <v>2</v>
      </c>
      <c r="AK42" s="1" t="s">
        <v>410</v>
      </c>
      <c r="AL42" s="4">
        <f t="shared" ref="AL42:AS42" si="247">IF(ISNUMBER(SEARCH(AL$1,$AK42)), 1, 0)</f>
        <v>1</v>
      </c>
      <c r="AM42" s="4">
        <f t="shared" si="247"/>
        <v>0</v>
      </c>
      <c r="AN42" s="4">
        <f t="shared" si="247"/>
        <v>1</v>
      </c>
      <c r="AO42" s="4">
        <f t="shared" si="247"/>
        <v>1</v>
      </c>
      <c r="AP42" s="4">
        <f t="shared" si="247"/>
        <v>0</v>
      </c>
      <c r="AQ42" s="4">
        <f t="shared" si="247"/>
        <v>0</v>
      </c>
      <c r="AR42" s="4">
        <f t="shared" si="247"/>
        <v>0</v>
      </c>
      <c r="AS42" s="4">
        <f t="shared" si="247"/>
        <v>0</v>
      </c>
      <c r="AU42" s="1" t="s">
        <v>47</v>
      </c>
      <c r="AV42" s="1">
        <f t="shared" si="7"/>
        <v>1</v>
      </c>
      <c r="AW42" s="1">
        <f t="shared" si="8"/>
        <v>0</v>
      </c>
      <c r="AX42" s="1">
        <f t="shared" si="9"/>
        <v>0</v>
      </c>
      <c r="AY42" s="1" t="s">
        <v>47</v>
      </c>
      <c r="AZ42" s="1" t="s">
        <v>47</v>
      </c>
      <c r="BA42" s="1" t="s">
        <v>411</v>
      </c>
      <c r="BB42" s="4">
        <f t="shared" ref="BB42:BJ42" si="248">IF(ISNUMBER(SEARCH(BB$1,$BA42)), 1, 0)</f>
        <v>0</v>
      </c>
      <c r="BC42" s="4">
        <f t="shared" si="248"/>
        <v>1</v>
      </c>
      <c r="BD42" s="4">
        <f t="shared" si="248"/>
        <v>0</v>
      </c>
      <c r="BE42" s="4">
        <f t="shared" si="248"/>
        <v>0</v>
      </c>
      <c r="BF42" s="4">
        <f t="shared" si="248"/>
        <v>1</v>
      </c>
      <c r="BG42" s="4">
        <f t="shared" si="248"/>
        <v>0</v>
      </c>
      <c r="BH42" s="4">
        <f t="shared" si="248"/>
        <v>0</v>
      </c>
      <c r="BI42" s="4">
        <f t="shared" si="248"/>
        <v>0</v>
      </c>
      <c r="BJ42" s="4">
        <f t="shared" si="248"/>
        <v>1</v>
      </c>
      <c r="BK42" s="4">
        <f t="shared" si="11"/>
        <v>3</v>
      </c>
      <c r="BO42" s="4">
        <f t="shared" ref="BO42:BU42" si="249">IF(ISNUMBER(SEARCH(BO$1,$BN42)), 1, 0)</f>
        <v>0</v>
      </c>
      <c r="BP42" s="4">
        <f t="shared" si="249"/>
        <v>0</v>
      </c>
      <c r="BQ42" s="4">
        <f t="shared" si="249"/>
        <v>0</v>
      </c>
      <c r="BR42" s="4">
        <f t="shared" si="249"/>
        <v>0</v>
      </c>
      <c r="BS42" s="4">
        <f t="shared" si="249"/>
        <v>0</v>
      </c>
      <c r="BT42" s="4">
        <f t="shared" si="249"/>
        <v>0</v>
      </c>
      <c r="BU42" s="4">
        <f t="shared" si="249"/>
        <v>0</v>
      </c>
      <c r="CB42" s="1" t="s">
        <v>47</v>
      </c>
      <c r="CF42" s="1" t="s">
        <v>412</v>
      </c>
      <c r="CG42" s="1" t="s">
        <v>413</v>
      </c>
      <c r="CH42" s="1" t="s">
        <v>173</v>
      </c>
      <c r="CI42" s="1" t="s">
        <v>414</v>
      </c>
      <c r="CJ42" s="1" t="s">
        <v>415</v>
      </c>
      <c r="CL42" s="1" t="s">
        <v>177</v>
      </c>
      <c r="DC42" s="1" t="s">
        <v>180</v>
      </c>
    </row>
    <row r="43" spans="1:107" ht="15.75" customHeight="1" x14ac:dyDescent="0.25">
      <c r="A43" s="1" t="b">
        <v>1</v>
      </c>
      <c r="B43" s="3">
        <v>46160.753634259258</v>
      </c>
      <c r="C43" s="1" t="s">
        <v>416</v>
      </c>
      <c r="D43" s="1" t="s">
        <v>4</v>
      </c>
      <c r="E43" s="4">
        <f t="shared" ref="E43:K43" si="250">IF(ISNUMBER(SEARCH(E$1,$D43)), SEARCH(E$1,$D43), 0)</f>
        <v>1</v>
      </c>
      <c r="F43" s="4">
        <f t="shared" si="250"/>
        <v>0</v>
      </c>
      <c r="G43" s="4">
        <f t="shared" si="250"/>
        <v>0</v>
      </c>
      <c r="H43" s="4">
        <f t="shared" si="250"/>
        <v>0</v>
      </c>
      <c r="I43" s="4">
        <f t="shared" si="250"/>
        <v>0</v>
      </c>
      <c r="J43" s="4">
        <f t="shared" si="250"/>
        <v>0</v>
      </c>
      <c r="K43" s="4">
        <f t="shared" si="250"/>
        <v>0</v>
      </c>
      <c r="L43" s="4">
        <f t="shared" si="1"/>
        <v>1</v>
      </c>
      <c r="N43" s="1" t="s">
        <v>240</v>
      </c>
      <c r="O43" s="4">
        <f t="shared" ref="O43:T43" si="251">IF(ISNUMBER(SEARCH(O$1,$N43)), 1, 0)</f>
        <v>1</v>
      </c>
      <c r="P43" s="4">
        <f t="shared" si="251"/>
        <v>1</v>
      </c>
      <c r="Q43" s="4">
        <f t="shared" si="251"/>
        <v>1</v>
      </c>
      <c r="R43" s="4">
        <f t="shared" si="251"/>
        <v>1</v>
      </c>
      <c r="S43" s="4">
        <f t="shared" si="251"/>
        <v>0</v>
      </c>
      <c r="T43" s="4">
        <f t="shared" si="251"/>
        <v>0</v>
      </c>
      <c r="V43" s="1" t="s">
        <v>26</v>
      </c>
      <c r="W43" s="1" t="str">
        <f t="shared" ref="W43:AA52" si="252">IF(W$1=$V43, "True", "False")</f>
        <v>False</v>
      </c>
      <c r="X43" s="1" t="str">
        <f t="shared" si="252"/>
        <v>False</v>
      </c>
      <c r="Y43" s="1" t="str">
        <f t="shared" si="252"/>
        <v>False</v>
      </c>
      <c r="Z43" s="1" t="str">
        <f t="shared" si="252"/>
        <v>False</v>
      </c>
      <c r="AA43" s="1" t="str">
        <f t="shared" si="252"/>
        <v>True</v>
      </c>
      <c r="AB43" s="1" t="s">
        <v>311</v>
      </c>
      <c r="AC43" s="4">
        <f t="shared" ref="AC43:AH43" si="253">IF(ISNUMBER(SEARCH(AC$1,$AB43)), 1, 0)</f>
        <v>1</v>
      </c>
      <c r="AD43" s="4">
        <f t="shared" si="253"/>
        <v>0</v>
      </c>
      <c r="AE43" s="4">
        <f t="shared" si="253"/>
        <v>0</v>
      </c>
      <c r="AF43" s="4">
        <f t="shared" si="253"/>
        <v>0</v>
      </c>
      <c r="AG43" s="4">
        <f t="shared" si="253"/>
        <v>0</v>
      </c>
      <c r="AH43" s="4">
        <f t="shared" si="253"/>
        <v>0</v>
      </c>
      <c r="AI43" s="1">
        <f t="shared" si="5"/>
        <v>1</v>
      </c>
      <c r="AJ43" s="1" t="s">
        <v>417</v>
      </c>
      <c r="AK43" s="1" t="s">
        <v>418</v>
      </c>
      <c r="AL43" s="4">
        <f t="shared" ref="AL43:AS43" si="254">IF(ISNUMBER(SEARCH(AL$1,$AK43)), 1, 0)</f>
        <v>1</v>
      </c>
      <c r="AM43" s="4">
        <f t="shared" si="254"/>
        <v>0</v>
      </c>
      <c r="AN43" s="4">
        <f t="shared" si="254"/>
        <v>1</v>
      </c>
      <c r="AO43" s="4">
        <f t="shared" si="254"/>
        <v>1</v>
      </c>
      <c r="AP43" s="4">
        <f t="shared" si="254"/>
        <v>0</v>
      </c>
      <c r="AQ43" s="4">
        <f t="shared" si="254"/>
        <v>1</v>
      </c>
      <c r="AR43" s="4">
        <f t="shared" si="254"/>
        <v>0</v>
      </c>
      <c r="AS43" s="4">
        <f t="shared" si="254"/>
        <v>0</v>
      </c>
      <c r="AU43" s="1" t="s">
        <v>48</v>
      </c>
      <c r="AV43" s="1">
        <f t="shared" si="7"/>
        <v>0</v>
      </c>
      <c r="AW43" s="1">
        <f t="shared" si="8"/>
        <v>1</v>
      </c>
      <c r="AX43" s="1">
        <f t="shared" si="9"/>
        <v>0</v>
      </c>
      <c r="AY43" s="1" t="s">
        <v>48</v>
      </c>
      <c r="BA43" s="1" t="s">
        <v>419</v>
      </c>
      <c r="BB43" s="4">
        <f t="shared" ref="BB43:BJ43" si="255">IF(ISNUMBER(SEARCH(BB$1,$BA43)), 1, 0)</f>
        <v>0</v>
      </c>
      <c r="BC43" s="4">
        <f t="shared" si="255"/>
        <v>1</v>
      </c>
      <c r="BD43" s="4">
        <f t="shared" si="255"/>
        <v>0</v>
      </c>
      <c r="BE43" s="4">
        <f t="shared" si="255"/>
        <v>1</v>
      </c>
      <c r="BF43" s="4">
        <f t="shared" si="255"/>
        <v>0</v>
      </c>
      <c r="BG43" s="4">
        <f t="shared" si="255"/>
        <v>1</v>
      </c>
      <c r="BH43" s="4">
        <f t="shared" si="255"/>
        <v>0</v>
      </c>
      <c r="BI43" s="4">
        <f t="shared" si="255"/>
        <v>0</v>
      </c>
      <c r="BJ43" s="4">
        <f t="shared" si="255"/>
        <v>1</v>
      </c>
      <c r="BK43" s="4">
        <f t="shared" si="11"/>
        <v>4</v>
      </c>
      <c r="BM43" s="1" t="s">
        <v>232</v>
      </c>
      <c r="BN43" s="1" t="s">
        <v>420</v>
      </c>
      <c r="BO43" s="4">
        <f t="shared" ref="BO43:BU43" si="256">IF(ISNUMBER(SEARCH(BO$1,$BN43)), 1, 0)</f>
        <v>1</v>
      </c>
      <c r="BP43" s="4">
        <f t="shared" si="256"/>
        <v>0</v>
      </c>
      <c r="BQ43" s="4">
        <f t="shared" si="256"/>
        <v>1</v>
      </c>
      <c r="BR43" s="4">
        <f t="shared" si="256"/>
        <v>1</v>
      </c>
      <c r="BS43" s="4">
        <f t="shared" si="256"/>
        <v>0</v>
      </c>
      <c r="BT43" s="4">
        <f t="shared" si="256"/>
        <v>1</v>
      </c>
      <c r="BU43" s="4">
        <f t="shared" si="256"/>
        <v>1</v>
      </c>
      <c r="DC43" s="1" t="s">
        <v>238</v>
      </c>
    </row>
    <row r="44" spans="1:107" ht="15.75" customHeight="1" x14ac:dyDescent="0.25">
      <c r="A44" s="1" t="b">
        <v>1</v>
      </c>
      <c r="B44" s="3">
        <v>46161.002569444441</v>
      </c>
      <c r="C44" s="1" t="s">
        <v>421</v>
      </c>
      <c r="D44" s="1" t="s">
        <v>4</v>
      </c>
      <c r="E44" s="4">
        <f t="shared" ref="E44:K44" si="257">IF(ISNUMBER(SEARCH(E$1,$D44)), SEARCH(E$1,$D44), 0)</f>
        <v>1</v>
      </c>
      <c r="F44" s="4">
        <f t="shared" si="257"/>
        <v>0</v>
      </c>
      <c r="G44" s="4">
        <f t="shared" si="257"/>
        <v>0</v>
      </c>
      <c r="H44" s="4">
        <f t="shared" si="257"/>
        <v>0</v>
      </c>
      <c r="I44" s="4">
        <f t="shared" si="257"/>
        <v>0</v>
      </c>
      <c r="J44" s="4">
        <f t="shared" si="257"/>
        <v>0</v>
      </c>
      <c r="K44" s="4">
        <f t="shared" si="257"/>
        <v>0</v>
      </c>
      <c r="L44" s="4">
        <f t="shared" si="1"/>
        <v>1</v>
      </c>
      <c r="N44" s="1" t="s">
        <v>272</v>
      </c>
      <c r="O44" s="4">
        <f t="shared" ref="O44:T44" si="258">IF(ISNUMBER(SEARCH(O$1,$N44)), 1, 0)</f>
        <v>1</v>
      </c>
      <c r="P44" s="4">
        <f t="shared" si="258"/>
        <v>1</v>
      </c>
      <c r="Q44" s="4">
        <f t="shared" si="258"/>
        <v>1</v>
      </c>
      <c r="R44" s="4">
        <f t="shared" si="258"/>
        <v>1</v>
      </c>
      <c r="S44" s="4">
        <f t="shared" si="258"/>
        <v>1</v>
      </c>
      <c r="T44" s="4">
        <f t="shared" si="258"/>
        <v>0</v>
      </c>
      <c r="V44" s="1" t="s">
        <v>26</v>
      </c>
      <c r="W44" s="1" t="str">
        <f t="shared" si="252"/>
        <v>False</v>
      </c>
      <c r="X44" s="1" t="str">
        <f t="shared" si="252"/>
        <v>False</v>
      </c>
      <c r="Y44" s="1" t="str">
        <f t="shared" si="252"/>
        <v>False</v>
      </c>
      <c r="Z44" s="1" t="str">
        <f t="shared" si="252"/>
        <v>False</v>
      </c>
      <c r="AA44" s="1" t="str">
        <f t="shared" si="252"/>
        <v>True</v>
      </c>
      <c r="AB44" s="1" t="s">
        <v>28</v>
      </c>
      <c r="AC44" s="4">
        <f t="shared" ref="AC44:AH44" si="259">IF(ISNUMBER(SEARCH(AC$1,$AB44)), 1, 0)</f>
        <v>1</v>
      </c>
      <c r="AD44" s="4">
        <f t="shared" si="259"/>
        <v>0</v>
      </c>
      <c r="AE44" s="4">
        <f t="shared" si="259"/>
        <v>0</v>
      </c>
      <c r="AF44" s="4">
        <f t="shared" si="259"/>
        <v>0</v>
      </c>
      <c r="AG44" s="4">
        <f t="shared" si="259"/>
        <v>0</v>
      </c>
      <c r="AH44" s="4">
        <f t="shared" si="259"/>
        <v>0</v>
      </c>
      <c r="AI44" s="1">
        <f t="shared" si="5"/>
        <v>1</v>
      </c>
      <c r="AK44" s="1" t="s">
        <v>259</v>
      </c>
      <c r="AL44" s="4">
        <f t="shared" ref="AL44:AS44" si="260">IF(ISNUMBER(SEARCH(AL$1,$AK44)), 1, 0)</f>
        <v>1</v>
      </c>
      <c r="AM44" s="4">
        <f t="shared" si="260"/>
        <v>1</v>
      </c>
      <c r="AN44" s="4">
        <f t="shared" si="260"/>
        <v>0</v>
      </c>
      <c r="AO44" s="4">
        <f t="shared" si="260"/>
        <v>1</v>
      </c>
      <c r="AP44" s="4">
        <f t="shared" si="260"/>
        <v>0</v>
      </c>
      <c r="AQ44" s="4">
        <f t="shared" si="260"/>
        <v>0</v>
      </c>
      <c r="AR44" s="4">
        <f t="shared" si="260"/>
        <v>0</v>
      </c>
      <c r="AS44" s="4">
        <f t="shared" si="260"/>
        <v>0</v>
      </c>
      <c r="AU44" s="1" t="s">
        <v>47</v>
      </c>
      <c r="AV44" s="1">
        <f t="shared" si="7"/>
        <v>1</v>
      </c>
      <c r="AW44" s="1">
        <f t="shared" si="8"/>
        <v>0</v>
      </c>
      <c r="AX44" s="1">
        <f t="shared" si="9"/>
        <v>0</v>
      </c>
      <c r="AY44" s="1" t="s">
        <v>48</v>
      </c>
      <c r="BA44" s="1" t="s">
        <v>325</v>
      </c>
      <c r="BB44" s="4">
        <f t="shared" ref="BB44:BJ44" si="261">IF(ISNUMBER(SEARCH(BB$1,$BA44)), 1, 0)</f>
        <v>1</v>
      </c>
      <c r="BC44" s="4">
        <f t="shared" si="261"/>
        <v>1</v>
      </c>
      <c r="BD44" s="4">
        <f t="shared" si="261"/>
        <v>1</v>
      </c>
      <c r="BE44" s="4">
        <f t="shared" si="261"/>
        <v>0</v>
      </c>
      <c r="BF44" s="4">
        <f t="shared" si="261"/>
        <v>1</v>
      </c>
      <c r="BG44" s="4">
        <f t="shared" si="261"/>
        <v>0</v>
      </c>
      <c r="BH44" s="4">
        <f t="shared" si="261"/>
        <v>0</v>
      </c>
      <c r="BI44" s="4">
        <f t="shared" si="261"/>
        <v>0</v>
      </c>
      <c r="BJ44" s="4">
        <f t="shared" si="261"/>
        <v>1</v>
      </c>
      <c r="BK44" s="4">
        <f t="shared" si="11"/>
        <v>5</v>
      </c>
      <c r="BM44" s="1" t="s">
        <v>190</v>
      </c>
      <c r="BN44" s="1" t="s">
        <v>72</v>
      </c>
      <c r="BO44" s="4">
        <f t="shared" ref="BO44:BU44" si="262">IF(ISNUMBER(SEARCH(BO$1,$BN44)), 1, 0)</f>
        <v>0</v>
      </c>
      <c r="BP44" s="4">
        <f t="shared" si="262"/>
        <v>0</v>
      </c>
      <c r="BQ44" s="4">
        <f t="shared" si="262"/>
        <v>0</v>
      </c>
      <c r="BR44" s="4">
        <f t="shared" si="262"/>
        <v>0</v>
      </c>
      <c r="BS44" s="4">
        <f t="shared" si="262"/>
        <v>0</v>
      </c>
      <c r="BT44" s="4">
        <f t="shared" si="262"/>
        <v>0</v>
      </c>
      <c r="BU44" s="4">
        <f t="shared" si="262"/>
        <v>1</v>
      </c>
      <c r="DC44" s="1" t="s">
        <v>180</v>
      </c>
    </row>
    <row r="45" spans="1:107" ht="15.75" customHeight="1" x14ac:dyDescent="0.25">
      <c r="A45" s="1" t="b">
        <v>1</v>
      </c>
      <c r="B45" s="3">
        <v>46161.016493055555</v>
      </c>
      <c r="C45" s="1" t="s">
        <v>422</v>
      </c>
      <c r="D45" s="1" t="s">
        <v>4</v>
      </c>
      <c r="E45" s="4">
        <f t="shared" ref="E45:K45" si="263">IF(ISNUMBER(SEARCH(E$1,$D45)), SEARCH(E$1,$D45), 0)</f>
        <v>1</v>
      </c>
      <c r="F45" s="4">
        <f t="shared" si="263"/>
        <v>0</v>
      </c>
      <c r="G45" s="4">
        <f t="shared" si="263"/>
        <v>0</v>
      </c>
      <c r="H45" s="4">
        <f t="shared" si="263"/>
        <v>0</v>
      </c>
      <c r="I45" s="4">
        <f t="shared" si="263"/>
        <v>0</v>
      </c>
      <c r="J45" s="4">
        <f t="shared" si="263"/>
        <v>0</v>
      </c>
      <c r="K45" s="4">
        <f t="shared" si="263"/>
        <v>0</v>
      </c>
      <c r="L45" s="4">
        <f t="shared" si="1"/>
        <v>1</v>
      </c>
      <c r="N45" s="1" t="s">
        <v>244</v>
      </c>
      <c r="O45" s="4">
        <f t="shared" ref="O45:T45" si="264">IF(ISNUMBER(SEARCH(O$1,$N45)), 1, 0)</f>
        <v>1</v>
      </c>
      <c r="P45" s="4">
        <f t="shared" si="264"/>
        <v>0</v>
      </c>
      <c r="Q45" s="4">
        <f t="shared" si="264"/>
        <v>1</v>
      </c>
      <c r="R45" s="4">
        <f t="shared" si="264"/>
        <v>1</v>
      </c>
      <c r="S45" s="4">
        <f t="shared" si="264"/>
        <v>0</v>
      </c>
      <c r="T45" s="4">
        <f t="shared" si="264"/>
        <v>0</v>
      </c>
      <c r="V45" s="1" t="s">
        <v>24</v>
      </c>
      <c r="W45" s="1" t="str">
        <f t="shared" si="252"/>
        <v>False</v>
      </c>
      <c r="X45" s="1" t="str">
        <f t="shared" si="252"/>
        <v>False</v>
      </c>
      <c r="Y45" s="1" t="str">
        <f t="shared" si="252"/>
        <v>True</v>
      </c>
      <c r="Z45" s="1" t="str">
        <f t="shared" si="252"/>
        <v>False</v>
      </c>
      <c r="AA45" s="1" t="str">
        <f t="shared" si="252"/>
        <v>False</v>
      </c>
      <c r="AB45" s="1" t="s">
        <v>33</v>
      </c>
      <c r="AC45" s="4">
        <f t="shared" ref="AC45:AH45" si="265">IF(ISNUMBER(SEARCH(AC$1,$AB45)), 1, 0)</f>
        <v>0</v>
      </c>
      <c r="AD45" s="4">
        <f t="shared" si="265"/>
        <v>0</v>
      </c>
      <c r="AE45" s="4">
        <f t="shared" si="265"/>
        <v>0</v>
      </c>
      <c r="AF45" s="4">
        <f t="shared" si="265"/>
        <v>0</v>
      </c>
      <c r="AG45" s="4">
        <f t="shared" si="265"/>
        <v>0</v>
      </c>
      <c r="AH45" s="4">
        <f t="shared" si="265"/>
        <v>1</v>
      </c>
      <c r="AI45" s="1">
        <f t="shared" si="5"/>
        <v>1</v>
      </c>
      <c r="AK45" s="1" t="s">
        <v>423</v>
      </c>
      <c r="AL45" s="4">
        <f t="shared" ref="AL45:AS45" si="266">IF(ISNUMBER(SEARCH(AL$1,$AK45)), 1, 0)</f>
        <v>0</v>
      </c>
      <c r="AM45" s="4">
        <f t="shared" si="266"/>
        <v>1</v>
      </c>
      <c r="AN45" s="4">
        <f t="shared" si="266"/>
        <v>1</v>
      </c>
      <c r="AO45" s="4">
        <f t="shared" si="266"/>
        <v>1</v>
      </c>
      <c r="AP45" s="4">
        <f t="shared" si="266"/>
        <v>0</v>
      </c>
      <c r="AQ45" s="4">
        <f t="shared" si="266"/>
        <v>1</v>
      </c>
      <c r="AR45" s="4">
        <f t="shared" si="266"/>
        <v>0</v>
      </c>
      <c r="AS45" s="4">
        <f t="shared" si="266"/>
        <v>0</v>
      </c>
      <c r="AU45" s="1" t="s">
        <v>47</v>
      </c>
      <c r="AV45" s="1">
        <f t="shared" si="7"/>
        <v>1</v>
      </c>
      <c r="AW45" s="1">
        <f t="shared" si="8"/>
        <v>0</v>
      </c>
      <c r="AX45" s="1">
        <f t="shared" si="9"/>
        <v>0</v>
      </c>
      <c r="AY45" s="1" t="s">
        <v>47</v>
      </c>
      <c r="AZ45" s="1" t="s">
        <v>48</v>
      </c>
      <c r="BB45" s="4">
        <f t="shared" ref="BB45:BJ45" si="267">IF(ISNUMBER(SEARCH(BB$1,$BA45)), 1, 0)</f>
        <v>0</v>
      </c>
      <c r="BC45" s="4">
        <f t="shared" si="267"/>
        <v>0</v>
      </c>
      <c r="BD45" s="4">
        <f t="shared" si="267"/>
        <v>0</v>
      </c>
      <c r="BE45" s="4">
        <f t="shared" si="267"/>
        <v>0</v>
      </c>
      <c r="BF45" s="4">
        <f t="shared" si="267"/>
        <v>0</v>
      </c>
      <c r="BG45" s="4">
        <f t="shared" si="267"/>
        <v>0</v>
      </c>
      <c r="BH45" s="4">
        <f t="shared" si="267"/>
        <v>0</v>
      </c>
      <c r="BI45" s="4">
        <f t="shared" si="267"/>
        <v>0</v>
      </c>
      <c r="BJ45" s="4">
        <f t="shared" si="267"/>
        <v>0</v>
      </c>
      <c r="BK45" s="4">
        <f t="shared" si="11"/>
        <v>0</v>
      </c>
      <c r="BO45" s="4">
        <f t="shared" ref="BO45:BU45" si="268">IF(ISNUMBER(SEARCH(BO$1,$BN45)), 1, 0)</f>
        <v>0</v>
      </c>
      <c r="BP45" s="4">
        <f t="shared" si="268"/>
        <v>0</v>
      </c>
      <c r="BQ45" s="4">
        <f t="shared" si="268"/>
        <v>0</v>
      </c>
      <c r="BR45" s="4">
        <f t="shared" si="268"/>
        <v>0</v>
      </c>
      <c r="BS45" s="4">
        <f t="shared" si="268"/>
        <v>0</v>
      </c>
      <c r="BT45" s="4">
        <f t="shared" si="268"/>
        <v>0</v>
      </c>
      <c r="BU45" s="4">
        <f t="shared" si="268"/>
        <v>0</v>
      </c>
      <c r="DC45" s="1" t="s">
        <v>180</v>
      </c>
    </row>
    <row r="46" spans="1:107" ht="15.75" customHeight="1" x14ac:dyDescent="0.25">
      <c r="A46" s="1" t="b">
        <v>1</v>
      </c>
      <c r="B46" s="3">
        <v>46161.275833333333</v>
      </c>
      <c r="C46" s="1" t="s">
        <v>424</v>
      </c>
      <c r="D46" s="1" t="s">
        <v>425</v>
      </c>
      <c r="E46" s="4">
        <f t="shared" ref="E46:K46" si="269">IF(ISNUMBER(SEARCH(E$1,$D46)), SEARCH(E$1,$D46), 0)</f>
        <v>1</v>
      </c>
      <c r="F46" s="4">
        <f t="shared" si="269"/>
        <v>30</v>
      </c>
      <c r="G46" s="4">
        <f t="shared" si="269"/>
        <v>105</v>
      </c>
      <c r="H46" s="4">
        <f t="shared" si="269"/>
        <v>161</v>
      </c>
      <c r="I46" s="4">
        <f t="shared" si="269"/>
        <v>199</v>
      </c>
      <c r="J46" s="4">
        <f t="shared" si="269"/>
        <v>231</v>
      </c>
      <c r="K46" s="4">
        <f t="shared" si="269"/>
        <v>268</v>
      </c>
      <c r="L46" s="4">
        <f t="shared" si="1"/>
        <v>268</v>
      </c>
      <c r="N46" s="1" t="s">
        <v>323</v>
      </c>
      <c r="O46" s="4">
        <f t="shared" ref="O46:T46" si="270">IF(ISNUMBER(SEARCH(O$1,$N46)), 1, 0)</f>
        <v>1</v>
      </c>
      <c r="P46" s="4">
        <f t="shared" si="270"/>
        <v>1</v>
      </c>
      <c r="Q46" s="4">
        <f t="shared" si="270"/>
        <v>1</v>
      </c>
      <c r="R46" s="4">
        <f t="shared" si="270"/>
        <v>1</v>
      </c>
      <c r="S46" s="4">
        <f t="shared" si="270"/>
        <v>0</v>
      </c>
      <c r="T46" s="4">
        <f t="shared" si="270"/>
        <v>1</v>
      </c>
      <c r="V46" s="1" t="s">
        <v>22</v>
      </c>
      <c r="W46" s="1" t="str">
        <f t="shared" si="252"/>
        <v>True</v>
      </c>
      <c r="X46" s="1" t="str">
        <f t="shared" si="252"/>
        <v>False</v>
      </c>
      <c r="Y46" s="1" t="str">
        <f t="shared" si="252"/>
        <v>False</v>
      </c>
      <c r="Z46" s="1" t="str">
        <f t="shared" si="252"/>
        <v>False</v>
      </c>
      <c r="AA46" s="1" t="str">
        <f t="shared" si="252"/>
        <v>False</v>
      </c>
      <c r="AB46" s="1" t="s">
        <v>183</v>
      </c>
      <c r="AC46" s="4">
        <f t="shared" ref="AC46:AH46" si="271">IF(ISNUMBER(SEARCH(AC$1,$AB46)), 1, 0)</f>
        <v>0</v>
      </c>
      <c r="AD46" s="4">
        <f t="shared" si="271"/>
        <v>0</v>
      </c>
      <c r="AE46" s="4">
        <f t="shared" si="271"/>
        <v>0</v>
      </c>
      <c r="AF46" s="4">
        <f t="shared" si="271"/>
        <v>0</v>
      </c>
      <c r="AG46" s="4">
        <f t="shared" si="271"/>
        <v>0</v>
      </c>
      <c r="AH46" s="4">
        <f t="shared" si="271"/>
        <v>0</v>
      </c>
      <c r="AI46" s="1">
        <f t="shared" si="5"/>
        <v>0</v>
      </c>
      <c r="AJ46" s="1" t="s">
        <v>426</v>
      </c>
      <c r="AK46" s="1" t="s">
        <v>427</v>
      </c>
      <c r="AL46" s="4">
        <f t="shared" ref="AL46:AS46" si="272">IF(ISNUMBER(SEARCH(AL$1,$AK46)), 1, 0)</f>
        <v>0</v>
      </c>
      <c r="AM46" s="4">
        <f t="shared" si="272"/>
        <v>1</v>
      </c>
      <c r="AN46" s="4">
        <f t="shared" si="272"/>
        <v>1</v>
      </c>
      <c r="AO46" s="4">
        <f t="shared" si="272"/>
        <v>1</v>
      </c>
      <c r="AP46" s="4">
        <f t="shared" si="272"/>
        <v>0</v>
      </c>
      <c r="AQ46" s="4">
        <f t="shared" si="272"/>
        <v>1</v>
      </c>
      <c r="AR46" s="4">
        <f t="shared" si="272"/>
        <v>1</v>
      </c>
      <c r="AS46" s="4">
        <f t="shared" si="272"/>
        <v>1</v>
      </c>
      <c r="AU46" s="1" t="s">
        <v>48</v>
      </c>
      <c r="AV46" s="1">
        <f t="shared" si="7"/>
        <v>0</v>
      </c>
      <c r="AW46" s="1">
        <f t="shared" si="8"/>
        <v>1</v>
      </c>
      <c r="AX46" s="1">
        <f t="shared" si="9"/>
        <v>0</v>
      </c>
      <c r="AY46" s="1" t="s">
        <v>47</v>
      </c>
      <c r="AZ46" s="1" t="s">
        <v>47</v>
      </c>
      <c r="BA46" s="1" t="s">
        <v>428</v>
      </c>
      <c r="BB46" s="4">
        <f t="shared" ref="BB46:BJ46" si="273">IF(ISNUMBER(SEARCH(BB$1,$BA46)), 1, 0)</f>
        <v>0</v>
      </c>
      <c r="BC46" s="4">
        <f t="shared" si="273"/>
        <v>0</v>
      </c>
      <c r="BD46" s="4">
        <f t="shared" si="273"/>
        <v>0</v>
      </c>
      <c r="BE46" s="4">
        <f t="shared" si="273"/>
        <v>0</v>
      </c>
      <c r="BF46" s="4">
        <f t="shared" si="273"/>
        <v>0</v>
      </c>
      <c r="BG46" s="4">
        <f t="shared" si="273"/>
        <v>0</v>
      </c>
      <c r="BH46" s="4">
        <f t="shared" si="273"/>
        <v>1</v>
      </c>
      <c r="BI46" s="4">
        <f t="shared" si="273"/>
        <v>1</v>
      </c>
      <c r="BJ46" s="4">
        <f t="shared" si="273"/>
        <v>1</v>
      </c>
      <c r="BK46" s="4">
        <f t="shared" si="11"/>
        <v>3</v>
      </c>
      <c r="BO46" s="4">
        <f t="shared" ref="BO46:BU46" si="274">IF(ISNUMBER(SEARCH(BO$1,$BN46)), 1, 0)</f>
        <v>0</v>
      </c>
      <c r="BP46" s="4">
        <f t="shared" si="274"/>
        <v>0</v>
      </c>
      <c r="BQ46" s="4">
        <f t="shared" si="274"/>
        <v>0</v>
      </c>
      <c r="BR46" s="4">
        <f t="shared" si="274"/>
        <v>0</v>
      </c>
      <c r="BS46" s="4">
        <f t="shared" si="274"/>
        <v>0</v>
      </c>
      <c r="BT46" s="4">
        <f t="shared" si="274"/>
        <v>0</v>
      </c>
      <c r="BU46" s="4">
        <f t="shared" si="274"/>
        <v>0</v>
      </c>
      <c r="BY46" s="1" t="s">
        <v>429</v>
      </c>
      <c r="BZ46" s="1" t="s">
        <v>183</v>
      </c>
      <c r="CA46" s="1" t="s">
        <v>430</v>
      </c>
      <c r="CB46" s="1" t="s">
        <v>48</v>
      </c>
      <c r="CC46" s="1" t="s">
        <v>47</v>
      </c>
      <c r="CD46" s="1" t="s">
        <v>431</v>
      </c>
      <c r="CF46" s="1" t="s">
        <v>412</v>
      </c>
      <c r="CG46" s="1" t="s">
        <v>432</v>
      </c>
      <c r="CI46" s="1" t="s">
        <v>433</v>
      </c>
      <c r="CJ46" s="1" t="s">
        <v>434</v>
      </c>
      <c r="CR46" s="1" t="s">
        <v>435</v>
      </c>
      <c r="CT46" s="1" t="s">
        <v>436</v>
      </c>
      <c r="CU46" s="1" t="s">
        <v>214</v>
      </c>
      <c r="CW46" s="1" t="s">
        <v>437</v>
      </c>
    </row>
    <row r="47" spans="1:107" ht="15.75" customHeight="1" x14ac:dyDescent="0.25">
      <c r="A47" s="1" t="b">
        <v>0</v>
      </c>
      <c r="B47" s="3">
        <v>46161.305231481485</v>
      </c>
      <c r="C47" s="1" t="s">
        <v>438</v>
      </c>
      <c r="D47" s="1" t="s">
        <v>439</v>
      </c>
      <c r="E47" s="4">
        <f t="shared" ref="E47:K47" si="275">IF(ISNUMBER(SEARCH(E$1,$D47)), SEARCH(E$1,$D47), 0)</f>
        <v>1</v>
      </c>
      <c r="F47" s="4">
        <f t="shared" si="275"/>
        <v>30</v>
      </c>
      <c r="G47" s="4">
        <f t="shared" si="275"/>
        <v>0</v>
      </c>
      <c r="H47" s="4">
        <f t="shared" si="275"/>
        <v>0</v>
      </c>
      <c r="I47" s="4">
        <f t="shared" si="275"/>
        <v>105</v>
      </c>
      <c r="J47" s="4">
        <f t="shared" si="275"/>
        <v>0</v>
      </c>
      <c r="K47" s="4">
        <f t="shared" si="275"/>
        <v>0</v>
      </c>
      <c r="L47" s="4">
        <f t="shared" si="1"/>
        <v>105</v>
      </c>
      <c r="N47" s="1" t="s">
        <v>328</v>
      </c>
      <c r="O47" s="4">
        <f t="shared" ref="O47:T47" si="276">IF(ISNUMBER(SEARCH(O$1,$N47)), 1, 0)</f>
        <v>1</v>
      </c>
      <c r="P47" s="4">
        <f t="shared" si="276"/>
        <v>1</v>
      </c>
      <c r="Q47" s="4">
        <f t="shared" si="276"/>
        <v>1</v>
      </c>
      <c r="R47" s="4">
        <f t="shared" si="276"/>
        <v>0</v>
      </c>
      <c r="S47" s="4">
        <f t="shared" si="276"/>
        <v>0</v>
      </c>
      <c r="T47" s="4">
        <f t="shared" si="276"/>
        <v>0</v>
      </c>
      <c r="W47" s="1" t="str">
        <f t="shared" si="252"/>
        <v>False</v>
      </c>
      <c r="X47" s="1" t="str">
        <f t="shared" si="252"/>
        <v>False</v>
      </c>
      <c r="Y47" s="1" t="str">
        <f t="shared" si="252"/>
        <v>False</v>
      </c>
      <c r="Z47" s="1" t="str">
        <f t="shared" si="252"/>
        <v>False</v>
      </c>
      <c r="AA47" s="1" t="str">
        <f t="shared" si="252"/>
        <v>False</v>
      </c>
      <c r="AB47" s="1" t="s">
        <v>230</v>
      </c>
      <c r="AC47" s="4">
        <f t="shared" ref="AC47:AH47" si="277">IF(ISNUMBER(SEARCH(AC$1,$AB47)), 1, 0)</f>
        <v>1</v>
      </c>
      <c r="AD47" s="4">
        <f t="shared" si="277"/>
        <v>1</v>
      </c>
      <c r="AE47" s="4">
        <f t="shared" si="277"/>
        <v>0</v>
      </c>
      <c r="AF47" s="4">
        <f t="shared" si="277"/>
        <v>0</v>
      </c>
      <c r="AG47" s="4">
        <f t="shared" si="277"/>
        <v>0</v>
      </c>
      <c r="AH47" s="4">
        <f t="shared" si="277"/>
        <v>0</v>
      </c>
      <c r="AI47" s="1">
        <f t="shared" si="5"/>
        <v>2</v>
      </c>
      <c r="AK47" s="1" t="s">
        <v>440</v>
      </c>
      <c r="AL47" s="4">
        <f t="shared" ref="AL47:AS47" si="278">IF(ISNUMBER(SEARCH(AL$1,$AK47)), 1, 0)</f>
        <v>0</v>
      </c>
      <c r="AM47" s="4">
        <f t="shared" si="278"/>
        <v>0</v>
      </c>
      <c r="AN47" s="4">
        <f t="shared" si="278"/>
        <v>0</v>
      </c>
      <c r="AO47" s="4">
        <f t="shared" si="278"/>
        <v>1</v>
      </c>
      <c r="AP47" s="4">
        <f t="shared" si="278"/>
        <v>0</v>
      </c>
      <c r="AQ47" s="4">
        <f t="shared" si="278"/>
        <v>1</v>
      </c>
      <c r="AR47" s="4">
        <f t="shared" si="278"/>
        <v>0</v>
      </c>
      <c r="AS47" s="4">
        <f t="shared" si="278"/>
        <v>1</v>
      </c>
      <c r="AU47" s="1" t="s">
        <v>47</v>
      </c>
      <c r="AV47" s="1">
        <f t="shared" si="7"/>
        <v>1</v>
      </c>
      <c r="AW47" s="1">
        <f t="shared" si="8"/>
        <v>0</v>
      </c>
      <c r="AX47" s="1">
        <f t="shared" si="9"/>
        <v>0</v>
      </c>
      <c r="AY47" s="1" t="s">
        <v>48</v>
      </c>
      <c r="BA47" s="1" t="s">
        <v>411</v>
      </c>
      <c r="BB47" s="4">
        <f t="shared" ref="BB47:BJ47" si="279">IF(ISNUMBER(SEARCH(BB$1,$BA47)), 1, 0)</f>
        <v>0</v>
      </c>
      <c r="BC47" s="4">
        <f t="shared" si="279"/>
        <v>1</v>
      </c>
      <c r="BD47" s="4">
        <f t="shared" si="279"/>
        <v>0</v>
      </c>
      <c r="BE47" s="4">
        <f t="shared" si="279"/>
        <v>0</v>
      </c>
      <c r="BF47" s="4">
        <f t="shared" si="279"/>
        <v>1</v>
      </c>
      <c r="BG47" s="4">
        <f t="shared" si="279"/>
        <v>0</v>
      </c>
      <c r="BH47" s="4">
        <f t="shared" si="279"/>
        <v>0</v>
      </c>
      <c r="BI47" s="4">
        <f t="shared" si="279"/>
        <v>0</v>
      </c>
      <c r="BJ47" s="4">
        <f t="shared" si="279"/>
        <v>1</v>
      </c>
      <c r="BK47" s="4">
        <f t="shared" si="11"/>
        <v>3</v>
      </c>
      <c r="BM47" s="1" t="s">
        <v>232</v>
      </c>
      <c r="BN47" s="1" t="s">
        <v>441</v>
      </c>
      <c r="BO47" s="4">
        <f t="shared" ref="BO47:BU47" si="280">IF(ISNUMBER(SEARCH(BO$1,$BN47)), 1, 0)</f>
        <v>0</v>
      </c>
      <c r="BP47" s="4">
        <f t="shared" si="280"/>
        <v>1</v>
      </c>
      <c r="BQ47" s="4">
        <f t="shared" si="280"/>
        <v>0</v>
      </c>
      <c r="BR47" s="4">
        <f t="shared" si="280"/>
        <v>1</v>
      </c>
      <c r="BS47" s="4">
        <f t="shared" si="280"/>
        <v>1</v>
      </c>
      <c r="BT47" s="4">
        <f t="shared" si="280"/>
        <v>0</v>
      </c>
      <c r="BU47" s="4">
        <f t="shared" si="280"/>
        <v>0</v>
      </c>
    </row>
    <row r="48" spans="1:107" ht="15.75" customHeight="1" x14ac:dyDescent="0.25">
      <c r="A48" s="1" t="b">
        <v>1</v>
      </c>
      <c r="B48" s="3">
        <v>46161.533495370371</v>
      </c>
      <c r="C48" s="1" t="s">
        <v>442</v>
      </c>
      <c r="D48" s="1" t="s">
        <v>425</v>
      </c>
      <c r="E48" s="4">
        <f t="shared" ref="E48:K48" si="281">IF(ISNUMBER(SEARCH(E$1,$D48)), SEARCH(E$1,$D48), 0)</f>
        <v>1</v>
      </c>
      <c r="F48" s="4">
        <f t="shared" si="281"/>
        <v>30</v>
      </c>
      <c r="G48" s="4">
        <f t="shared" si="281"/>
        <v>105</v>
      </c>
      <c r="H48" s="4">
        <f t="shared" si="281"/>
        <v>161</v>
      </c>
      <c r="I48" s="4">
        <f t="shared" si="281"/>
        <v>199</v>
      </c>
      <c r="J48" s="4">
        <f t="shared" si="281"/>
        <v>231</v>
      </c>
      <c r="K48" s="4">
        <f t="shared" si="281"/>
        <v>268</v>
      </c>
      <c r="L48" s="4">
        <f t="shared" si="1"/>
        <v>268</v>
      </c>
      <c r="O48" s="4">
        <f t="shared" ref="O48:T48" si="282">IF(ISNUMBER(SEARCH(O$1,$N48)), 1, 0)</f>
        <v>0</v>
      </c>
      <c r="P48" s="4">
        <f t="shared" si="282"/>
        <v>0</v>
      </c>
      <c r="Q48" s="4">
        <f t="shared" si="282"/>
        <v>0</v>
      </c>
      <c r="R48" s="4">
        <f t="shared" si="282"/>
        <v>0</v>
      </c>
      <c r="S48" s="4">
        <f t="shared" si="282"/>
        <v>0</v>
      </c>
      <c r="T48" s="4">
        <f t="shared" si="282"/>
        <v>0</v>
      </c>
      <c r="W48" s="1" t="str">
        <f t="shared" si="252"/>
        <v>False</v>
      </c>
      <c r="X48" s="1" t="str">
        <f t="shared" si="252"/>
        <v>False</v>
      </c>
      <c r="Y48" s="1" t="str">
        <f t="shared" si="252"/>
        <v>False</v>
      </c>
      <c r="Z48" s="1" t="str">
        <f t="shared" si="252"/>
        <v>False</v>
      </c>
      <c r="AA48" s="1" t="str">
        <f t="shared" si="252"/>
        <v>False</v>
      </c>
      <c r="AB48" s="1" t="s">
        <v>443</v>
      </c>
      <c r="AC48" s="4">
        <f t="shared" ref="AC48:AH48" si="283">IF(ISNUMBER(SEARCH(AC$1,$AB48)), 1, 0)</f>
        <v>0</v>
      </c>
      <c r="AD48" s="4">
        <f t="shared" si="283"/>
        <v>1</v>
      </c>
      <c r="AE48" s="4">
        <f t="shared" si="283"/>
        <v>1</v>
      </c>
      <c r="AF48" s="4">
        <f t="shared" si="283"/>
        <v>1</v>
      </c>
      <c r="AG48" s="4">
        <f t="shared" si="283"/>
        <v>0</v>
      </c>
      <c r="AH48" s="4">
        <f t="shared" si="283"/>
        <v>1</v>
      </c>
      <c r="AI48" s="1">
        <f t="shared" si="5"/>
        <v>4</v>
      </c>
      <c r="AL48" s="4">
        <f t="shared" ref="AL48:AS48" si="284">IF(ISNUMBER(SEARCH(AL$1,$AK48)), 1, 0)</f>
        <v>0</v>
      </c>
      <c r="AM48" s="4">
        <f t="shared" si="284"/>
        <v>0</v>
      </c>
      <c r="AN48" s="4">
        <f t="shared" si="284"/>
        <v>0</v>
      </c>
      <c r="AO48" s="4">
        <f t="shared" si="284"/>
        <v>0</v>
      </c>
      <c r="AP48" s="4">
        <f t="shared" si="284"/>
        <v>0</v>
      </c>
      <c r="AQ48" s="4">
        <f t="shared" si="284"/>
        <v>0</v>
      </c>
      <c r="AR48" s="4">
        <f t="shared" si="284"/>
        <v>0</v>
      </c>
      <c r="AS48" s="4">
        <f t="shared" si="284"/>
        <v>0</v>
      </c>
      <c r="AV48" s="1">
        <f t="shared" si="7"/>
        <v>0</v>
      </c>
      <c r="AW48" s="1">
        <f t="shared" si="8"/>
        <v>0</v>
      </c>
      <c r="AX48" s="1">
        <f t="shared" si="9"/>
        <v>0</v>
      </c>
      <c r="BB48" s="4">
        <f t="shared" ref="BB48:BJ48" si="285">IF(ISNUMBER(SEARCH(BB$1,$BA48)), 1, 0)</f>
        <v>0</v>
      </c>
      <c r="BC48" s="4">
        <f t="shared" si="285"/>
        <v>0</v>
      </c>
      <c r="BD48" s="4">
        <f t="shared" si="285"/>
        <v>0</v>
      </c>
      <c r="BE48" s="4">
        <f t="shared" si="285"/>
        <v>0</v>
      </c>
      <c r="BF48" s="4">
        <f t="shared" si="285"/>
        <v>0</v>
      </c>
      <c r="BG48" s="4">
        <f t="shared" si="285"/>
        <v>0</v>
      </c>
      <c r="BH48" s="4">
        <f t="shared" si="285"/>
        <v>0</v>
      </c>
      <c r="BI48" s="4">
        <f t="shared" si="285"/>
        <v>0</v>
      </c>
      <c r="BJ48" s="4">
        <f t="shared" si="285"/>
        <v>0</v>
      </c>
      <c r="BK48" s="4">
        <f t="shared" si="11"/>
        <v>0</v>
      </c>
      <c r="BO48" s="4">
        <f t="shared" ref="BO48:BU48" si="286">IF(ISNUMBER(SEARCH(BO$1,$BN48)), 1, 0)</f>
        <v>0</v>
      </c>
      <c r="BP48" s="4">
        <f t="shared" si="286"/>
        <v>0</v>
      </c>
      <c r="BQ48" s="4">
        <f t="shared" si="286"/>
        <v>0</v>
      </c>
      <c r="BR48" s="4">
        <f t="shared" si="286"/>
        <v>0</v>
      </c>
      <c r="BS48" s="4">
        <f t="shared" si="286"/>
        <v>0</v>
      </c>
      <c r="BT48" s="4">
        <f t="shared" si="286"/>
        <v>0</v>
      </c>
      <c r="BU48" s="4">
        <f t="shared" si="286"/>
        <v>0</v>
      </c>
      <c r="CB48" s="1" t="s">
        <v>48</v>
      </c>
      <c r="CC48" s="1" t="s">
        <v>48</v>
      </c>
      <c r="CD48" s="1" t="s">
        <v>444</v>
      </c>
      <c r="CF48" s="1" t="s">
        <v>387</v>
      </c>
      <c r="CG48" s="1" t="s">
        <v>388</v>
      </c>
      <c r="CH48" s="1" t="s">
        <v>445</v>
      </c>
      <c r="CJ48" s="1" t="s">
        <v>446</v>
      </c>
      <c r="CL48" s="1" t="s">
        <v>447</v>
      </c>
      <c r="CM48" s="1" t="s">
        <v>48</v>
      </c>
      <c r="CN48" s="1" t="s">
        <v>448</v>
      </c>
      <c r="CR48" s="1" t="s">
        <v>449</v>
      </c>
      <c r="CU48" s="1" t="s">
        <v>449</v>
      </c>
      <c r="CX48" s="1" t="s">
        <v>450</v>
      </c>
      <c r="CZ48" s="1" t="s">
        <v>451</v>
      </c>
      <c r="DC48" s="1" t="s">
        <v>238</v>
      </c>
    </row>
    <row r="49" spans="1:107" ht="15.75" customHeight="1" x14ac:dyDescent="0.25">
      <c r="A49" s="1" t="b">
        <v>1</v>
      </c>
      <c r="B49" s="3">
        <v>46162.70171296296</v>
      </c>
      <c r="C49" s="1" t="s">
        <v>452</v>
      </c>
      <c r="D49" s="1" t="s">
        <v>4</v>
      </c>
      <c r="E49" s="4">
        <f t="shared" ref="E49:K49" si="287">IF(ISNUMBER(SEARCH(E$1,$D49)), SEARCH(E$1,$D49), 0)</f>
        <v>1</v>
      </c>
      <c r="F49" s="4">
        <f t="shared" si="287"/>
        <v>0</v>
      </c>
      <c r="G49" s="4">
        <f t="shared" si="287"/>
        <v>0</v>
      </c>
      <c r="H49" s="4">
        <f t="shared" si="287"/>
        <v>0</v>
      </c>
      <c r="I49" s="4">
        <f t="shared" si="287"/>
        <v>0</v>
      </c>
      <c r="J49" s="4">
        <f t="shared" si="287"/>
        <v>0</v>
      </c>
      <c r="K49" s="4">
        <f t="shared" si="287"/>
        <v>0</v>
      </c>
      <c r="L49" s="4">
        <f t="shared" si="1"/>
        <v>1</v>
      </c>
      <c r="N49" s="1" t="s">
        <v>208</v>
      </c>
      <c r="O49" s="4">
        <f t="shared" ref="O49:T49" si="288">IF(ISNUMBER(SEARCH(O$1,$N49)), 1, 0)</f>
        <v>1</v>
      </c>
      <c r="P49" s="4">
        <f t="shared" si="288"/>
        <v>1</v>
      </c>
      <c r="Q49" s="4">
        <f t="shared" si="288"/>
        <v>0</v>
      </c>
      <c r="R49" s="4">
        <f t="shared" si="288"/>
        <v>1</v>
      </c>
      <c r="S49" s="4">
        <f t="shared" si="288"/>
        <v>0</v>
      </c>
      <c r="T49" s="4">
        <f t="shared" si="288"/>
        <v>0</v>
      </c>
      <c r="V49" s="1" t="s">
        <v>23</v>
      </c>
      <c r="W49" s="1" t="str">
        <f t="shared" si="252"/>
        <v>False</v>
      </c>
      <c r="X49" s="1" t="str">
        <f t="shared" si="252"/>
        <v>True</v>
      </c>
      <c r="Y49" s="1" t="str">
        <f t="shared" si="252"/>
        <v>False</v>
      </c>
      <c r="Z49" s="1" t="str">
        <f t="shared" si="252"/>
        <v>False</v>
      </c>
      <c r="AA49" s="1" t="str">
        <f t="shared" si="252"/>
        <v>False</v>
      </c>
      <c r="AB49" s="1" t="s">
        <v>33</v>
      </c>
      <c r="AC49" s="4">
        <f t="shared" ref="AC49:AH49" si="289">IF(ISNUMBER(SEARCH(AC$1,$AB49)), 1, 0)</f>
        <v>0</v>
      </c>
      <c r="AD49" s="4">
        <f t="shared" si="289"/>
        <v>0</v>
      </c>
      <c r="AE49" s="4">
        <f t="shared" si="289"/>
        <v>0</v>
      </c>
      <c r="AF49" s="4">
        <f t="shared" si="289"/>
        <v>0</v>
      </c>
      <c r="AG49" s="4">
        <f t="shared" si="289"/>
        <v>0</v>
      </c>
      <c r="AH49" s="4">
        <f t="shared" si="289"/>
        <v>1</v>
      </c>
      <c r="AI49" s="1">
        <f t="shared" si="5"/>
        <v>1</v>
      </c>
      <c r="AK49" s="1" t="s">
        <v>453</v>
      </c>
      <c r="AL49" s="4">
        <f t="shared" ref="AL49:AS49" si="290">IF(ISNUMBER(SEARCH(AL$1,$AK49)), 1, 0)</f>
        <v>0</v>
      </c>
      <c r="AM49" s="4">
        <f t="shared" si="290"/>
        <v>1</v>
      </c>
      <c r="AN49" s="4">
        <f t="shared" si="290"/>
        <v>1</v>
      </c>
      <c r="AO49" s="4">
        <f t="shared" si="290"/>
        <v>0</v>
      </c>
      <c r="AP49" s="4">
        <f t="shared" si="290"/>
        <v>0</v>
      </c>
      <c r="AQ49" s="4">
        <f t="shared" si="290"/>
        <v>0</v>
      </c>
      <c r="AR49" s="4">
        <f t="shared" si="290"/>
        <v>0</v>
      </c>
      <c r="AS49" s="4">
        <f t="shared" si="290"/>
        <v>0</v>
      </c>
      <c r="AU49" s="1" t="s">
        <v>47</v>
      </c>
      <c r="AV49" s="1">
        <f t="shared" si="7"/>
        <v>1</v>
      </c>
      <c r="AW49" s="1">
        <f t="shared" si="8"/>
        <v>0</v>
      </c>
      <c r="AX49" s="1">
        <f t="shared" si="9"/>
        <v>0</v>
      </c>
      <c r="AY49" s="1" t="s">
        <v>48</v>
      </c>
      <c r="BA49" s="1" t="s">
        <v>454</v>
      </c>
      <c r="BB49" s="4">
        <f t="shared" ref="BB49:BJ49" si="291">IF(ISNUMBER(SEARCH(BB$1,$BA49)), 1, 0)</f>
        <v>0</v>
      </c>
      <c r="BC49" s="4">
        <f t="shared" si="291"/>
        <v>0</v>
      </c>
      <c r="BD49" s="4">
        <f t="shared" si="291"/>
        <v>1</v>
      </c>
      <c r="BE49" s="4">
        <f t="shared" si="291"/>
        <v>0</v>
      </c>
      <c r="BF49" s="4">
        <f t="shared" si="291"/>
        <v>1</v>
      </c>
      <c r="BG49" s="4">
        <f t="shared" si="291"/>
        <v>0</v>
      </c>
      <c r="BH49" s="4">
        <f t="shared" si="291"/>
        <v>0</v>
      </c>
      <c r="BI49" s="4">
        <f t="shared" si="291"/>
        <v>0</v>
      </c>
      <c r="BJ49" s="4">
        <f t="shared" si="291"/>
        <v>1</v>
      </c>
      <c r="BK49" s="4">
        <f t="shared" si="11"/>
        <v>3</v>
      </c>
      <c r="BM49" s="1" t="s">
        <v>232</v>
      </c>
      <c r="BN49" s="1" t="s">
        <v>70</v>
      </c>
      <c r="BO49" s="4">
        <f t="shared" ref="BO49:BU49" si="292">IF(ISNUMBER(SEARCH(BO$1,$BN49)), 1, 0)</f>
        <v>0</v>
      </c>
      <c r="BP49" s="4">
        <f t="shared" si="292"/>
        <v>0</v>
      </c>
      <c r="BQ49" s="4">
        <f t="shared" si="292"/>
        <v>0</v>
      </c>
      <c r="BR49" s="4">
        <f t="shared" si="292"/>
        <v>0</v>
      </c>
      <c r="BS49" s="4">
        <f t="shared" si="292"/>
        <v>1</v>
      </c>
      <c r="BT49" s="4">
        <f t="shared" si="292"/>
        <v>0</v>
      </c>
      <c r="BU49" s="4">
        <f t="shared" si="292"/>
        <v>0</v>
      </c>
      <c r="DC49" s="1" t="s">
        <v>180</v>
      </c>
    </row>
    <row r="50" spans="1:107" ht="15.75" customHeight="1" x14ac:dyDescent="0.25">
      <c r="A50" s="1" t="b">
        <v>1</v>
      </c>
      <c r="B50" s="3">
        <v>46162.902569444443</v>
      </c>
      <c r="C50" s="1" t="s">
        <v>455</v>
      </c>
      <c r="D50" s="1" t="s">
        <v>207</v>
      </c>
      <c r="E50" s="4">
        <f t="shared" ref="E50:K50" si="293">IF(ISNUMBER(SEARCH(E$1,$D50)), SEARCH(E$1,$D50), 0)</f>
        <v>1</v>
      </c>
      <c r="F50" s="4">
        <f t="shared" si="293"/>
        <v>30</v>
      </c>
      <c r="G50" s="4">
        <f t="shared" si="293"/>
        <v>0</v>
      </c>
      <c r="H50" s="4">
        <f t="shared" si="293"/>
        <v>0</v>
      </c>
      <c r="I50" s="4">
        <f t="shared" si="293"/>
        <v>0</v>
      </c>
      <c r="J50" s="4">
        <f t="shared" si="293"/>
        <v>0</v>
      </c>
      <c r="K50" s="4">
        <f t="shared" si="293"/>
        <v>0</v>
      </c>
      <c r="L50" s="4">
        <f t="shared" si="1"/>
        <v>30</v>
      </c>
      <c r="N50" s="1" t="s">
        <v>328</v>
      </c>
      <c r="O50" s="4">
        <f t="shared" ref="O50:T50" si="294">IF(ISNUMBER(SEARCH(O$1,$N50)), 1, 0)</f>
        <v>1</v>
      </c>
      <c r="P50" s="4">
        <f t="shared" si="294"/>
        <v>1</v>
      </c>
      <c r="Q50" s="4">
        <f t="shared" si="294"/>
        <v>1</v>
      </c>
      <c r="R50" s="4">
        <f t="shared" si="294"/>
        <v>0</v>
      </c>
      <c r="S50" s="4">
        <f t="shared" si="294"/>
        <v>0</v>
      </c>
      <c r="T50" s="4">
        <f t="shared" si="294"/>
        <v>0</v>
      </c>
      <c r="W50" s="1" t="str">
        <f t="shared" si="252"/>
        <v>False</v>
      </c>
      <c r="X50" s="1" t="str">
        <f t="shared" si="252"/>
        <v>False</v>
      </c>
      <c r="Y50" s="1" t="str">
        <f t="shared" si="252"/>
        <v>False</v>
      </c>
      <c r="Z50" s="1" t="str">
        <f t="shared" si="252"/>
        <v>False</v>
      </c>
      <c r="AA50" s="1" t="str">
        <f t="shared" si="252"/>
        <v>False</v>
      </c>
      <c r="AB50" s="1" t="s">
        <v>456</v>
      </c>
      <c r="AC50" s="4">
        <f t="shared" ref="AC50:AH50" si="295">IF(ISNUMBER(SEARCH(AC$1,$AB50)), 1, 0)</f>
        <v>1</v>
      </c>
      <c r="AD50" s="4">
        <f t="shared" si="295"/>
        <v>1</v>
      </c>
      <c r="AE50" s="4">
        <f t="shared" si="295"/>
        <v>0</v>
      </c>
      <c r="AF50" s="4">
        <f t="shared" si="295"/>
        <v>1</v>
      </c>
      <c r="AG50" s="4">
        <f t="shared" si="295"/>
        <v>0</v>
      </c>
      <c r="AH50" s="4">
        <f t="shared" si="295"/>
        <v>1</v>
      </c>
      <c r="AI50" s="1">
        <f t="shared" si="5"/>
        <v>4</v>
      </c>
      <c r="AK50" s="1" t="s">
        <v>246</v>
      </c>
      <c r="AL50" s="4">
        <f t="shared" ref="AL50:AS50" si="296">IF(ISNUMBER(SEARCH(AL$1,$AK50)), 1, 0)</f>
        <v>1</v>
      </c>
      <c r="AM50" s="4">
        <f t="shared" si="296"/>
        <v>1</v>
      </c>
      <c r="AN50" s="4">
        <f t="shared" si="296"/>
        <v>0</v>
      </c>
      <c r="AO50" s="4">
        <f t="shared" si="296"/>
        <v>1</v>
      </c>
      <c r="AP50" s="4">
        <f t="shared" si="296"/>
        <v>0</v>
      </c>
      <c r="AQ50" s="4">
        <f t="shared" si="296"/>
        <v>1</v>
      </c>
      <c r="AR50" s="4">
        <f t="shared" si="296"/>
        <v>0</v>
      </c>
      <c r="AS50" s="4">
        <f t="shared" si="296"/>
        <v>0</v>
      </c>
      <c r="AU50" s="1" t="s">
        <v>48</v>
      </c>
      <c r="AV50" s="1">
        <f t="shared" si="7"/>
        <v>0</v>
      </c>
      <c r="AW50" s="1">
        <f t="shared" si="8"/>
        <v>1</v>
      </c>
      <c r="AX50" s="1">
        <f t="shared" si="9"/>
        <v>0</v>
      </c>
      <c r="AY50" s="1" t="s">
        <v>48</v>
      </c>
      <c r="BA50" s="1" t="s">
        <v>457</v>
      </c>
      <c r="BB50" s="4">
        <f t="shared" ref="BB50:BJ50" si="297">IF(ISNUMBER(SEARCH(BB$1,$BA50)), 1, 0)</f>
        <v>0</v>
      </c>
      <c r="BC50" s="4">
        <f t="shared" si="297"/>
        <v>0</v>
      </c>
      <c r="BD50" s="4">
        <f t="shared" si="297"/>
        <v>0</v>
      </c>
      <c r="BE50" s="4">
        <f t="shared" si="297"/>
        <v>0</v>
      </c>
      <c r="BF50" s="4">
        <f t="shared" si="297"/>
        <v>1</v>
      </c>
      <c r="BG50" s="4">
        <f t="shared" si="297"/>
        <v>1</v>
      </c>
      <c r="BH50" s="4">
        <f t="shared" si="297"/>
        <v>0</v>
      </c>
      <c r="BI50" s="4">
        <f t="shared" si="297"/>
        <v>0</v>
      </c>
      <c r="BJ50" s="4">
        <f t="shared" si="297"/>
        <v>1</v>
      </c>
      <c r="BK50" s="4">
        <f t="shared" si="11"/>
        <v>3</v>
      </c>
      <c r="BM50" s="1" t="s">
        <v>166</v>
      </c>
      <c r="BN50" s="1" t="s">
        <v>458</v>
      </c>
      <c r="BO50" s="4">
        <f t="shared" ref="BO50:BU50" si="298">IF(ISNUMBER(SEARCH(BO$1,$BN50)), 1, 0)</f>
        <v>0</v>
      </c>
      <c r="BP50" s="4">
        <f t="shared" si="298"/>
        <v>1</v>
      </c>
      <c r="BQ50" s="4">
        <f t="shared" si="298"/>
        <v>1</v>
      </c>
      <c r="BR50" s="4">
        <f t="shared" si="298"/>
        <v>0</v>
      </c>
      <c r="BS50" s="4">
        <f t="shared" si="298"/>
        <v>0</v>
      </c>
      <c r="BT50" s="4">
        <f t="shared" si="298"/>
        <v>1</v>
      </c>
      <c r="BU50" s="4">
        <f t="shared" si="298"/>
        <v>1</v>
      </c>
      <c r="BW50" s="1" t="s">
        <v>212</v>
      </c>
      <c r="BZ50" s="1" t="s">
        <v>459</v>
      </c>
      <c r="CA50" s="1" t="s">
        <v>460</v>
      </c>
      <c r="CX50" s="1" t="s">
        <v>461</v>
      </c>
      <c r="CZ50" s="1" t="s">
        <v>462</v>
      </c>
      <c r="DC50" s="1" t="s">
        <v>238</v>
      </c>
    </row>
    <row r="51" spans="1:107" ht="15.75" customHeight="1" x14ac:dyDescent="0.25">
      <c r="A51" s="1" t="b">
        <v>0</v>
      </c>
      <c r="B51" s="3">
        <v>46163.99900462963</v>
      </c>
      <c r="C51" s="1" t="s">
        <v>463</v>
      </c>
      <c r="D51" s="1" t="s">
        <v>4</v>
      </c>
      <c r="E51" s="4">
        <f t="shared" ref="E51:K51" si="299">IF(ISNUMBER(SEARCH(E$1,$D51)), SEARCH(E$1,$D51), 0)</f>
        <v>1</v>
      </c>
      <c r="F51" s="4">
        <f t="shared" si="299"/>
        <v>0</v>
      </c>
      <c r="G51" s="4">
        <f t="shared" si="299"/>
        <v>0</v>
      </c>
      <c r="H51" s="4">
        <f t="shared" si="299"/>
        <v>0</v>
      </c>
      <c r="I51" s="4">
        <f t="shared" si="299"/>
        <v>0</v>
      </c>
      <c r="J51" s="4">
        <f t="shared" si="299"/>
        <v>0</v>
      </c>
      <c r="K51" s="4">
        <f t="shared" si="299"/>
        <v>0</v>
      </c>
      <c r="L51" s="4">
        <f t="shared" si="1"/>
        <v>1</v>
      </c>
      <c r="N51" s="1" t="s">
        <v>272</v>
      </c>
      <c r="O51" s="4">
        <f t="shared" ref="O51:T51" si="300">IF(ISNUMBER(SEARCH(O$1,$N51)), 1, 0)</f>
        <v>1</v>
      </c>
      <c r="P51" s="4">
        <f t="shared" si="300"/>
        <v>1</v>
      </c>
      <c r="Q51" s="4">
        <f t="shared" si="300"/>
        <v>1</v>
      </c>
      <c r="R51" s="4">
        <f t="shared" si="300"/>
        <v>1</v>
      </c>
      <c r="S51" s="4">
        <f t="shared" si="300"/>
        <v>1</v>
      </c>
      <c r="T51" s="4">
        <f t="shared" si="300"/>
        <v>0</v>
      </c>
      <c r="W51" s="1" t="str">
        <f t="shared" si="252"/>
        <v>False</v>
      </c>
      <c r="X51" s="1" t="str">
        <f t="shared" si="252"/>
        <v>False</v>
      </c>
      <c r="Y51" s="1" t="str">
        <f t="shared" si="252"/>
        <v>False</v>
      </c>
      <c r="Z51" s="1" t="str">
        <f t="shared" si="252"/>
        <v>False</v>
      </c>
      <c r="AA51" s="1" t="str">
        <f t="shared" si="252"/>
        <v>False</v>
      </c>
      <c r="AC51" s="4">
        <f t="shared" ref="AC51:AH51" si="301">IF(ISNUMBER(SEARCH(AC$1,$AB51)), 1, 0)</f>
        <v>0</v>
      </c>
      <c r="AD51" s="4">
        <f t="shared" si="301"/>
        <v>0</v>
      </c>
      <c r="AE51" s="4">
        <f t="shared" si="301"/>
        <v>0</v>
      </c>
      <c r="AF51" s="4">
        <f t="shared" si="301"/>
        <v>0</v>
      </c>
      <c r="AG51" s="4">
        <f t="shared" si="301"/>
        <v>0</v>
      </c>
      <c r="AH51" s="4">
        <f t="shared" si="301"/>
        <v>0</v>
      </c>
      <c r="AI51" s="1">
        <f t="shared" si="5"/>
        <v>0</v>
      </c>
      <c r="AL51" s="4">
        <f t="shared" ref="AL51:AS51" si="302">IF(ISNUMBER(SEARCH(AL$1,$AK51)), 1, 0)</f>
        <v>0</v>
      </c>
      <c r="AM51" s="4">
        <f t="shared" si="302"/>
        <v>0</v>
      </c>
      <c r="AN51" s="4">
        <f t="shared" si="302"/>
        <v>0</v>
      </c>
      <c r="AO51" s="4">
        <f t="shared" si="302"/>
        <v>0</v>
      </c>
      <c r="AP51" s="4">
        <f t="shared" si="302"/>
        <v>0</v>
      </c>
      <c r="AQ51" s="4">
        <f t="shared" si="302"/>
        <v>0</v>
      </c>
      <c r="AR51" s="4">
        <f t="shared" si="302"/>
        <v>0</v>
      </c>
      <c r="AS51" s="4">
        <f t="shared" si="302"/>
        <v>0</v>
      </c>
      <c r="AV51" s="1">
        <f t="shared" si="7"/>
        <v>0</v>
      </c>
      <c r="AW51" s="1">
        <f t="shared" si="8"/>
        <v>0</v>
      </c>
      <c r="AX51" s="1">
        <f t="shared" si="9"/>
        <v>0</v>
      </c>
      <c r="BB51" s="4">
        <f t="shared" ref="BB51:BJ51" si="303">IF(ISNUMBER(SEARCH(BB$1,$BA51)), 1, 0)</f>
        <v>0</v>
      </c>
      <c r="BC51" s="4">
        <f t="shared" si="303"/>
        <v>0</v>
      </c>
      <c r="BD51" s="4">
        <f t="shared" si="303"/>
        <v>0</v>
      </c>
      <c r="BE51" s="4">
        <f t="shared" si="303"/>
        <v>0</v>
      </c>
      <c r="BF51" s="4">
        <f t="shared" si="303"/>
        <v>0</v>
      </c>
      <c r="BG51" s="4">
        <f t="shared" si="303"/>
        <v>0</v>
      </c>
      <c r="BH51" s="4">
        <f t="shared" si="303"/>
        <v>0</v>
      </c>
      <c r="BI51" s="4">
        <f t="shared" si="303"/>
        <v>0</v>
      </c>
      <c r="BJ51" s="4">
        <f t="shared" si="303"/>
        <v>0</v>
      </c>
      <c r="BK51" s="4">
        <f t="shared" si="11"/>
        <v>0</v>
      </c>
      <c r="BO51" s="4">
        <f t="shared" ref="BO51:BU51" si="304">IF(ISNUMBER(SEARCH(BO$1,$BN51)), 1, 0)</f>
        <v>0</v>
      </c>
      <c r="BP51" s="4">
        <f t="shared" si="304"/>
        <v>0</v>
      </c>
      <c r="BQ51" s="4">
        <f t="shared" si="304"/>
        <v>0</v>
      </c>
      <c r="BR51" s="4">
        <f t="shared" si="304"/>
        <v>0</v>
      </c>
      <c r="BS51" s="4">
        <f t="shared" si="304"/>
        <v>0</v>
      </c>
      <c r="BT51" s="4">
        <f t="shared" si="304"/>
        <v>0</v>
      </c>
      <c r="BU51" s="4">
        <f t="shared" si="304"/>
        <v>0</v>
      </c>
    </row>
    <row r="52" spans="1:107" ht="15.75" customHeight="1" x14ac:dyDescent="0.25">
      <c r="A52" s="1" t="b">
        <v>1</v>
      </c>
      <c r="B52" s="3">
        <v>46164.020451388889</v>
      </c>
      <c r="C52" s="1" t="s">
        <v>464</v>
      </c>
      <c r="D52" s="1" t="s">
        <v>192</v>
      </c>
      <c r="E52" s="4">
        <f t="shared" ref="E52:K52" si="305">IF(ISNUMBER(SEARCH(E$1,$D52)), SEARCH(E$1,$D52), 0)</f>
        <v>1</v>
      </c>
      <c r="F52" s="4">
        <f t="shared" si="305"/>
        <v>30</v>
      </c>
      <c r="G52" s="4">
        <f t="shared" si="305"/>
        <v>0</v>
      </c>
      <c r="H52" s="4">
        <f t="shared" si="305"/>
        <v>0</v>
      </c>
      <c r="I52" s="4">
        <f t="shared" si="305"/>
        <v>0</v>
      </c>
      <c r="J52" s="4">
        <f t="shared" si="305"/>
        <v>0</v>
      </c>
      <c r="K52" s="4">
        <f t="shared" si="305"/>
        <v>105</v>
      </c>
      <c r="L52" s="4">
        <f t="shared" si="1"/>
        <v>105</v>
      </c>
      <c r="N52" s="1" t="s">
        <v>294</v>
      </c>
      <c r="O52" s="4">
        <f t="shared" ref="O52:T52" si="306">IF(ISNUMBER(SEARCH(O$1,$N52)), 1, 0)</f>
        <v>1</v>
      </c>
      <c r="P52" s="4">
        <f t="shared" si="306"/>
        <v>1</v>
      </c>
      <c r="Q52" s="4">
        <f t="shared" si="306"/>
        <v>0</v>
      </c>
      <c r="R52" s="4">
        <f t="shared" si="306"/>
        <v>0</v>
      </c>
      <c r="S52" s="4">
        <f t="shared" si="306"/>
        <v>0</v>
      </c>
      <c r="T52" s="4">
        <f t="shared" si="306"/>
        <v>0</v>
      </c>
      <c r="V52" s="1" t="s">
        <v>26</v>
      </c>
      <c r="W52" s="1" t="str">
        <f t="shared" si="252"/>
        <v>False</v>
      </c>
      <c r="X52" s="1" t="str">
        <f t="shared" si="252"/>
        <v>False</v>
      </c>
      <c r="Y52" s="1" t="str">
        <f t="shared" si="252"/>
        <v>False</v>
      </c>
      <c r="Z52" s="1" t="str">
        <f t="shared" si="252"/>
        <v>False</v>
      </c>
      <c r="AA52" s="1" t="str">
        <f t="shared" si="252"/>
        <v>True</v>
      </c>
      <c r="AB52" s="1" t="s">
        <v>28</v>
      </c>
      <c r="AC52" s="4">
        <f t="shared" ref="AC52:AH52" si="307">IF(ISNUMBER(SEARCH(AC$1,$AB52)), 1, 0)</f>
        <v>1</v>
      </c>
      <c r="AD52" s="4">
        <f t="shared" si="307"/>
        <v>0</v>
      </c>
      <c r="AE52" s="4">
        <f t="shared" si="307"/>
        <v>0</v>
      </c>
      <c r="AF52" s="4">
        <f t="shared" si="307"/>
        <v>0</v>
      </c>
      <c r="AG52" s="4">
        <f t="shared" si="307"/>
        <v>0</v>
      </c>
      <c r="AH52" s="4">
        <f t="shared" si="307"/>
        <v>0</v>
      </c>
      <c r="AI52" s="1">
        <f t="shared" si="5"/>
        <v>1</v>
      </c>
      <c r="AK52" s="1" t="s">
        <v>259</v>
      </c>
      <c r="AL52" s="4">
        <f t="shared" ref="AL52:AS52" si="308">IF(ISNUMBER(SEARCH(AL$1,$AK52)), 1, 0)</f>
        <v>1</v>
      </c>
      <c r="AM52" s="4">
        <f t="shared" si="308"/>
        <v>1</v>
      </c>
      <c r="AN52" s="4">
        <f t="shared" si="308"/>
        <v>0</v>
      </c>
      <c r="AO52" s="4">
        <f t="shared" si="308"/>
        <v>1</v>
      </c>
      <c r="AP52" s="4">
        <f t="shared" si="308"/>
        <v>0</v>
      </c>
      <c r="AQ52" s="4">
        <f t="shared" si="308"/>
        <v>0</v>
      </c>
      <c r="AR52" s="4">
        <f t="shared" si="308"/>
        <v>0</v>
      </c>
      <c r="AS52" s="4">
        <f t="shared" si="308"/>
        <v>0</v>
      </c>
      <c r="AU52" s="1" t="s">
        <v>48</v>
      </c>
      <c r="AV52" s="1">
        <f t="shared" si="7"/>
        <v>0</v>
      </c>
      <c r="AW52" s="1">
        <f t="shared" si="8"/>
        <v>1</v>
      </c>
      <c r="AX52" s="1">
        <f t="shared" si="9"/>
        <v>0</v>
      </c>
      <c r="AY52" s="1" t="s">
        <v>48</v>
      </c>
      <c r="BA52" s="1" t="s">
        <v>325</v>
      </c>
      <c r="BB52" s="4">
        <f t="shared" ref="BB52:BJ52" si="309">IF(ISNUMBER(SEARCH(BB$1,$BA52)), 1, 0)</f>
        <v>1</v>
      </c>
      <c r="BC52" s="4">
        <f t="shared" si="309"/>
        <v>1</v>
      </c>
      <c r="BD52" s="4">
        <f t="shared" si="309"/>
        <v>1</v>
      </c>
      <c r="BE52" s="4">
        <f t="shared" si="309"/>
        <v>0</v>
      </c>
      <c r="BF52" s="4">
        <f t="shared" si="309"/>
        <v>1</v>
      </c>
      <c r="BG52" s="4">
        <f t="shared" si="309"/>
        <v>0</v>
      </c>
      <c r="BH52" s="4">
        <f t="shared" si="309"/>
        <v>0</v>
      </c>
      <c r="BI52" s="4">
        <f t="shared" si="309"/>
        <v>0</v>
      </c>
      <c r="BJ52" s="4">
        <f t="shared" si="309"/>
        <v>1</v>
      </c>
      <c r="BK52" s="4">
        <f t="shared" si="11"/>
        <v>5</v>
      </c>
      <c r="BM52" s="1" t="s">
        <v>232</v>
      </c>
      <c r="BN52" s="1" t="s">
        <v>340</v>
      </c>
      <c r="BO52" s="4">
        <f t="shared" ref="BO52:BU52" si="310">IF(ISNUMBER(SEARCH(BO$1,$BN52)), 1, 0)</f>
        <v>1</v>
      </c>
      <c r="BP52" s="4">
        <f t="shared" si="310"/>
        <v>1</v>
      </c>
      <c r="BQ52" s="4">
        <f t="shared" si="310"/>
        <v>0</v>
      </c>
      <c r="BR52" s="4">
        <f t="shared" si="310"/>
        <v>0</v>
      </c>
      <c r="BS52" s="4">
        <f t="shared" si="310"/>
        <v>0</v>
      </c>
      <c r="BT52" s="4">
        <f t="shared" si="310"/>
        <v>0</v>
      </c>
      <c r="BU52" s="4">
        <f t="shared" si="310"/>
        <v>0</v>
      </c>
      <c r="BW52" s="1" t="s">
        <v>255</v>
      </c>
      <c r="BZ52" s="1" t="s">
        <v>465</v>
      </c>
      <c r="CM52" s="1" t="s">
        <v>47</v>
      </c>
      <c r="CQ52" s="1" t="s">
        <v>47</v>
      </c>
      <c r="CX52" s="1" t="s">
        <v>466</v>
      </c>
      <c r="CZ52" s="1" t="s">
        <v>467</v>
      </c>
      <c r="DC52" s="1" t="s">
        <v>238</v>
      </c>
    </row>
    <row r="53" spans="1:107" ht="15.75" customHeight="1" x14ac:dyDescent="0.25">
      <c r="A53" s="1" t="b">
        <v>1</v>
      </c>
      <c r="B53" s="3">
        <v>46164.307488425926</v>
      </c>
      <c r="C53" s="1" t="s">
        <v>468</v>
      </c>
      <c r="D53" s="1" t="s">
        <v>4</v>
      </c>
      <c r="E53" s="4">
        <f t="shared" ref="E53:K53" si="311">IF(ISNUMBER(SEARCH(E$1,$D53)), SEARCH(E$1,$D53), 0)</f>
        <v>1</v>
      </c>
      <c r="F53" s="4">
        <f t="shared" si="311"/>
        <v>0</v>
      </c>
      <c r="G53" s="4">
        <f t="shared" si="311"/>
        <v>0</v>
      </c>
      <c r="H53" s="4">
        <f t="shared" si="311"/>
        <v>0</v>
      </c>
      <c r="I53" s="4">
        <f t="shared" si="311"/>
        <v>0</v>
      </c>
      <c r="J53" s="4">
        <f t="shared" si="311"/>
        <v>0</v>
      </c>
      <c r="K53" s="4">
        <f t="shared" si="311"/>
        <v>0</v>
      </c>
      <c r="L53" s="4">
        <f t="shared" si="1"/>
        <v>1</v>
      </c>
      <c r="N53" s="1" t="s">
        <v>469</v>
      </c>
      <c r="O53" s="4">
        <f t="shared" ref="O53:T53" si="312">IF(ISNUMBER(SEARCH(O$1,$N53)), 1, 0)</f>
        <v>1</v>
      </c>
      <c r="P53" s="4">
        <f t="shared" si="312"/>
        <v>0</v>
      </c>
      <c r="Q53" s="4">
        <f t="shared" si="312"/>
        <v>0</v>
      </c>
      <c r="R53" s="4">
        <f t="shared" si="312"/>
        <v>1</v>
      </c>
      <c r="S53" s="4">
        <f t="shared" si="312"/>
        <v>0</v>
      </c>
      <c r="T53" s="4">
        <f t="shared" si="312"/>
        <v>0</v>
      </c>
      <c r="V53" s="1" t="s">
        <v>24</v>
      </c>
      <c r="W53" s="1" t="str">
        <f t="shared" ref="W53:AA62" si="313">IF(W$1=$V53, "True", "False")</f>
        <v>False</v>
      </c>
      <c r="X53" s="1" t="str">
        <f t="shared" si="313"/>
        <v>False</v>
      </c>
      <c r="Y53" s="1" t="str">
        <f t="shared" si="313"/>
        <v>True</v>
      </c>
      <c r="Z53" s="1" t="str">
        <f t="shared" si="313"/>
        <v>False</v>
      </c>
      <c r="AA53" s="1" t="str">
        <f t="shared" si="313"/>
        <v>False</v>
      </c>
      <c r="AB53" s="1" t="s">
        <v>357</v>
      </c>
      <c r="AC53" s="4">
        <f t="shared" ref="AC53:AH53" si="314">IF(ISNUMBER(SEARCH(AC$1,$AB53)), 1, 0)</f>
        <v>1</v>
      </c>
      <c r="AD53" s="4">
        <f t="shared" si="314"/>
        <v>0</v>
      </c>
      <c r="AE53" s="4">
        <f t="shared" si="314"/>
        <v>0</v>
      </c>
      <c r="AF53" s="4">
        <f t="shared" si="314"/>
        <v>0</v>
      </c>
      <c r="AG53" s="4">
        <f t="shared" si="314"/>
        <v>0</v>
      </c>
      <c r="AH53" s="4">
        <f t="shared" si="314"/>
        <v>1</v>
      </c>
      <c r="AI53" s="1">
        <f t="shared" si="5"/>
        <v>2</v>
      </c>
      <c r="AK53" s="1" t="s">
        <v>470</v>
      </c>
      <c r="AL53" s="4">
        <f t="shared" ref="AL53:AS53" si="315">IF(ISNUMBER(SEARCH(AL$1,$AK53)), 1, 0)</f>
        <v>0</v>
      </c>
      <c r="AM53" s="4">
        <f t="shared" si="315"/>
        <v>1</v>
      </c>
      <c r="AN53" s="4">
        <f t="shared" si="315"/>
        <v>0</v>
      </c>
      <c r="AO53" s="4">
        <f t="shared" si="315"/>
        <v>1</v>
      </c>
      <c r="AP53" s="4">
        <f t="shared" si="315"/>
        <v>0</v>
      </c>
      <c r="AQ53" s="4">
        <f t="shared" si="315"/>
        <v>1</v>
      </c>
      <c r="AR53" s="4">
        <f t="shared" si="315"/>
        <v>0</v>
      </c>
      <c r="AS53" s="4">
        <f t="shared" si="315"/>
        <v>0</v>
      </c>
      <c r="AU53" s="1" t="s">
        <v>47</v>
      </c>
      <c r="AV53" s="1">
        <f t="shared" si="7"/>
        <v>1</v>
      </c>
      <c r="AW53" s="1">
        <f t="shared" si="8"/>
        <v>0</v>
      </c>
      <c r="AX53" s="1">
        <f t="shared" si="9"/>
        <v>0</v>
      </c>
      <c r="AY53" s="1" t="s">
        <v>48</v>
      </c>
      <c r="BA53" s="1" t="s">
        <v>471</v>
      </c>
      <c r="BB53" s="4">
        <f t="shared" ref="BB53:BJ53" si="316">IF(ISNUMBER(SEARCH(BB$1,$BA53)), 1, 0)</f>
        <v>0</v>
      </c>
      <c r="BC53" s="4">
        <f t="shared" si="316"/>
        <v>0</v>
      </c>
      <c r="BD53" s="4">
        <f t="shared" si="316"/>
        <v>0</v>
      </c>
      <c r="BE53" s="4">
        <f t="shared" si="316"/>
        <v>1</v>
      </c>
      <c r="BF53" s="4">
        <f t="shared" si="316"/>
        <v>1</v>
      </c>
      <c r="BG53" s="4">
        <f t="shared" si="316"/>
        <v>1</v>
      </c>
      <c r="BH53" s="4">
        <f t="shared" si="316"/>
        <v>0</v>
      </c>
      <c r="BI53" s="4">
        <f t="shared" si="316"/>
        <v>0</v>
      </c>
      <c r="BJ53" s="4">
        <f t="shared" si="316"/>
        <v>1</v>
      </c>
      <c r="BK53" s="4">
        <f t="shared" si="11"/>
        <v>4</v>
      </c>
      <c r="BM53" s="1" t="s">
        <v>166</v>
      </c>
      <c r="BN53" s="1" t="s">
        <v>472</v>
      </c>
      <c r="BO53" s="4">
        <f t="shared" ref="BO53:BU53" si="317">IF(ISNUMBER(SEARCH(BO$1,$BN53)), 1, 0)</f>
        <v>1</v>
      </c>
      <c r="BP53" s="4">
        <f t="shared" si="317"/>
        <v>1</v>
      </c>
      <c r="BQ53" s="4">
        <f t="shared" si="317"/>
        <v>0</v>
      </c>
      <c r="BR53" s="4">
        <f t="shared" si="317"/>
        <v>0</v>
      </c>
      <c r="BS53" s="4">
        <f t="shared" si="317"/>
        <v>0</v>
      </c>
      <c r="BT53" s="4">
        <f t="shared" si="317"/>
        <v>1</v>
      </c>
      <c r="BU53" s="4">
        <f t="shared" si="317"/>
        <v>0</v>
      </c>
      <c r="DC53" s="1" t="s">
        <v>238</v>
      </c>
    </row>
    <row r="54" spans="1:107" ht="15.75" customHeight="1" x14ac:dyDescent="0.25">
      <c r="A54" s="1" t="b">
        <v>1</v>
      </c>
      <c r="B54" s="3">
        <v>46164.450462962966</v>
      </c>
      <c r="C54" s="1" t="s">
        <v>473</v>
      </c>
      <c r="D54" s="1" t="s">
        <v>4</v>
      </c>
      <c r="E54" s="4">
        <f t="shared" ref="E54:K54" si="318">IF(ISNUMBER(SEARCH(E$1,$D54)), SEARCH(E$1,$D54), 0)</f>
        <v>1</v>
      </c>
      <c r="F54" s="4">
        <f t="shared" si="318"/>
        <v>0</v>
      </c>
      <c r="G54" s="4">
        <f t="shared" si="318"/>
        <v>0</v>
      </c>
      <c r="H54" s="4">
        <f t="shared" si="318"/>
        <v>0</v>
      </c>
      <c r="I54" s="4">
        <f t="shared" si="318"/>
        <v>0</v>
      </c>
      <c r="J54" s="4">
        <f t="shared" si="318"/>
        <v>0</v>
      </c>
      <c r="K54" s="4">
        <f t="shared" si="318"/>
        <v>0</v>
      </c>
      <c r="L54" s="4">
        <f t="shared" si="1"/>
        <v>1</v>
      </c>
      <c r="N54" s="1" t="s">
        <v>272</v>
      </c>
      <c r="O54" s="4">
        <f t="shared" ref="O54:T54" si="319">IF(ISNUMBER(SEARCH(O$1,$N54)), 1, 0)</f>
        <v>1</v>
      </c>
      <c r="P54" s="4">
        <f t="shared" si="319"/>
        <v>1</v>
      </c>
      <c r="Q54" s="4">
        <f t="shared" si="319"/>
        <v>1</v>
      </c>
      <c r="R54" s="4">
        <f t="shared" si="319"/>
        <v>1</v>
      </c>
      <c r="S54" s="4">
        <f t="shared" si="319"/>
        <v>1</v>
      </c>
      <c r="T54" s="4">
        <f t="shared" si="319"/>
        <v>0</v>
      </c>
      <c r="W54" s="1" t="str">
        <f t="shared" si="313"/>
        <v>False</v>
      </c>
      <c r="X54" s="1" t="str">
        <f t="shared" si="313"/>
        <v>False</v>
      </c>
      <c r="Y54" s="1" t="str">
        <f t="shared" si="313"/>
        <v>False</v>
      </c>
      <c r="Z54" s="1" t="str">
        <f t="shared" si="313"/>
        <v>False</v>
      </c>
      <c r="AA54" s="1" t="str">
        <f t="shared" si="313"/>
        <v>False</v>
      </c>
      <c r="AB54" s="1" t="s">
        <v>357</v>
      </c>
      <c r="AC54" s="4">
        <f t="shared" ref="AC54:AH54" si="320">IF(ISNUMBER(SEARCH(AC$1,$AB54)), 1, 0)</f>
        <v>1</v>
      </c>
      <c r="AD54" s="4">
        <f t="shared" si="320"/>
        <v>0</v>
      </c>
      <c r="AE54" s="4">
        <f t="shared" si="320"/>
        <v>0</v>
      </c>
      <c r="AF54" s="4">
        <f t="shared" si="320"/>
        <v>0</v>
      </c>
      <c r="AG54" s="4">
        <f t="shared" si="320"/>
        <v>0</v>
      </c>
      <c r="AH54" s="4">
        <f t="shared" si="320"/>
        <v>1</v>
      </c>
      <c r="AI54" s="1">
        <f t="shared" si="5"/>
        <v>2</v>
      </c>
      <c r="AK54" s="1" t="s">
        <v>474</v>
      </c>
      <c r="AL54" s="4">
        <f t="shared" ref="AL54:AS54" si="321">IF(ISNUMBER(SEARCH(AL$1,$AK54)), 1, 0)</f>
        <v>0</v>
      </c>
      <c r="AM54" s="4">
        <f t="shared" si="321"/>
        <v>0</v>
      </c>
      <c r="AN54" s="4">
        <f t="shared" si="321"/>
        <v>0</v>
      </c>
      <c r="AO54" s="4">
        <f t="shared" si="321"/>
        <v>1</v>
      </c>
      <c r="AP54" s="4">
        <f t="shared" si="321"/>
        <v>1</v>
      </c>
      <c r="AQ54" s="4">
        <f t="shared" si="321"/>
        <v>0</v>
      </c>
      <c r="AR54" s="4">
        <f t="shared" si="321"/>
        <v>1</v>
      </c>
      <c r="AS54" s="4">
        <f t="shared" si="321"/>
        <v>0</v>
      </c>
      <c r="AU54" s="1" t="s">
        <v>47</v>
      </c>
      <c r="AV54" s="1">
        <f t="shared" si="7"/>
        <v>1</v>
      </c>
      <c r="AW54" s="1">
        <f t="shared" si="8"/>
        <v>0</v>
      </c>
      <c r="AX54" s="1">
        <f t="shared" si="9"/>
        <v>0</v>
      </c>
      <c r="AY54" s="1" t="s">
        <v>48</v>
      </c>
      <c r="BA54" s="1" t="s">
        <v>61</v>
      </c>
      <c r="BB54" s="4">
        <f t="shared" ref="BB54:BJ54" si="322">IF(ISNUMBER(SEARCH(BB$1,$BA54)), 1, 0)</f>
        <v>0</v>
      </c>
      <c r="BC54" s="4">
        <f t="shared" si="322"/>
        <v>0</v>
      </c>
      <c r="BD54" s="4">
        <f t="shared" si="322"/>
        <v>0</v>
      </c>
      <c r="BE54" s="4">
        <f t="shared" si="322"/>
        <v>0</v>
      </c>
      <c r="BF54" s="4">
        <f t="shared" si="322"/>
        <v>0</v>
      </c>
      <c r="BG54" s="4">
        <f t="shared" si="322"/>
        <v>0</v>
      </c>
      <c r="BH54" s="4">
        <f t="shared" si="322"/>
        <v>0</v>
      </c>
      <c r="BI54" s="4">
        <f t="shared" si="322"/>
        <v>0</v>
      </c>
      <c r="BJ54" s="4">
        <f t="shared" si="322"/>
        <v>1</v>
      </c>
      <c r="BK54" s="4">
        <f t="shared" si="11"/>
        <v>1</v>
      </c>
      <c r="BM54" s="1" t="s">
        <v>232</v>
      </c>
      <c r="BN54" s="1" t="s">
        <v>475</v>
      </c>
      <c r="BO54" s="4">
        <f t="shared" ref="BO54:BU54" si="323">IF(ISNUMBER(SEARCH(BO$1,$BN54)), 1, 0)</f>
        <v>0</v>
      </c>
      <c r="BP54" s="4">
        <f t="shared" si="323"/>
        <v>0</v>
      </c>
      <c r="BQ54" s="4">
        <f t="shared" si="323"/>
        <v>0</v>
      </c>
      <c r="BR54" s="4">
        <f t="shared" si="323"/>
        <v>1</v>
      </c>
      <c r="BS54" s="4">
        <f t="shared" si="323"/>
        <v>1</v>
      </c>
      <c r="BT54" s="4">
        <f t="shared" si="323"/>
        <v>1</v>
      </c>
      <c r="BU54" s="4">
        <f t="shared" si="323"/>
        <v>1</v>
      </c>
      <c r="DC54" s="1" t="s">
        <v>180</v>
      </c>
    </row>
    <row r="55" spans="1:107" ht="15.75" customHeight="1" x14ac:dyDescent="0.25">
      <c r="A55" s="1" t="b">
        <v>1</v>
      </c>
      <c r="B55" s="3">
        <v>46164.528020833335</v>
      </c>
      <c r="C55" s="1" t="s">
        <v>476</v>
      </c>
      <c r="D55" s="1" t="s">
        <v>4</v>
      </c>
      <c r="E55" s="4">
        <f t="shared" ref="E55:K55" si="324">IF(ISNUMBER(SEARCH(E$1,$D55)), SEARCH(E$1,$D55), 0)</f>
        <v>1</v>
      </c>
      <c r="F55" s="4">
        <f t="shared" si="324"/>
        <v>0</v>
      </c>
      <c r="G55" s="4">
        <f t="shared" si="324"/>
        <v>0</v>
      </c>
      <c r="H55" s="4">
        <f t="shared" si="324"/>
        <v>0</v>
      </c>
      <c r="I55" s="4">
        <f t="shared" si="324"/>
        <v>0</v>
      </c>
      <c r="J55" s="4">
        <f t="shared" si="324"/>
        <v>0</v>
      </c>
      <c r="K55" s="4">
        <f t="shared" si="324"/>
        <v>0</v>
      </c>
      <c r="L55" s="4">
        <f t="shared" si="1"/>
        <v>1</v>
      </c>
      <c r="N55" s="1" t="s">
        <v>208</v>
      </c>
      <c r="O55" s="4">
        <f t="shared" ref="O55:T55" si="325">IF(ISNUMBER(SEARCH(O$1,$N55)), 1, 0)</f>
        <v>1</v>
      </c>
      <c r="P55" s="4">
        <f t="shared" si="325"/>
        <v>1</v>
      </c>
      <c r="Q55" s="4">
        <f t="shared" si="325"/>
        <v>0</v>
      </c>
      <c r="R55" s="4">
        <f t="shared" si="325"/>
        <v>1</v>
      </c>
      <c r="S55" s="4">
        <f t="shared" si="325"/>
        <v>0</v>
      </c>
      <c r="T55" s="4">
        <f t="shared" si="325"/>
        <v>0</v>
      </c>
      <c r="V55" s="1" t="s">
        <v>25</v>
      </c>
      <c r="W55" s="1" t="str">
        <f t="shared" si="313"/>
        <v>False</v>
      </c>
      <c r="X55" s="1" t="str">
        <f t="shared" si="313"/>
        <v>False</v>
      </c>
      <c r="Y55" s="1" t="str">
        <f t="shared" si="313"/>
        <v>False</v>
      </c>
      <c r="Z55" s="1" t="str">
        <f t="shared" si="313"/>
        <v>True</v>
      </c>
      <c r="AA55" s="1" t="str">
        <f t="shared" si="313"/>
        <v>False</v>
      </c>
      <c r="AB55" s="1" t="s">
        <v>477</v>
      </c>
      <c r="AC55" s="4">
        <f t="shared" ref="AC55:AH55" si="326">IF(ISNUMBER(SEARCH(AC$1,$AB55)), 1, 0)</f>
        <v>1</v>
      </c>
      <c r="AD55" s="4">
        <f t="shared" si="326"/>
        <v>1</v>
      </c>
      <c r="AE55" s="4">
        <f t="shared" si="326"/>
        <v>0</v>
      </c>
      <c r="AF55" s="4">
        <f t="shared" si="326"/>
        <v>0</v>
      </c>
      <c r="AG55" s="4">
        <f t="shared" si="326"/>
        <v>0</v>
      </c>
      <c r="AH55" s="4">
        <f t="shared" si="326"/>
        <v>1</v>
      </c>
      <c r="AI55" s="1">
        <f t="shared" si="5"/>
        <v>3</v>
      </c>
      <c r="AK55" s="1" t="s">
        <v>423</v>
      </c>
      <c r="AL55" s="4">
        <f t="shared" ref="AL55:AS55" si="327">IF(ISNUMBER(SEARCH(AL$1,$AK55)), 1, 0)</f>
        <v>0</v>
      </c>
      <c r="AM55" s="4">
        <f t="shared" si="327"/>
        <v>1</v>
      </c>
      <c r="AN55" s="4">
        <f t="shared" si="327"/>
        <v>1</v>
      </c>
      <c r="AO55" s="4">
        <f t="shared" si="327"/>
        <v>1</v>
      </c>
      <c r="AP55" s="4">
        <f t="shared" si="327"/>
        <v>0</v>
      </c>
      <c r="AQ55" s="4">
        <f t="shared" si="327"/>
        <v>1</v>
      </c>
      <c r="AR55" s="4">
        <f t="shared" si="327"/>
        <v>0</v>
      </c>
      <c r="AS55" s="4">
        <f t="shared" si="327"/>
        <v>0</v>
      </c>
      <c r="AU55" s="1" t="s">
        <v>48</v>
      </c>
      <c r="AV55" s="1">
        <f t="shared" si="7"/>
        <v>0</v>
      </c>
      <c r="AW55" s="1">
        <f t="shared" si="8"/>
        <v>1</v>
      </c>
      <c r="AX55" s="1">
        <f t="shared" si="9"/>
        <v>0</v>
      </c>
      <c r="AY55" s="1" t="s">
        <v>48</v>
      </c>
      <c r="BA55" s="1" t="s">
        <v>457</v>
      </c>
      <c r="BB55" s="4">
        <f t="shared" ref="BB55:BJ55" si="328">IF(ISNUMBER(SEARCH(BB$1,$BA55)), 1, 0)</f>
        <v>0</v>
      </c>
      <c r="BC55" s="4">
        <f t="shared" si="328"/>
        <v>0</v>
      </c>
      <c r="BD55" s="4">
        <f t="shared" si="328"/>
        <v>0</v>
      </c>
      <c r="BE55" s="4">
        <f t="shared" si="328"/>
        <v>0</v>
      </c>
      <c r="BF55" s="4">
        <f t="shared" si="328"/>
        <v>1</v>
      </c>
      <c r="BG55" s="4">
        <f t="shared" si="328"/>
        <v>1</v>
      </c>
      <c r="BH55" s="4">
        <f t="shared" si="328"/>
        <v>0</v>
      </c>
      <c r="BI55" s="4">
        <f t="shared" si="328"/>
        <v>0</v>
      </c>
      <c r="BJ55" s="4">
        <f t="shared" si="328"/>
        <v>1</v>
      </c>
      <c r="BK55" s="4">
        <f t="shared" si="11"/>
        <v>3</v>
      </c>
      <c r="BM55" s="1" t="s">
        <v>232</v>
      </c>
      <c r="BN55" s="1" t="s">
        <v>340</v>
      </c>
      <c r="BO55" s="4">
        <f t="shared" ref="BO55:BU55" si="329">IF(ISNUMBER(SEARCH(BO$1,$BN55)), 1, 0)</f>
        <v>1</v>
      </c>
      <c r="BP55" s="4">
        <f t="shared" si="329"/>
        <v>1</v>
      </c>
      <c r="BQ55" s="4">
        <f t="shared" si="329"/>
        <v>0</v>
      </c>
      <c r="BR55" s="4">
        <f t="shared" si="329"/>
        <v>0</v>
      </c>
      <c r="BS55" s="4">
        <f t="shared" si="329"/>
        <v>0</v>
      </c>
      <c r="BT55" s="4">
        <f t="shared" si="329"/>
        <v>0</v>
      </c>
      <c r="BU55" s="4">
        <f t="shared" si="329"/>
        <v>0</v>
      </c>
      <c r="BW55" s="1" t="s">
        <v>212</v>
      </c>
      <c r="BY55" s="1" t="s">
        <v>478</v>
      </c>
      <c r="BZ55" s="1" t="s">
        <v>183</v>
      </c>
      <c r="CA55" s="1" t="s">
        <v>479</v>
      </c>
      <c r="DC55" s="1" t="s">
        <v>180</v>
      </c>
    </row>
    <row r="56" spans="1:107" ht="15.75" customHeight="1" x14ac:dyDescent="0.25">
      <c r="A56" s="1" t="b">
        <v>1</v>
      </c>
      <c r="B56" s="3">
        <v>46164.529062499998</v>
      </c>
      <c r="C56" s="1" t="s">
        <v>480</v>
      </c>
      <c r="D56" s="1" t="s">
        <v>4</v>
      </c>
      <c r="E56" s="4">
        <f t="shared" ref="E56:K56" si="330">IF(ISNUMBER(SEARCH(E$1,$D56)), SEARCH(E$1,$D56), 0)</f>
        <v>1</v>
      </c>
      <c r="F56" s="4">
        <f t="shared" si="330"/>
        <v>0</v>
      </c>
      <c r="G56" s="4">
        <f t="shared" si="330"/>
        <v>0</v>
      </c>
      <c r="H56" s="4">
        <f t="shared" si="330"/>
        <v>0</v>
      </c>
      <c r="I56" s="4">
        <f t="shared" si="330"/>
        <v>0</v>
      </c>
      <c r="J56" s="4">
        <f t="shared" si="330"/>
        <v>0</v>
      </c>
      <c r="K56" s="4">
        <f t="shared" si="330"/>
        <v>0</v>
      </c>
      <c r="L56" s="4">
        <f t="shared" si="1"/>
        <v>1</v>
      </c>
      <c r="N56" s="1" t="s">
        <v>316</v>
      </c>
      <c r="O56" s="4">
        <f t="shared" ref="O56:T56" si="331">IF(ISNUMBER(SEARCH(O$1,$N56)), 1, 0)</f>
        <v>1</v>
      </c>
      <c r="P56" s="4">
        <f t="shared" si="331"/>
        <v>0</v>
      </c>
      <c r="Q56" s="4">
        <f t="shared" si="331"/>
        <v>1</v>
      </c>
      <c r="R56" s="4">
        <f t="shared" si="331"/>
        <v>0</v>
      </c>
      <c r="S56" s="4">
        <f t="shared" si="331"/>
        <v>0</v>
      </c>
      <c r="T56" s="4">
        <f t="shared" si="331"/>
        <v>0</v>
      </c>
      <c r="V56" s="1" t="s">
        <v>24</v>
      </c>
      <c r="W56" s="1" t="str">
        <f t="shared" si="313"/>
        <v>False</v>
      </c>
      <c r="X56" s="1" t="str">
        <f t="shared" si="313"/>
        <v>False</v>
      </c>
      <c r="Y56" s="1" t="str">
        <f t="shared" si="313"/>
        <v>True</v>
      </c>
      <c r="Z56" s="1" t="str">
        <f t="shared" si="313"/>
        <v>False</v>
      </c>
      <c r="AA56" s="1" t="str">
        <f t="shared" si="313"/>
        <v>False</v>
      </c>
      <c r="AB56" s="1" t="s">
        <v>357</v>
      </c>
      <c r="AC56" s="4">
        <f t="shared" ref="AC56:AH56" si="332">IF(ISNUMBER(SEARCH(AC$1,$AB56)), 1, 0)</f>
        <v>1</v>
      </c>
      <c r="AD56" s="4">
        <f t="shared" si="332"/>
        <v>0</v>
      </c>
      <c r="AE56" s="4">
        <f t="shared" si="332"/>
        <v>0</v>
      </c>
      <c r="AF56" s="4">
        <f t="shared" si="332"/>
        <v>0</v>
      </c>
      <c r="AG56" s="4">
        <f t="shared" si="332"/>
        <v>0</v>
      </c>
      <c r="AH56" s="4">
        <f t="shared" si="332"/>
        <v>1</v>
      </c>
      <c r="AI56" s="1">
        <f t="shared" si="5"/>
        <v>2</v>
      </c>
      <c r="AK56" s="1" t="s">
        <v>481</v>
      </c>
      <c r="AL56" s="4">
        <f t="shared" ref="AL56:AS56" si="333">IF(ISNUMBER(SEARCH(AL$1,$AK56)), 1, 0)</f>
        <v>0</v>
      </c>
      <c r="AM56" s="4">
        <f t="shared" si="333"/>
        <v>0</v>
      </c>
      <c r="AN56" s="4">
        <f t="shared" si="333"/>
        <v>0</v>
      </c>
      <c r="AO56" s="4">
        <f t="shared" si="333"/>
        <v>1</v>
      </c>
      <c r="AP56" s="4">
        <f t="shared" si="333"/>
        <v>0</v>
      </c>
      <c r="AQ56" s="4">
        <f t="shared" si="333"/>
        <v>1</v>
      </c>
      <c r="AR56" s="4">
        <f t="shared" si="333"/>
        <v>0</v>
      </c>
      <c r="AS56" s="4">
        <f t="shared" si="333"/>
        <v>0</v>
      </c>
      <c r="AU56" s="1" t="s">
        <v>47</v>
      </c>
      <c r="AV56" s="1">
        <f t="shared" si="7"/>
        <v>1</v>
      </c>
      <c r="AW56" s="1">
        <f t="shared" si="8"/>
        <v>0</v>
      </c>
      <c r="AX56" s="1">
        <f t="shared" si="9"/>
        <v>0</v>
      </c>
      <c r="AY56" s="1" t="s">
        <v>48</v>
      </c>
      <c r="BA56" s="1" t="s">
        <v>61</v>
      </c>
      <c r="BB56" s="4">
        <f t="shared" ref="BB56:BJ56" si="334">IF(ISNUMBER(SEARCH(BB$1,$BA56)), 1, 0)</f>
        <v>0</v>
      </c>
      <c r="BC56" s="4">
        <f t="shared" si="334"/>
        <v>0</v>
      </c>
      <c r="BD56" s="4">
        <f t="shared" si="334"/>
        <v>0</v>
      </c>
      <c r="BE56" s="4">
        <f t="shared" si="334"/>
        <v>0</v>
      </c>
      <c r="BF56" s="4">
        <f t="shared" si="334"/>
        <v>0</v>
      </c>
      <c r="BG56" s="4">
        <f t="shared" si="334"/>
        <v>0</v>
      </c>
      <c r="BH56" s="4">
        <f t="shared" si="334"/>
        <v>0</v>
      </c>
      <c r="BI56" s="4">
        <f t="shared" si="334"/>
        <v>0</v>
      </c>
      <c r="BJ56" s="4">
        <f t="shared" si="334"/>
        <v>1</v>
      </c>
      <c r="BK56" s="4">
        <f t="shared" si="11"/>
        <v>1</v>
      </c>
      <c r="BM56" s="1" t="s">
        <v>232</v>
      </c>
      <c r="BN56" s="1" t="s">
        <v>71</v>
      </c>
      <c r="BO56" s="4">
        <f t="shared" ref="BO56:BU56" si="335">IF(ISNUMBER(SEARCH(BO$1,$BN56)), 1, 0)</f>
        <v>0</v>
      </c>
      <c r="BP56" s="4">
        <f t="shared" si="335"/>
        <v>0</v>
      </c>
      <c r="BQ56" s="4">
        <f t="shared" si="335"/>
        <v>0</v>
      </c>
      <c r="BR56" s="4">
        <f t="shared" si="335"/>
        <v>0</v>
      </c>
      <c r="BS56" s="4">
        <f t="shared" si="335"/>
        <v>0</v>
      </c>
      <c r="BT56" s="4">
        <f t="shared" si="335"/>
        <v>1</v>
      </c>
      <c r="BU56" s="4">
        <f t="shared" si="335"/>
        <v>0</v>
      </c>
      <c r="DC56" s="1" t="s">
        <v>238</v>
      </c>
    </row>
    <row r="57" spans="1:107" ht="15.75" customHeight="1" x14ac:dyDescent="0.25">
      <c r="A57" s="1" t="b">
        <v>1</v>
      </c>
      <c r="B57" s="3">
        <v>46164.563344907408</v>
      </c>
      <c r="C57" s="1" t="s">
        <v>482</v>
      </c>
      <c r="D57" s="1" t="s">
        <v>5</v>
      </c>
      <c r="E57" s="4">
        <f t="shared" ref="E57:K57" si="336">IF(ISNUMBER(SEARCH(E$1,$D57)), SEARCH(E$1,$D57), 0)</f>
        <v>0</v>
      </c>
      <c r="F57" s="4">
        <f t="shared" si="336"/>
        <v>1</v>
      </c>
      <c r="G57" s="4">
        <f t="shared" si="336"/>
        <v>0</v>
      </c>
      <c r="H57" s="4">
        <f t="shared" si="336"/>
        <v>0</v>
      </c>
      <c r="I57" s="4">
        <f t="shared" si="336"/>
        <v>0</v>
      </c>
      <c r="J57" s="4">
        <f t="shared" si="336"/>
        <v>0</v>
      </c>
      <c r="K57" s="4">
        <f t="shared" si="336"/>
        <v>0</v>
      </c>
      <c r="L57" s="4">
        <f t="shared" si="1"/>
        <v>1</v>
      </c>
      <c r="N57" s="1" t="s">
        <v>240</v>
      </c>
      <c r="O57" s="4">
        <f t="shared" ref="O57:T57" si="337">IF(ISNUMBER(SEARCH(O$1,$N57)), 1, 0)</f>
        <v>1</v>
      </c>
      <c r="P57" s="4">
        <f t="shared" si="337"/>
        <v>1</v>
      </c>
      <c r="Q57" s="4">
        <f t="shared" si="337"/>
        <v>1</v>
      </c>
      <c r="R57" s="4">
        <f t="shared" si="337"/>
        <v>1</v>
      </c>
      <c r="S57" s="4">
        <f t="shared" si="337"/>
        <v>0</v>
      </c>
      <c r="T57" s="4">
        <f t="shared" si="337"/>
        <v>0</v>
      </c>
      <c r="V57" s="1" t="s">
        <v>26</v>
      </c>
      <c r="W57" s="1" t="str">
        <f t="shared" si="313"/>
        <v>False</v>
      </c>
      <c r="X57" s="1" t="str">
        <f t="shared" si="313"/>
        <v>False</v>
      </c>
      <c r="Y57" s="1" t="str">
        <f t="shared" si="313"/>
        <v>False</v>
      </c>
      <c r="Z57" s="1" t="str">
        <f t="shared" si="313"/>
        <v>False</v>
      </c>
      <c r="AA57" s="1" t="str">
        <f t="shared" si="313"/>
        <v>True</v>
      </c>
      <c r="AB57" s="1" t="s">
        <v>28</v>
      </c>
      <c r="AC57" s="4">
        <f t="shared" ref="AC57:AH57" si="338">IF(ISNUMBER(SEARCH(AC$1,$AB57)), 1, 0)</f>
        <v>1</v>
      </c>
      <c r="AD57" s="4">
        <f t="shared" si="338"/>
        <v>0</v>
      </c>
      <c r="AE57" s="4">
        <f t="shared" si="338"/>
        <v>0</v>
      </c>
      <c r="AF57" s="4">
        <f t="shared" si="338"/>
        <v>0</v>
      </c>
      <c r="AG57" s="4">
        <f t="shared" si="338"/>
        <v>0</v>
      </c>
      <c r="AH57" s="4">
        <f t="shared" si="338"/>
        <v>0</v>
      </c>
      <c r="AI57" s="1">
        <f t="shared" si="5"/>
        <v>1</v>
      </c>
      <c r="AK57" s="1" t="s">
        <v>483</v>
      </c>
      <c r="AL57" s="4">
        <f t="shared" ref="AL57:AS57" si="339">IF(ISNUMBER(SEARCH(AL$1,$AK57)), 1, 0)</f>
        <v>1</v>
      </c>
      <c r="AM57" s="4">
        <f t="shared" si="339"/>
        <v>1</v>
      </c>
      <c r="AN57" s="4">
        <f t="shared" si="339"/>
        <v>1</v>
      </c>
      <c r="AO57" s="4">
        <f t="shared" si="339"/>
        <v>0</v>
      </c>
      <c r="AP57" s="4">
        <f t="shared" si="339"/>
        <v>0</v>
      </c>
      <c r="AQ57" s="4">
        <f t="shared" si="339"/>
        <v>0</v>
      </c>
      <c r="AR57" s="4">
        <f t="shared" si="339"/>
        <v>0</v>
      </c>
      <c r="AS57" s="4">
        <f t="shared" si="339"/>
        <v>0</v>
      </c>
      <c r="AU57" s="1" t="s">
        <v>47</v>
      </c>
      <c r="AV57" s="1">
        <f t="shared" si="7"/>
        <v>1</v>
      </c>
      <c r="AW57" s="1">
        <f t="shared" si="8"/>
        <v>0</v>
      </c>
      <c r="AX57" s="1">
        <f t="shared" si="9"/>
        <v>0</v>
      </c>
      <c r="AY57" s="1" t="s">
        <v>48</v>
      </c>
      <c r="BA57" s="1" t="s">
        <v>484</v>
      </c>
      <c r="BB57" s="4">
        <f t="shared" ref="BB57:BJ57" si="340">IF(ISNUMBER(SEARCH(BB$1,$BA57)), 1, 0)</f>
        <v>0</v>
      </c>
      <c r="BC57" s="4">
        <f t="shared" si="340"/>
        <v>0</v>
      </c>
      <c r="BD57" s="4">
        <f t="shared" si="340"/>
        <v>1</v>
      </c>
      <c r="BE57" s="4">
        <f t="shared" si="340"/>
        <v>0</v>
      </c>
      <c r="BF57" s="4">
        <f t="shared" si="340"/>
        <v>0</v>
      </c>
      <c r="BG57" s="4">
        <f t="shared" si="340"/>
        <v>0</v>
      </c>
      <c r="BH57" s="4">
        <f t="shared" si="340"/>
        <v>1</v>
      </c>
      <c r="BI57" s="4">
        <f t="shared" si="340"/>
        <v>0</v>
      </c>
      <c r="BJ57" s="4">
        <f t="shared" si="340"/>
        <v>0</v>
      </c>
      <c r="BK57" s="4">
        <f t="shared" si="11"/>
        <v>2</v>
      </c>
      <c r="BM57" s="1" t="s">
        <v>166</v>
      </c>
      <c r="BN57" s="1" t="s">
        <v>340</v>
      </c>
      <c r="BO57" s="4">
        <f t="shared" ref="BO57:BU57" si="341">IF(ISNUMBER(SEARCH(BO$1,$BN57)), 1, 0)</f>
        <v>1</v>
      </c>
      <c r="BP57" s="4">
        <f t="shared" si="341"/>
        <v>1</v>
      </c>
      <c r="BQ57" s="4">
        <f t="shared" si="341"/>
        <v>0</v>
      </c>
      <c r="BR57" s="4">
        <f t="shared" si="341"/>
        <v>0</v>
      </c>
      <c r="BS57" s="4">
        <f t="shared" si="341"/>
        <v>0</v>
      </c>
      <c r="BT57" s="4">
        <f t="shared" si="341"/>
        <v>0</v>
      </c>
      <c r="BU57" s="4">
        <f t="shared" si="341"/>
        <v>0</v>
      </c>
      <c r="CX57" s="1" t="s">
        <v>249</v>
      </c>
      <c r="CZ57" s="1" t="s">
        <v>485</v>
      </c>
      <c r="DC57" s="1" t="s">
        <v>180</v>
      </c>
    </row>
    <row r="58" spans="1:107" ht="15.75" customHeight="1" x14ac:dyDescent="0.25">
      <c r="A58" s="1" t="b">
        <v>1</v>
      </c>
      <c r="B58" s="3">
        <v>46164.58803240741</v>
      </c>
      <c r="C58" s="1" t="s">
        <v>486</v>
      </c>
      <c r="D58" s="1" t="s">
        <v>4</v>
      </c>
      <c r="E58" s="4">
        <f t="shared" ref="E58:K58" si="342">IF(ISNUMBER(SEARCH(E$1,$D58)), SEARCH(E$1,$D58), 0)</f>
        <v>1</v>
      </c>
      <c r="F58" s="4">
        <f t="shared" si="342"/>
        <v>0</v>
      </c>
      <c r="G58" s="4">
        <f t="shared" si="342"/>
        <v>0</v>
      </c>
      <c r="H58" s="4">
        <f t="shared" si="342"/>
        <v>0</v>
      </c>
      <c r="I58" s="4">
        <f t="shared" si="342"/>
        <v>0</v>
      </c>
      <c r="J58" s="4">
        <f t="shared" si="342"/>
        <v>0</v>
      </c>
      <c r="K58" s="4">
        <f t="shared" si="342"/>
        <v>0</v>
      </c>
      <c r="L58" s="4">
        <f t="shared" si="1"/>
        <v>1</v>
      </c>
      <c r="N58" s="1" t="s">
        <v>229</v>
      </c>
      <c r="O58" s="4">
        <f t="shared" ref="O58:T58" si="343">IF(ISNUMBER(SEARCH(O$1,$N58)), 1, 0)</f>
        <v>1</v>
      </c>
      <c r="P58" s="4">
        <f t="shared" si="343"/>
        <v>0</v>
      </c>
      <c r="Q58" s="4">
        <f t="shared" si="343"/>
        <v>1</v>
      </c>
      <c r="R58" s="4">
        <f t="shared" si="343"/>
        <v>1</v>
      </c>
      <c r="S58" s="4">
        <f t="shared" si="343"/>
        <v>1</v>
      </c>
      <c r="T58" s="4">
        <f t="shared" si="343"/>
        <v>0</v>
      </c>
      <c r="W58" s="1" t="str">
        <f t="shared" si="313"/>
        <v>False</v>
      </c>
      <c r="X58" s="1" t="str">
        <f t="shared" si="313"/>
        <v>False</v>
      </c>
      <c r="Y58" s="1" t="str">
        <f t="shared" si="313"/>
        <v>False</v>
      </c>
      <c r="Z58" s="1" t="str">
        <f t="shared" si="313"/>
        <v>False</v>
      </c>
      <c r="AA58" s="1" t="str">
        <f t="shared" si="313"/>
        <v>False</v>
      </c>
      <c r="AB58" s="1" t="s">
        <v>487</v>
      </c>
      <c r="AC58" s="4">
        <f t="shared" ref="AC58:AH58" si="344">IF(ISNUMBER(SEARCH(AC$1,$AB58)), 1, 0)</f>
        <v>0</v>
      </c>
      <c r="AD58" s="4">
        <f t="shared" si="344"/>
        <v>0</v>
      </c>
      <c r="AE58" s="4">
        <f t="shared" si="344"/>
        <v>0</v>
      </c>
      <c r="AF58" s="4">
        <f t="shared" si="344"/>
        <v>1</v>
      </c>
      <c r="AG58" s="4">
        <f t="shared" si="344"/>
        <v>0</v>
      </c>
      <c r="AH58" s="4">
        <f t="shared" si="344"/>
        <v>1</v>
      </c>
      <c r="AI58" s="1">
        <f t="shared" si="5"/>
        <v>2</v>
      </c>
      <c r="AK58" s="1" t="s">
        <v>470</v>
      </c>
      <c r="AL58" s="4">
        <f t="shared" ref="AL58:AS58" si="345">IF(ISNUMBER(SEARCH(AL$1,$AK58)), 1, 0)</f>
        <v>0</v>
      </c>
      <c r="AM58" s="4">
        <f t="shared" si="345"/>
        <v>1</v>
      </c>
      <c r="AN58" s="4">
        <f t="shared" si="345"/>
        <v>0</v>
      </c>
      <c r="AO58" s="4">
        <f t="shared" si="345"/>
        <v>1</v>
      </c>
      <c r="AP58" s="4">
        <f t="shared" si="345"/>
        <v>0</v>
      </c>
      <c r="AQ58" s="4">
        <f t="shared" si="345"/>
        <v>1</v>
      </c>
      <c r="AR58" s="4">
        <f t="shared" si="345"/>
        <v>0</v>
      </c>
      <c r="AS58" s="4">
        <f t="shared" si="345"/>
        <v>0</v>
      </c>
      <c r="AU58" s="1" t="s">
        <v>47</v>
      </c>
      <c r="AV58" s="1">
        <f t="shared" si="7"/>
        <v>1</v>
      </c>
      <c r="AW58" s="1">
        <f t="shared" si="8"/>
        <v>0</v>
      </c>
      <c r="AX58" s="1">
        <f t="shared" si="9"/>
        <v>0</v>
      </c>
      <c r="AY58" s="1" t="s">
        <v>48</v>
      </c>
      <c r="BA58" s="1" t="s">
        <v>57</v>
      </c>
      <c r="BB58" s="4">
        <f t="shared" ref="BB58:BJ58" si="346">IF(ISNUMBER(SEARCH(BB$1,$BA58)), 1, 0)</f>
        <v>0</v>
      </c>
      <c r="BC58" s="4">
        <f t="shared" si="346"/>
        <v>0</v>
      </c>
      <c r="BD58" s="4">
        <f t="shared" si="346"/>
        <v>0</v>
      </c>
      <c r="BE58" s="4">
        <f t="shared" si="346"/>
        <v>0</v>
      </c>
      <c r="BF58" s="4">
        <f t="shared" si="346"/>
        <v>1</v>
      </c>
      <c r="BG58" s="4">
        <f t="shared" si="346"/>
        <v>0</v>
      </c>
      <c r="BH58" s="4">
        <f t="shared" si="346"/>
        <v>0</v>
      </c>
      <c r="BI58" s="4">
        <f t="shared" si="346"/>
        <v>0</v>
      </c>
      <c r="BJ58" s="4">
        <f t="shared" si="346"/>
        <v>0</v>
      </c>
      <c r="BK58" s="4">
        <f t="shared" si="11"/>
        <v>1</v>
      </c>
      <c r="BM58" s="1" t="s">
        <v>218</v>
      </c>
      <c r="BN58" s="1" t="s">
        <v>340</v>
      </c>
      <c r="BO58" s="4">
        <f t="shared" ref="BO58:BU58" si="347">IF(ISNUMBER(SEARCH(BO$1,$BN58)), 1, 0)</f>
        <v>1</v>
      </c>
      <c r="BP58" s="4">
        <f t="shared" si="347"/>
        <v>1</v>
      </c>
      <c r="BQ58" s="4">
        <f t="shared" si="347"/>
        <v>0</v>
      </c>
      <c r="BR58" s="4">
        <f t="shared" si="347"/>
        <v>0</v>
      </c>
      <c r="BS58" s="4">
        <f t="shared" si="347"/>
        <v>0</v>
      </c>
      <c r="BT58" s="4">
        <f t="shared" si="347"/>
        <v>0</v>
      </c>
      <c r="BU58" s="4">
        <f t="shared" si="347"/>
        <v>0</v>
      </c>
      <c r="DC58" s="1" t="s">
        <v>238</v>
      </c>
    </row>
    <row r="59" spans="1:107" ht="15.75" customHeight="1" x14ac:dyDescent="0.25">
      <c r="A59" s="1" t="b">
        <v>1</v>
      </c>
      <c r="B59" s="3">
        <v>46164.591782407406</v>
      </c>
      <c r="C59" s="1" t="s">
        <v>488</v>
      </c>
      <c r="D59" s="1" t="s">
        <v>207</v>
      </c>
      <c r="E59" s="4">
        <f t="shared" ref="E59:K59" si="348">IF(ISNUMBER(SEARCH(E$1,$D59)), SEARCH(E$1,$D59), 0)</f>
        <v>1</v>
      </c>
      <c r="F59" s="4">
        <f t="shared" si="348"/>
        <v>30</v>
      </c>
      <c r="G59" s="4">
        <f t="shared" si="348"/>
        <v>0</v>
      </c>
      <c r="H59" s="4">
        <f t="shared" si="348"/>
        <v>0</v>
      </c>
      <c r="I59" s="4">
        <f t="shared" si="348"/>
        <v>0</v>
      </c>
      <c r="J59" s="4">
        <f t="shared" si="348"/>
        <v>0</v>
      </c>
      <c r="K59" s="4">
        <f t="shared" si="348"/>
        <v>0</v>
      </c>
      <c r="L59" s="4">
        <f t="shared" si="1"/>
        <v>30</v>
      </c>
      <c r="N59" s="1" t="s">
        <v>294</v>
      </c>
      <c r="O59" s="4">
        <f t="shared" ref="O59:T59" si="349">IF(ISNUMBER(SEARCH(O$1,$N59)), 1, 0)</f>
        <v>1</v>
      </c>
      <c r="P59" s="4">
        <f t="shared" si="349"/>
        <v>1</v>
      </c>
      <c r="Q59" s="4">
        <f t="shared" si="349"/>
        <v>0</v>
      </c>
      <c r="R59" s="4">
        <f t="shared" si="349"/>
        <v>0</v>
      </c>
      <c r="S59" s="4">
        <f t="shared" si="349"/>
        <v>0</v>
      </c>
      <c r="T59" s="4">
        <f t="shared" si="349"/>
        <v>0</v>
      </c>
      <c r="W59" s="1" t="str">
        <f t="shared" si="313"/>
        <v>False</v>
      </c>
      <c r="X59" s="1" t="str">
        <f t="shared" si="313"/>
        <v>False</v>
      </c>
      <c r="Y59" s="1" t="str">
        <f t="shared" si="313"/>
        <v>False</v>
      </c>
      <c r="Z59" s="1" t="str">
        <f t="shared" si="313"/>
        <v>False</v>
      </c>
      <c r="AA59" s="1" t="str">
        <f t="shared" si="313"/>
        <v>False</v>
      </c>
      <c r="AB59" s="1" t="s">
        <v>31</v>
      </c>
      <c r="AC59" s="4">
        <f t="shared" ref="AC59:AH59" si="350">IF(ISNUMBER(SEARCH(AC$1,$AB59)), 1, 0)</f>
        <v>0</v>
      </c>
      <c r="AD59" s="4">
        <f t="shared" si="350"/>
        <v>0</v>
      </c>
      <c r="AE59" s="4">
        <f t="shared" si="350"/>
        <v>0</v>
      </c>
      <c r="AF59" s="4">
        <f t="shared" si="350"/>
        <v>1</v>
      </c>
      <c r="AG59" s="4">
        <f t="shared" si="350"/>
        <v>0</v>
      </c>
      <c r="AH59" s="4">
        <f t="shared" si="350"/>
        <v>0</v>
      </c>
      <c r="AI59" s="1">
        <f t="shared" si="5"/>
        <v>1</v>
      </c>
      <c r="AK59" s="1" t="s">
        <v>38</v>
      </c>
      <c r="AL59" s="4">
        <f t="shared" ref="AL59:AS59" si="351">IF(ISNUMBER(SEARCH(AL$1,$AK59)), 1, 0)</f>
        <v>0</v>
      </c>
      <c r="AM59" s="4">
        <f t="shared" si="351"/>
        <v>1</v>
      </c>
      <c r="AN59" s="4">
        <f t="shared" si="351"/>
        <v>0</v>
      </c>
      <c r="AO59" s="4">
        <f t="shared" si="351"/>
        <v>0</v>
      </c>
      <c r="AP59" s="4">
        <f t="shared" si="351"/>
        <v>0</v>
      </c>
      <c r="AQ59" s="4">
        <f t="shared" si="351"/>
        <v>0</v>
      </c>
      <c r="AR59" s="4">
        <f t="shared" si="351"/>
        <v>0</v>
      </c>
      <c r="AS59" s="4">
        <f t="shared" si="351"/>
        <v>0</v>
      </c>
      <c r="AU59" s="1" t="s">
        <v>47</v>
      </c>
      <c r="AV59" s="1">
        <f t="shared" si="7"/>
        <v>1</v>
      </c>
      <c r="AW59" s="1">
        <f t="shared" si="8"/>
        <v>0</v>
      </c>
      <c r="AX59" s="1">
        <f t="shared" si="9"/>
        <v>0</v>
      </c>
      <c r="AY59" s="1" t="s">
        <v>47</v>
      </c>
      <c r="AZ59" s="1" t="s">
        <v>48</v>
      </c>
      <c r="BB59" s="4">
        <f t="shared" ref="BB59:BJ59" si="352">IF(ISNUMBER(SEARCH(BB$1,$BA59)), 1, 0)</f>
        <v>0</v>
      </c>
      <c r="BC59" s="4">
        <f t="shared" si="352"/>
        <v>0</v>
      </c>
      <c r="BD59" s="4">
        <f t="shared" si="352"/>
        <v>0</v>
      </c>
      <c r="BE59" s="4">
        <f t="shared" si="352"/>
        <v>0</v>
      </c>
      <c r="BF59" s="4">
        <f t="shared" si="352"/>
        <v>0</v>
      </c>
      <c r="BG59" s="4">
        <f t="shared" si="352"/>
        <v>0</v>
      </c>
      <c r="BH59" s="4">
        <f t="shared" si="352"/>
        <v>0</v>
      </c>
      <c r="BI59" s="4">
        <f t="shared" si="352"/>
        <v>0</v>
      </c>
      <c r="BJ59" s="4">
        <f t="shared" si="352"/>
        <v>0</v>
      </c>
      <c r="BK59" s="4">
        <f t="shared" si="11"/>
        <v>0</v>
      </c>
      <c r="BO59" s="4">
        <f t="shared" ref="BO59:BU59" si="353">IF(ISNUMBER(SEARCH(BO$1,$BN59)), 1, 0)</f>
        <v>0</v>
      </c>
      <c r="BP59" s="4">
        <f t="shared" si="353"/>
        <v>0</v>
      </c>
      <c r="BQ59" s="4">
        <f t="shared" si="353"/>
        <v>0</v>
      </c>
      <c r="BR59" s="4">
        <f t="shared" si="353"/>
        <v>0</v>
      </c>
      <c r="BS59" s="4">
        <f t="shared" si="353"/>
        <v>0</v>
      </c>
      <c r="BT59" s="4">
        <f t="shared" si="353"/>
        <v>0</v>
      </c>
      <c r="BU59" s="4">
        <f t="shared" si="353"/>
        <v>0</v>
      </c>
      <c r="CX59" s="1" t="s">
        <v>261</v>
      </c>
      <c r="CZ59" s="1" t="s">
        <v>489</v>
      </c>
      <c r="DC59" s="1" t="s">
        <v>180</v>
      </c>
    </row>
    <row r="60" spans="1:107" ht="15.75" customHeight="1" x14ac:dyDescent="0.25">
      <c r="A60" s="1" t="b">
        <v>1</v>
      </c>
      <c r="B60" s="3">
        <v>46164.593090277776</v>
      </c>
      <c r="C60" s="1" t="s">
        <v>490</v>
      </c>
      <c r="D60" s="1" t="s">
        <v>243</v>
      </c>
      <c r="E60" s="4">
        <f t="shared" ref="E60:K60" si="354">IF(ISNUMBER(SEARCH(E$1,$D60)), SEARCH(E$1,$D60), 0)</f>
        <v>1</v>
      </c>
      <c r="F60" s="4">
        <f t="shared" si="354"/>
        <v>30</v>
      </c>
      <c r="G60" s="4">
        <f t="shared" si="354"/>
        <v>105</v>
      </c>
      <c r="H60" s="4">
        <f t="shared" si="354"/>
        <v>0</v>
      </c>
      <c r="I60" s="4">
        <f t="shared" si="354"/>
        <v>0</v>
      </c>
      <c r="J60" s="4">
        <f t="shared" si="354"/>
        <v>0</v>
      </c>
      <c r="K60" s="4">
        <f t="shared" si="354"/>
        <v>0</v>
      </c>
      <c r="L60" s="4">
        <f t="shared" si="1"/>
        <v>105</v>
      </c>
      <c r="N60" s="1" t="s">
        <v>187</v>
      </c>
      <c r="O60" s="4">
        <f t="shared" ref="O60:T60" si="355">IF(ISNUMBER(SEARCH(O$1,$N60)), 1, 0)</f>
        <v>1</v>
      </c>
      <c r="P60" s="4">
        <f t="shared" si="355"/>
        <v>1</v>
      </c>
      <c r="Q60" s="4">
        <f t="shared" si="355"/>
        <v>1</v>
      </c>
      <c r="R60" s="4">
        <f t="shared" si="355"/>
        <v>1</v>
      </c>
      <c r="S60" s="4">
        <f t="shared" si="355"/>
        <v>1</v>
      </c>
      <c r="T60" s="4">
        <f t="shared" si="355"/>
        <v>1</v>
      </c>
      <c r="V60" s="1" t="s">
        <v>25</v>
      </c>
      <c r="W60" s="1" t="str">
        <f t="shared" si="313"/>
        <v>False</v>
      </c>
      <c r="X60" s="1" t="str">
        <f t="shared" si="313"/>
        <v>False</v>
      </c>
      <c r="Y60" s="1" t="str">
        <f t="shared" si="313"/>
        <v>False</v>
      </c>
      <c r="Z60" s="1" t="str">
        <f t="shared" si="313"/>
        <v>True</v>
      </c>
      <c r="AA60" s="1" t="str">
        <f t="shared" si="313"/>
        <v>False</v>
      </c>
      <c r="AB60" s="1" t="s">
        <v>491</v>
      </c>
      <c r="AC60" s="4">
        <f t="shared" ref="AC60:AH60" si="356">IF(ISNUMBER(SEARCH(AC$1,$AB60)), 1, 0)</f>
        <v>1</v>
      </c>
      <c r="AD60" s="4">
        <f t="shared" si="356"/>
        <v>0</v>
      </c>
      <c r="AE60" s="4">
        <f t="shared" si="356"/>
        <v>1</v>
      </c>
      <c r="AF60" s="4">
        <f t="shared" si="356"/>
        <v>0</v>
      </c>
      <c r="AG60" s="4">
        <f t="shared" si="356"/>
        <v>1</v>
      </c>
      <c r="AH60" s="4">
        <f t="shared" si="356"/>
        <v>1</v>
      </c>
      <c r="AI60" s="1">
        <f t="shared" si="5"/>
        <v>4</v>
      </c>
      <c r="AK60" s="1" t="s">
        <v>492</v>
      </c>
      <c r="AL60" s="4">
        <f t="shared" ref="AL60:AS60" si="357">IF(ISNUMBER(SEARCH(AL$1,$AK60)), 1, 0)</f>
        <v>1</v>
      </c>
      <c r="AM60" s="4">
        <f t="shared" si="357"/>
        <v>1</v>
      </c>
      <c r="AN60" s="4">
        <f t="shared" si="357"/>
        <v>1</v>
      </c>
      <c r="AO60" s="4">
        <f t="shared" si="357"/>
        <v>1</v>
      </c>
      <c r="AP60" s="4">
        <f t="shared" si="357"/>
        <v>1</v>
      </c>
      <c r="AQ60" s="4">
        <f t="shared" si="357"/>
        <v>1</v>
      </c>
      <c r="AR60" s="4">
        <f t="shared" si="357"/>
        <v>1</v>
      </c>
      <c r="AS60" s="4">
        <f t="shared" si="357"/>
        <v>0</v>
      </c>
      <c r="AU60" s="1" t="s">
        <v>49</v>
      </c>
      <c r="AV60" s="1">
        <f t="shared" si="7"/>
        <v>0</v>
      </c>
      <c r="AW60" s="1">
        <f t="shared" si="8"/>
        <v>0</v>
      </c>
      <c r="AX60" s="1">
        <f t="shared" si="9"/>
        <v>1</v>
      </c>
      <c r="AY60" s="1" t="s">
        <v>48</v>
      </c>
      <c r="BA60" s="1" t="s">
        <v>493</v>
      </c>
      <c r="BB60" s="4">
        <f t="shared" ref="BB60:BJ60" si="358">IF(ISNUMBER(SEARCH(BB$1,$BA60)), 1, 0)</f>
        <v>1</v>
      </c>
      <c r="BC60" s="4">
        <f t="shared" si="358"/>
        <v>1</v>
      </c>
      <c r="BD60" s="4">
        <f t="shared" si="358"/>
        <v>1</v>
      </c>
      <c r="BE60" s="4">
        <f t="shared" si="358"/>
        <v>0</v>
      </c>
      <c r="BF60" s="4">
        <f t="shared" si="358"/>
        <v>1</v>
      </c>
      <c r="BG60" s="4">
        <f t="shared" si="358"/>
        <v>0</v>
      </c>
      <c r="BH60" s="4">
        <f t="shared" si="358"/>
        <v>1</v>
      </c>
      <c r="BI60" s="4">
        <f t="shared" si="358"/>
        <v>0</v>
      </c>
      <c r="BJ60" s="4">
        <f t="shared" si="358"/>
        <v>1</v>
      </c>
      <c r="BK60" s="4">
        <f t="shared" si="11"/>
        <v>6</v>
      </c>
      <c r="BM60" s="1" t="s">
        <v>166</v>
      </c>
      <c r="BN60" s="1" t="s">
        <v>494</v>
      </c>
      <c r="BO60" s="4">
        <f t="shared" ref="BO60:BU60" si="359">IF(ISNUMBER(SEARCH(BO$1,$BN60)), 1, 0)</f>
        <v>1</v>
      </c>
      <c r="BP60" s="4">
        <f t="shared" si="359"/>
        <v>0</v>
      </c>
      <c r="BQ60" s="4">
        <f t="shared" si="359"/>
        <v>1</v>
      </c>
      <c r="BR60" s="4">
        <f t="shared" si="359"/>
        <v>1</v>
      </c>
      <c r="BS60" s="4">
        <f t="shared" si="359"/>
        <v>1</v>
      </c>
      <c r="BT60" s="4">
        <f t="shared" si="359"/>
        <v>0</v>
      </c>
      <c r="BU60" s="4">
        <f t="shared" si="359"/>
        <v>0</v>
      </c>
      <c r="CU60" s="1" t="s">
        <v>178</v>
      </c>
      <c r="CW60" s="1" t="s">
        <v>495</v>
      </c>
      <c r="CX60" s="1" t="s">
        <v>496</v>
      </c>
      <c r="CZ60" s="1" t="s">
        <v>497</v>
      </c>
      <c r="DB60" s="1" t="s">
        <v>498</v>
      </c>
      <c r="DC60" s="1" t="s">
        <v>238</v>
      </c>
    </row>
    <row r="61" spans="1:107" ht="15.75" customHeight="1" x14ac:dyDescent="0.25">
      <c r="A61" s="1" t="b">
        <v>1</v>
      </c>
      <c r="B61" s="3">
        <v>46164.595046296294</v>
      </c>
      <c r="C61" s="1" t="s">
        <v>499</v>
      </c>
      <c r="D61" s="1" t="s">
        <v>305</v>
      </c>
      <c r="E61" s="4">
        <f t="shared" ref="E61:K61" si="360">IF(ISNUMBER(SEARCH(E$1,$D61)), SEARCH(E$1,$D61), 0)</f>
        <v>1</v>
      </c>
      <c r="F61" s="4">
        <f t="shared" si="360"/>
        <v>0</v>
      </c>
      <c r="G61" s="4">
        <f t="shared" si="360"/>
        <v>0</v>
      </c>
      <c r="H61" s="4">
        <f t="shared" si="360"/>
        <v>0</v>
      </c>
      <c r="I61" s="4">
        <f t="shared" si="360"/>
        <v>0</v>
      </c>
      <c r="J61" s="4">
        <f t="shared" si="360"/>
        <v>0</v>
      </c>
      <c r="K61" s="4">
        <f t="shared" si="360"/>
        <v>30</v>
      </c>
      <c r="L61" s="4">
        <f t="shared" si="1"/>
        <v>30</v>
      </c>
      <c r="N61" s="1" t="s">
        <v>385</v>
      </c>
      <c r="O61" s="4">
        <f t="shared" ref="O61:T61" si="361">IF(ISNUMBER(SEARCH(O$1,$N61)), 1, 0)</f>
        <v>1</v>
      </c>
      <c r="P61" s="4">
        <f t="shared" si="361"/>
        <v>1</v>
      </c>
      <c r="Q61" s="4">
        <f t="shared" si="361"/>
        <v>0</v>
      </c>
      <c r="R61" s="4">
        <f t="shared" si="361"/>
        <v>1</v>
      </c>
      <c r="S61" s="4">
        <f t="shared" si="361"/>
        <v>1</v>
      </c>
      <c r="T61" s="4">
        <f t="shared" si="361"/>
        <v>0</v>
      </c>
      <c r="V61" s="1" t="s">
        <v>24</v>
      </c>
      <c r="W61" s="1" t="str">
        <f t="shared" si="313"/>
        <v>False</v>
      </c>
      <c r="X61" s="1" t="str">
        <f t="shared" si="313"/>
        <v>False</v>
      </c>
      <c r="Y61" s="1" t="str">
        <f t="shared" si="313"/>
        <v>True</v>
      </c>
      <c r="Z61" s="1" t="str">
        <f t="shared" si="313"/>
        <v>False</v>
      </c>
      <c r="AA61" s="1" t="str">
        <f t="shared" si="313"/>
        <v>False</v>
      </c>
      <c r="AB61" s="1" t="s">
        <v>31</v>
      </c>
      <c r="AC61" s="4">
        <f t="shared" ref="AC61:AH61" si="362">IF(ISNUMBER(SEARCH(AC$1,$AB61)), 1, 0)</f>
        <v>0</v>
      </c>
      <c r="AD61" s="4">
        <f t="shared" si="362"/>
        <v>0</v>
      </c>
      <c r="AE61" s="4">
        <f t="shared" si="362"/>
        <v>0</v>
      </c>
      <c r="AF61" s="4">
        <f t="shared" si="362"/>
        <v>1</v>
      </c>
      <c r="AG61" s="4">
        <f t="shared" si="362"/>
        <v>0</v>
      </c>
      <c r="AH61" s="4">
        <f t="shared" si="362"/>
        <v>0</v>
      </c>
      <c r="AI61" s="1">
        <f t="shared" si="5"/>
        <v>1</v>
      </c>
      <c r="AK61" s="1" t="s">
        <v>346</v>
      </c>
      <c r="AL61" s="4">
        <f t="shared" ref="AL61:AS61" si="363">IF(ISNUMBER(SEARCH(AL$1,$AK61)), 1, 0)</f>
        <v>0</v>
      </c>
      <c r="AM61" s="4">
        <f t="shared" si="363"/>
        <v>1</v>
      </c>
      <c r="AN61" s="4">
        <f t="shared" si="363"/>
        <v>1</v>
      </c>
      <c r="AO61" s="4">
        <f t="shared" si="363"/>
        <v>1</v>
      </c>
      <c r="AP61" s="4">
        <f t="shared" si="363"/>
        <v>0</v>
      </c>
      <c r="AQ61" s="4">
        <f t="shared" si="363"/>
        <v>0</v>
      </c>
      <c r="AR61" s="4">
        <f t="shared" si="363"/>
        <v>0</v>
      </c>
      <c r="AS61" s="4">
        <f t="shared" si="363"/>
        <v>0</v>
      </c>
      <c r="AU61" s="1" t="s">
        <v>48</v>
      </c>
      <c r="AV61" s="1">
        <f t="shared" si="7"/>
        <v>0</v>
      </c>
      <c r="AW61" s="1">
        <f t="shared" si="8"/>
        <v>1</v>
      </c>
      <c r="AX61" s="1">
        <f t="shared" si="9"/>
        <v>0</v>
      </c>
      <c r="AY61" s="1" t="s">
        <v>48</v>
      </c>
      <c r="BA61" s="1" t="s">
        <v>500</v>
      </c>
      <c r="BB61" s="4">
        <f t="shared" ref="BB61:BJ61" si="364">IF(ISNUMBER(SEARCH(BB$1,$BA61)), 1, 0)</f>
        <v>0</v>
      </c>
      <c r="BC61" s="4">
        <f t="shared" si="364"/>
        <v>1</v>
      </c>
      <c r="BD61" s="4">
        <f t="shared" si="364"/>
        <v>0</v>
      </c>
      <c r="BE61" s="4">
        <f t="shared" si="364"/>
        <v>0</v>
      </c>
      <c r="BF61" s="4">
        <f t="shared" si="364"/>
        <v>0</v>
      </c>
      <c r="BG61" s="4">
        <f t="shared" si="364"/>
        <v>0</v>
      </c>
      <c r="BH61" s="4">
        <f t="shared" si="364"/>
        <v>0</v>
      </c>
      <c r="BI61" s="4">
        <f t="shared" si="364"/>
        <v>0</v>
      </c>
      <c r="BJ61" s="4">
        <f t="shared" si="364"/>
        <v>1</v>
      </c>
      <c r="BK61" s="4">
        <f t="shared" si="11"/>
        <v>2</v>
      </c>
      <c r="BM61" s="1" t="s">
        <v>218</v>
      </c>
      <c r="BN61" s="1" t="s">
        <v>501</v>
      </c>
      <c r="BO61" s="4">
        <f t="shared" ref="BO61:BU61" si="365">IF(ISNUMBER(SEARCH(BO$1,$BN61)), 1, 0)</f>
        <v>1</v>
      </c>
      <c r="BP61" s="4">
        <f t="shared" si="365"/>
        <v>1</v>
      </c>
      <c r="BQ61" s="4">
        <f t="shared" si="365"/>
        <v>1</v>
      </c>
      <c r="BR61" s="4">
        <f t="shared" si="365"/>
        <v>1</v>
      </c>
      <c r="BS61" s="4">
        <f t="shared" si="365"/>
        <v>0</v>
      </c>
      <c r="BT61" s="4">
        <f t="shared" si="365"/>
        <v>1</v>
      </c>
      <c r="BU61" s="4">
        <f t="shared" si="365"/>
        <v>0</v>
      </c>
      <c r="BY61" s="1" t="s">
        <v>502</v>
      </c>
      <c r="BZ61" s="1" t="s">
        <v>234</v>
      </c>
      <c r="CM61" s="1" t="s">
        <v>47</v>
      </c>
      <c r="CQ61" s="1" t="s">
        <v>48</v>
      </c>
      <c r="DC61" s="1" t="s">
        <v>180</v>
      </c>
    </row>
    <row r="62" spans="1:107" ht="15.75" customHeight="1" x14ac:dyDescent="0.25">
      <c r="A62" s="1" t="b">
        <v>1</v>
      </c>
      <c r="B62" s="3">
        <v>46164.596678240741</v>
      </c>
      <c r="C62" s="1" t="s">
        <v>503</v>
      </c>
      <c r="D62" s="1" t="s">
        <v>183</v>
      </c>
      <c r="E62" s="4">
        <f t="shared" ref="E62:K62" si="366">IF(ISNUMBER(SEARCH(E$1,$D62)), SEARCH(E$1,$D62), 0)</f>
        <v>0</v>
      </c>
      <c r="F62" s="4">
        <f t="shared" si="366"/>
        <v>0</v>
      </c>
      <c r="G62" s="4">
        <f t="shared" si="366"/>
        <v>0</v>
      </c>
      <c r="H62" s="4">
        <f t="shared" si="366"/>
        <v>0</v>
      </c>
      <c r="I62" s="4">
        <f t="shared" si="366"/>
        <v>0</v>
      </c>
      <c r="J62" s="4">
        <f t="shared" si="366"/>
        <v>0</v>
      </c>
      <c r="K62" s="4">
        <f t="shared" si="366"/>
        <v>0</v>
      </c>
      <c r="L62" s="4">
        <f t="shared" si="1"/>
        <v>0</v>
      </c>
      <c r="M62" s="1" t="s">
        <v>504</v>
      </c>
      <c r="N62" s="1" t="s">
        <v>505</v>
      </c>
      <c r="O62" s="4">
        <f t="shared" ref="O62:T62" si="367">IF(ISNUMBER(SEARCH(O$1,$N62)), 1, 0)</f>
        <v>1</v>
      </c>
      <c r="P62" s="4">
        <f t="shared" si="367"/>
        <v>1</v>
      </c>
      <c r="Q62" s="4">
        <f t="shared" si="367"/>
        <v>0</v>
      </c>
      <c r="R62" s="4">
        <f t="shared" si="367"/>
        <v>1</v>
      </c>
      <c r="S62" s="4">
        <f t="shared" si="367"/>
        <v>1</v>
      </c>
      <c r="T62" s="4">
        <f t="shared" si="367"/>
        <v>1</v>
      </c>
      <c r="V62" s="1" t="s">
        <v>24</v>
      </c>
      <c r="W62" s="1" t="str">
        <f t="shared" si="313"/>
        <v>False</v>
      </c>
      <c r="X62" s="1" t="str">
        <f t="shared" si="313"/>
        <v>False</v>
      </c>
      <c r="Y62" s="1" t="str">
        <f t="shared" si="313"/>
        <v>True</v>
      </c>
      <c r="Z62" s="1" t="str">
        <f t="shared" si="313"/>
        <v>False</v>
      </c>
      <c r="AA62" s="1" t="str">
        <f t="shared" si="313"/>
        <v>False</v>
      </c>
      <c r="AB62" s="1" t="s">
        <v>487</v>
      </c>
      <c r="AC62" s="4">
        <f t="shared" ref="AC62:AH62" si="368">IF(ISNUMBER(SEARCH(AC$1,$AB62)), 1, 0)</f>
        <v>0</v>
      </c>
      <c r="AD62" s="4">
        <f t="shared" si="368"/>
        <v>0</v>
      </c>
      <c r="AE62" s="4">
        <f t="shared" si="368"/>
        <v>0</v>
      </c>
      <c r="AF62" s="4">
        <f t="shared" si="368"/>
        <v>1</v>
      </c>
      <c r="AG62" s="4">
        <f t="shared" si="368"/>
        <v>0</v>
      </c>
      <c r="AH62" s="4">
        <f t="shared" si="368"/>
        <v>1</v>
      </c>
      <c r="AI62" s="1">
        <f t="shared" si="5"/>
        <v>2</v>
      </c>
      <c r="AK62" s="1" t="s">
        <v>506</v>
      </c>
      <c r="AL62" s="4">
        <f t="shared" ref="AL62:AS62" si="369">IF(ISNUMBER(SEARCH(AL$1,$AK62)), 1, 0)</f>
        <v>1</v>
      </c>
      <c r="AM62" s="4">
        <f t="shared" si="369"/>
        <v>1</v>
      </c>
      <c r="AN62" s="4">
        <f t="shared" si="369"/>
        <v>0</v>
      </c>
      <c r="AO62" s="4">
        <f t="shared" si="369"/>
        <v>0</v>
      </c>
      <c r="AP62" s="4">
        <f t="shared" si="369"/>
        <v>0</v>
      </c>
      <c r="AQ62" s="4">
        <f t="shared" si="369"/>
        <v>0</v>
      </c>
      <c r="AR62" s="4">
        <f t="shared" si="369"/>
        <v>0</v>
      </c>
      <c r="AS62" s="4">
        <f t="shared" si="369"/>
        <v>0</v>
      </c>
      <c r="AU62" s="1" t="s">
        <v>47</v>
      </c>
      <c r="AV62" s="1">
        <f t="shared" si="7"/>
        <v>1</v>
      </c>
      <c r="AW62" s="1">
        <f t="shared" si="8"/>
        <v>0</v>
      </c>
      <c r="AX62" s="1">
        <f t="shared" si="9"/>
        <v>0</v>
      </c>
      <c r="AY62" s="1" t="s">
        <v>48</v>
      </c>
      <c r="BA62" s="1" t="s">
        <v>507</v>
      </c>
      <c r="BB62" s="4">
        <f t="shared" ref="BB62:BJ62" si="370">IF(ISNUMBER(SEARCH(BB$1,$BA62)), 1, 0)</f>
        <v>0</v>
      </c>
      <c r="BC62" s="4">
        <f t="shared" si="370"/>
        <v>0</v>
      </c>
      <c r="BD62" s="4">
        <f t="shared" si="370"/>
        <v>1</v>
      </c>
      <c r="BE62" s="4">
        <f t="shared" si="370"/>
        <v>1</v>
      </c>
      <c r="BF62" s="4">
        <f t="shared" si="370"/>
        <v>1</v>
      </c>
      <c r="BG62" s="4">
        <f t="shared" si="370"/>
        <v>0</v>
      </c>
      <c r="BH62" s="4">
        <f t="shared" si="370"/>
        <v>1</v>
      </c>
      <c r="BI62" s="4">
        <f t="shared" si="370"/>
        <v>1</v>
      </c>
      <c r="BJ62" s="4">
        <f t="shared" si="370"/>
        <v>0</v>
      </c>
      <c r="BK62" s="4">
        <f t="shared" si="11"/>
        <v>5</v>
      </c>
      <c r="BM62" s="1" t="s">
        <v>190</v>
      </c>
      <c r="BN62" s="1" t="s">
        <v>72</v>
      </c>
      <c r="BO62" s="4">
        <f t="shared" ref="BO62:BU62" si="371">IF(ISNUMBER(SEARCH(BO$1,$BN62)), 1, 0)</f>
        <v>0</v>
      </c>
      <c r="BP62" s="4">
        <f t="shared" si="371"/>
        <v>0</v>
      </c>
      <c r="BQ62" s="4">
        <f t="shared" si="371"/>
        <v>0</v>
      </c>
      <c r="BR62" s="4">
        <f t="shared" si="371"/>
        <v>0</v>
      </c>
      <c r="BS62" s="4">
        <f t="shared" si="371"/>
        <v>0</v>
      </c>
      <c r="BT62" s="4">
        <f t="shared" si="371"/>
        <v>0</v>
      </c>
      <c r="BU62" s="4">
        <f t="shared" si="371"/>
        <v>1</v>
      </c>
      <c r="DC62" s="1" t="s">
        <v>238</v>
      </c>
    </row>
    <row r="63" spans="1:107" ht="15.75" customHeight="1" x14ac:dyDescent="0.25">
      <c r="A63" s="1" t="b">
        <v>1</v>
      </c>
      <c r="B63" s="3">
        <v>46164.639606481483</v>
      </c>
      <c r="C63" s="1" t="s">
        <v>508</v>
      </c>
      <c r="D63" s="1" t="s">
        <v>4</v>
      </c>
      <c r="E63" s="4">
        <f t="shared" ref="E63:K63" si="372">IF(ISNUMBER(SEARCH(E$1,$D63)), SEARCH(E$1,$D63), 0)</f>
        <v>1</v>
      </c>
      <c r="F63" s="4">
        <f t="shared" si="372"/>
        <v>0</v>
      </c>
      <c r="G63" s="4">
        <f t="shared" si="372"/>
        <v>0</v>
      </c>
      <c r="H63" s="4">
        <f t="shared" si="372"/>
        <v>0</v>
      </c>
      <c r="I63" s="4">
        <f t="shared" si="372"/>
        <v>0</v>
      </c>
      <c r="J63" s="4">
        <f t="shared" si="372"/>
        <v>0</v>
      </c>
      <c r="K63" s="4">
        <f t="shared" si="372"/>
        <v>0</v>
      </c>
      <c r="L63" s="4">
        <f t="shared" si="1"/>
        <v>1</v>
      </c>
      <c r="N63" s="1" t="s">
        <v>240</v>
      </c>
      <c r="O63" s="4">
        <f t="shared" ref="O63:T63" si="373">IF(ISNUMBER(SEARCH(O$1,$N63)), 1, 0)</f>
        <v>1</v>
      </c>
      <c r="P63" s="4">
        <f t="shared" si="373"/>
        <v>1</v>
      </c>
      <c r="Q63" s="4">
        <f t="shared" si="373"/>
        <v>1</v>
      </c>
      <c r="R63" s="4">
        <f t="shared" si="373"/>
        <v>1</v>
      </c>
      <c r="S63" s="4">
        <f t="shared" si="373"/>
        <v>0</v>
      </c>
      <c r="T63" s="4">
        <f t="shared" si="373"/>
        <v>0</v>
      </c>
      <c r="W63" s="1" t="str">
        <f t="shared" ref="W63:AA72" si="374">IF(W$1=$V63, "True", "False")</f>
        <v>False</v>
      </c>
      <c r="X63" s="1" t="str">
        <f t="shared" si="374"/>
        <v>False</v>
      </c>
      <c r="Y63" s="1" t="str">
        <f t="shared" si="374"/>
        <v>False</v>
      </c>
      <c r="Z63" s="1" t="str">
        <f t="shared" si="374"/>
        <v>False</v>
      </c>
      <c r="AA63" s="1" t="str">
        <f t="shared" si="374"/>
        <v>False</v>
      </c>
      <c r="AB63" s="1" t="s">
        <v>357</v>
      </c>
      <c r="AC63" s="4">
        <f t="shared" ref="AC63:AH63" si="375">IF(ISNUMBER(SEARCH(AC$1,$AB63)), 1, 0)</f>
        <v>1</v>
      </c>
      <c r="AD63" s="4">
        <f t="shared" si="375"/>
        <v>0</v>
      </c>
      <c r="AE63" s="4">
        <f t="shared" si="375"/>
        <v>0</v>
      </c>
      <c r="AF63" s="4">
        <f t="shared" si="375"/>
        <v>0</v>
      </c>
      <c r="AG63" s="4">
        <f t="shared" si="375"/>
        <v>0</v>
      </c>
      <c r="AH63" s="4">
        <f t="shared" si="375"/>
        <v>1</v>
      </c>
      <c r="AI63" s="1">
        <f t="shared" si="5"/>
        <v>2</v>
      </c>
      <c r="AK63" s="1" t="s">
        <v>317</v>
      </c>
      <c r="AL63" s="4">
        <f t="shared" ref="AL63:AS63" si="376">IF(ISNUMBER(SEARCH(AL$1,$AK63)), 1, 0)</f>
        <v>0</v>
      </c>
      <c r="AM63" s="4">
        <f t="shared" si="376"/>
        <v>1</v>
      </c>
      <c r="AN63" s="4">
        <f t="shared" si="376"/>
        <v>0</v>
      </c>
      <c r="AO63" s="4">
        <f t="shared" si="376"/>
        <v>1</v>
      </c>
      <c r="AP63" s="4">
        <f t="shared" si="376"/>
        <v>1</v>
      </c>
      <c r="AQ63" s="4">
        <f t="shared" si="376"/>
        <v>1</v>
      </c>
      <c r="AR63" s="4">
        <f t="shared" si="376"/>
        <v>0</v>
      </c>
      <c r="AS63" s="4">
        <f t="shared" si="376"/>
        <v>0</v>
      </c>
      <c r="AU63" s="1" t="s">
        <v>47</v>
      </c>
      <c r="AV63" s="1">
        <f t="shared" si="7"/>
        <v>1</v>
      </c>
      <c r="AW63" s="1">
        <f t="shared" si="8"/>
        <v>0</v>
      </c>
      <c r="AX63" s="1">
        <f t="shared" si="9"/>
        <v>0</v>
      </c>
      <c r="AY63" s="1" t="s">
        <v>48</v>
      </c>
      <c r="BA63" s="1" t="s">
        <v>509</v>
      </c>
      <c r="BB63" s="4">
        <f t="shared" ref="BB63:BJ63" si="377">IF(ISNUMBER(SEARCH(BB$1,$BA63)), 1, 0)</f>
        <v>0</v>
      </c>
      <c r="BC63" s="4">
        <f t="shared" si="377"/>
        <v>1</v>
      </c>
      <c r="BD63" s="4">
        <f t="shared" si="377"/>
        <v>1</v>
      </c>
      <c r="BE63" s="4">
        <f t="shared" si="377"/>
        <v>1</v>
      </c>
      <c r="BF63" s="4">
        <f t="shared" si="377"/>
        <v>1</v>
      </c>
      <c r="BG63" s="4">
        <f t="shared" si="377"/>
        <v>0</v>
      </c>
      <c r="BH63" s="4">
        <f t="shared" si="377"/>
        <v>0</v>
      </c>
      <c r="BI63" s="4">
        <f t="shared" si="377"/>
        <v>0</v>
      </c>
      <c r="BJ63" s="4">
        <f t="shared" si="377"/>
        <v>1</v>
      </c>
      <c r="BK63" s="4">
        <f t="shared" si="11"/>
        <v>5</v>
      </c>
      <c r="BM63" s="1" t="s">
        <v>232</v>
      </c>
      <c r="BN63" s="1" t="s">
        <v>510</v>
      </c>
      <c r="BO63" s="4">
        <f t="shared" ref="BO63:BU63" si="378">IF(ISNUMBER(SEARCH(BO$1,$BN63)), 1, 0)</f>
        <v>0</v>
      </c>
      <c r="BP63" s="4">
        <f t="shared" si="378"/>
        <v>1</v>
      </c>
      <c r="BQ63" s="4">
        <f t="shared" si="378"/>
        <v>0</v>
      </c>
      <c r="BR63" s="4">
        <f t="shared" si="378"/>
        <v>1</v>
      </c>
      <c r="BS63" s="4">
        <f t="shared" si="378"/>
        <v>0</v>
      </c>
      <c r="BT63" s="4">
        <f t="shared" si="378"/>
        <v>1</v>
      </c>
      <c r="BU63" s="4">
        <f t="shared" si="378"/>
        <v>1</v>
      </c>
      <c r="DC63" s="1" t="s">
        <v>238</v>
      </c>
    </row>
    <row r="64" spans="1:107" ht="15.75" customHeight="1" x14ac:dyDescent="0.25">
      <c r="A64" s="1" t="b">
        <v>1</v>
      </c>
      <c r="B64" s="3">
        <v>46164.650601851848</v>
      </c>
      <c r="C64" s="1" t="s">
        <v>511</v>
      </c>
      <c r="D64" s="1" t="s">
        <v>4</v>
      </c>
      <c r="E64" s="4">
        <f t="shared" ref="E64:K64" si="379">IF(ISNUMBER(SEARCH(E$1,$D64)), SEARCH(E$1,$D64), 0)</f>
        <v>1</v>
      </c>
      <c r="F64" s="4">
        <f t="shared" si="379"/>
        <v>0</v>
      </c>
      <c r="G64" s="4">
        <f t="shared" si="379"/>
        <v>0</v>
      </c>
      <c r="H64" s="4">
        <f t="shared" si="379"/>
        <v>0</v>
      </c>
      <c r="I64" s="4">
        <f t="shared" si="379"/>
        <v>0</v>
      </c>
      <c r="J64" s="4">
        <f t="shared" si="379"/>
        <v>0</v>
      </c>
      <c r="K64" s="4">
        <f t="shared" si="379"/>
        <v>0</v>
      </c>
      <c r="L64" s="4">
        <f t="shared" si="1"/>
        <v>1</v>
      </c>
      <c r="N64" s="1" t="s">
        <v>240</v>
      </c>
      <c r="O64" s="4">
        <f t="shared" ref="O64:T64" si="380">IF(ISNUMBER(SEARCH(O$1,$N64)), 1, 0)</f>
        <v>1</v>
      </c>
      <c r="P64" s="4">
        <f t="shared" si="380"/>
        <v>1</v>
      </c>
      <c r="Q64" s="4">
        <f t="shared" si="380"/>
        <v>1</v>
      </c>
      <c r="R64" s="4">
        <f t="shared" si="380"/>
        <v>1</v>
      </c>
      <c r="S64" s="4">
        <f t="shared" si="380"/>
        <v>0</v>
      </c>
      <c r="T64" s="4">
        <f t="shared" si="380"/>
        <v>0</v>
      </c>
      <c r="W64" s="1" t="str">
        <f t="shared" si="374"/>
        <v>False</v>
      </c>
      <c r="X64" s="1" t="str">
        <f t="shared" si="374"/>
        <v>False</v>
      </c>
      <c r="Y64" s="1" t="str">
        <f t="shared" si="374"/>
        <v>False</v>
      </c>
      <c r="Z64" s="1" t="str">
        <f t="shared" si="374"/>
        <v>False</v>
      </c>
      <c r="AA64" s="1" t="str">
        <f t="shared" si="374"/>
        <v>False</v>
      </c>
      <c r="AB64" s="1" t="s">
        <v>33</v>
      </c>
      <c r="AC64" s="4">
        <f t="shared" ref="AC64:AH64" si="381">IF(ISNUMBER(SEARCH(AC$1,$AB64)), 1, 0)</f>
        <v>0</v>
      </c>
      <c r="AD64" s="4">
        <f t="shared" si="381"/>
        <v>0</v>
      </c>
      <c r="AE64" s="4">
        <f t="shared" si="381"/>
        <v>0</v>
      </c>
      <c r="AF64" s="4">
        <f t="shared" si="381"/>
        <v>0</v>
      </c>
      <c r="AG64" s="4">
        <f t="shared" si="381"/>
        <v>0</v>
      </c>
      <c r="AH64" s="4">
        <f t="shared" si="381"/>
        <v>1</v>
      </c>
      <c r="AI64" s="1">
        <f t="shared" si="5"/>
        <v>1</v>
      </c>
      <c r="AK64" s="1" t="s">
        <v>410</v>
      </c>
      <c r="AL64" s="4">
        <f t="shared" ref="AL64:AS64" si="382">IF(ISNUMBER(SEARCH(AL$1,$AK64)), 1, 0)</f>
        <v>1</v>
      </c>
      <c r="AM64" s="4">
        <f t="shared" si="382"/>
        <v>0</v>
      </c>
      <c r="AN64" s="4">
        <f t="shared" si="382"/>
        <v>1</v>
      </c>
      <c r="AO64" s="4">
        <f t="shared" si="382"/>
        <v>1</v>
      </c>
      <c r="AP64" s="4">
        <f t="shared" si="382"/>
        <v>0</v>
      </c>
      <c r="AQ64" s="4">
        <f t="shared" si="382"/>
        <v>0</v>
      </c>
      <c r="AR64" s="4">
        <f t="shared" si="382"/>
        <v>0</v>
      </c>
      <c r="AS64" s="4">
        <f t="shared" si="382"/>
        <v>0</v>
      </c>
      <c r="AU64" s="1" t="s">
        <v>47</v>
      </c>
      <c r="AV64" s="1">
        <f t="shared" si="7"/>
        <v>1</v>
      </c>
      <c r="AW64" s="1">
        <f t="shared" si="8"/>
        <v>0</v>
      </c>
      <c r="AX64" s="1">
        <f t="shared" si="9"/>
        <v>0</v>
      </c>
      <c r="AY64" s="1" t="s">
        <v>48</v>
      </c>
      <c r="BA64" s="1" t="s">
        <v>231</v>
      </c>
      <c r="BB64" s="4">
        <f t="shared" ref="BB64:BJ64" si="383">IF(ISNUMBER(SEARCH(BB$1,$BA64)), 1, 0)</f>
        <v>1</v>
      </c>
      <c r="BC64" s="4">
        <f t="shared" si="383"/>
        <v>1</v>
      </c>
      <c r="BD64" s="4">
        <f t="shared" si="383"/>
        <v>1</v>
      </c>
      <c r="BE64" s="4">
        <f t="shared" si="383"/>
        <v>1</v>
      </c>
      <c r="BF64" s="4">
        <f t="shared" si="383"/>
        <v>1</v>
      </c>
      <c r="BG64" s="4">
        <f t="shared" si="383"/>
        <v>1</v>
      </c>
      <c r="BH64" s="4">
        <f t="shared" si="383"/>
        <v>0</v>
      </c>
      <c r="BI64" s="4">
        <f t="shared" si="383"/>
        <v>0</v>
      </c>
      <c r="BJ64" s="4">
        <f t="shared" si="383"/>
        <v>1</v>
      </c>
      <c r="BK64" s="4">
        <f t="shared" si="11"/>
        <v>7</v>
      </c>
      <c r="BM64" s="1" t="s">
        <v>166</v>
      </c>
      <c r="BN64" s="1" t="s">
        <v>72</v>
      </c>
      <c r="BO64" s="4">
        <f t="shared" ref="BO64:BU64" si="384">IF(ISNUMBER(SEARCH(BO$1,$BN64)), 1, 0)</f>
        <v>0</v>
      </c>
      <c r="BP64" s="4">
        <f t="shared" si="384"/>
        <v>0</v>
      </c>
      <c r="BQ64" s="4">
        <f t="shared" si="384"/>
        <v>0</v>
      </c>
      <c r="BR64" s="4">
        <f t="shared" si="384"/>
        <v>0</v>
      </c>
      <c r="BS64" s="4">
        <f t="shared" si="384"/>
        <v>0</v>
      </c>
      <c r="BT64" s="4">
        <f t="shared" si="384"/>
        <v>0</v>
      </c>
      <c r="BU64" s="4">
        <f t="shared" si="384"/>
        <v>1</v>
      </c>
      <c r="DC64" s="1" t="s">
        <v>180</v>
      </c>
    </row>
    <row r="65" spans="1:107" ht="15.75" customHeight="1" x14ac:dyDescent="0.25">
      <c r="A65" s="1" t="b">
        <v>1</v>
      </c>
      <c r="B65" s="3">
        <v>46164.667071759257</v>
      </c>
      <c r="C65" s="1" t="s">
        <v>512</v>
      </c>
      <c r="D65" s="1" t="s">
        <v>4</v>
      </c>
      <c r="E65" s="4">
        <f t="shared" ref="E65:K65" si="385">IF(ISNUMBER(SEARCH(E$1,$D65)), SEARCH(E$1,$D65), 0)</f>
        <v>1</v>
      </c>
      <c r="F65" s="4">
        <f t="shared" si="385"/>
        <v>0</v>
      </c>
      <c r="G65" s="4">
        <f t="shared" si="385"/>
        <v>0</v>
      </c>
      <c r="H65" s="4">
        <f t="shared" si="385"/>
        <v>0</v>
      </c>
      <c r="I65" s="4">
        <f t="shared" si="385"/>
        <v>0</v>
      </c>
      <c r="J65" s="4">
        <f t="shared" si="385"/>
        <v>0</v>
      </c>
      <c r="K65" s="4">
        <f t="shared" si="385"/>
        <v>0</v>
      </c>
      <c r="L65" s="4">
        <f t="shared" si="1"/>
        <v>1</v>
      </c>
      <c r="N65" s="1" t="s">
        <v>187</v>
      </c>
      <c r="O65" s="4">
        <f t="shared" ref="O65:T65" si="386">IF(ISNUMBER(SEARCH(O$1,$N65)), 1, 0)</f>
        <v>1</v>
      </c>
      <c r="P65" s="4">
        <f t="shared" si="386"/>
        <v>1</v>
      </c>
      <c r="Q65" s="4">
        <f t="shared" si="386"/>
        <v>1</v>
      </c>
      <c r="R65" s="4">
        <f t="shared" si="386"/>
        <v>1</v>
      </c>
      <c r="S65" s="4">
        <f t="shared" si="386"/>
        <v>1</v>
      </c>
      <c r="T65" s="4">
        <f t="shared" si="386"/>
        <v>1</v>
      </c>
      <c r="W65" s="1" t="str">
        <f t="shared" si="374"/>
        <v>False</v>
      </c>
      <c r="X65" s="1" t="str">
        <f t="shared" si="374"/>
        <v>False</v>
      </c>
      <c r="Y65" s="1" t="str">
        <f t="shared" si="374"/>
        <v>False</v>
      </c>
      <c r="Z65" s="1" t="str">
        <f t="shared" si="374"/>
        <v>False</v>
      </c>
      <c r="AA65" s="1" t="str">
        <f t="shared" si="374"/>
        <v>False</v>
      </c>
      <c r="AB65" s="1" t="s">
        <v>513</v>
      </c>
      <c r="AC65" s="4">
        <f t="shared" ref="AC65:AH65" si="387">IF(ISNUMBER(SEARCH(AC$1,$AB65)), 1, 0)</f>
        <v>1</v>
      </c>
      <c r="AD65" s="4">
        <f t="shared" si="387"/>
        <v>0</v>
      </c>
      <c r="AE65" s="4">
        <f t="shared" si="387"/>
        <v>0</v>
      </c>
      <c r="AF65" s="4">
        <f t="shared" si="387"/>
        <v>0</v>
      </c>
      <c r="AG65" s="4">
        <f t="shared" si="387"/>
        <v>1</v>
      </c>
      <c r="AH65" s="4">
        <f t="shared" si="387"/>
        <v>0</v>
      </c>
      <c r="AI65" s="1">
        <f t="shared" si="5"/>
        <v>2</v>
      </c>
      <c r="AJ65" s="1" t="s">
        <v>514</v>
      </c>
      <c r="AK65" s="1" t="s">
        <v>313</v>
      </c>
      <c r="AL65" s="4">
        <f t="shared" ref="AL65:AS65" si="388">IF(ISNUMBER(SEARCH(AL$1,$AK65)), 1, 0)</f>
        <v>1</v>
      </c>
      <c r="AM65" s="4">
        <f t="shared" si="388"/>
        <v>1</v>
      </c>
      <c r="AN65" s="4">
        <f t="shared" si="388"/>
        <v>0</v>
      </c>
      <c r="AO65" s="4">
        <f t="shared" si="388"/>
        <v>1</v>
      </c>
      <c r="AP65" s="4">
        <f t="shared" si="388"/>
        <v>1</v>
      </c>
      <c r="AQ65" s="4">
        <f t="shared" si="388"/>
        <v>1</v>
      </c>
      <c r="AR65" s="4">
        <f t="shared" si="388"/>
        <v>0</v>
      </c>
      <c r="AS65" s="4">
        <f t="shared" si="388"/>
        <v>0</v>
      </c>
      <c r="AU65" s="1" t="s">
        <v>48</v>
      </c>
      <c r="AV65" s="1">
        <f t="shared" si="7"/>
        <v>0</v>
      </c>
      <c r="AW65" s="1">
        <f t="shared" si="8"/>
        <v>1</v>
      </c>
      <c r="AX65" s="1">
        <f t="shared" si="9"/>
        <v>0</v>
      </c>
      <c r="AY65" s="1" t="s">
        <v>48</v>
      </c>
      <c r="BA65" s="1" t="s">
        <v>318</v>
      </c>
      <c r="BB65" s="4">
        <f t="shared" ref="BB65:BJ65" si="389">IF(ISNUMBER(SEARCH(BB$1,$BA65)), 1, 0)</f>
        <v>0</v>
      </c>
      <c r="BC65" s="4">
        <f t="shared" si="389"/>
        <v>0</v>
      </c>
      <c r="BD65" s="4">
        <f t="shared" si="389"/>
        <v>1</v>
      </c>
      <c r="BE65" s="4">
        <f t="shared" si="389"/>
        <v>1</v>
      </c>
      <c r="BF65" s="4">
        <f t="shared" si="389"/>
        <v>1</v>
      </c>
      <c r="BG65" s="4">
        <f t="shared" si="389"/>
        <v>1</v>
      </c>
      <c r="BH65" s="4">
        <f t="shared" si="389"/>
        <v>0</v>
      </c>
      <c r="BI65" s="4">
        <f t="shared" si="389"/>
        <v>0</v>
      </c>
      <c r="BJ65" s="4">
        <f t="shared" si="389"/>
        <v>1</v>
      </c>
      <c r="BK65" s="4">
        <f t="shared" si="11"/>
        <v>5</v>
      </c>
      <c r="BM65" s="1" t="s">
        <v>232</v>
      </c>
      <c r="BN65" s="1" t="s">
        <v>72</v>
      </c>
      <c r="BO65" s="4">
        <f t="shared" ref="BO65:BU65" si="390">IF(ISNUMBER(SEARCH(BO$1,$BN65)), 1, 0)</f>
        <v>0</v>
      </c>
      <c r="BP65" s="4">
        <f t="shared" si="390"/>
        <v>0</v>
      </c>
      <c r="BQ65" s="4">
        <f t="shared" si="390"/>
        <v>0</v>
      </c>
      <c r="BR65" s="4">
        <f t="shared" si="390"/>
        <v>0</v>
      </c>
      <c r="BS65" s="4">
        <f t="shared" si="390"/>
        <v>0</v>
      </c>
      <c r="BT65" s="4">
        <f t="shared" si="390"/>
        <v>0</v>
      </c>
      <c r="BU65" s="4">
        <f t="shared" si="390"/>
        <v>1</v>
      </c>
      <c r="BW65" s="1" t="s">
        <v>212</v>
      </c>
      <c r="BY65" s="1" t="s">
        <v>515</v>
      </c>
      <c r="BZ65" s="1" t="s">
        <v>516</v>
      </c>
      <c r="DC65" s="1" t="s">
        <v>238</v>
      </c>
    </row>
    <row r="66" spans="1:107" ht="15.75" customHeight="1" x14ac:dyDescent="0.25">
      <c r="A66" s="1" t="b">
        <v>1</v>
      </c>
      <c r="B66" s="3">
        <v>46164.688993055555</v>
      </c>
      <c r="C66" s="1" t="s">
        <v>517</v>
      </c>
      <c r="D66" s="1" t="s">
        <v>518</v>
      </c>
      <c r="E66" s="4">
        <f t="shared" ref="E66:K66" si="391">IF(ISNUMBER(SEARCH(E$1,$D66)), SEARCH(E$1,$D66), 0)</f>
        <v>1</v>
      </c>
      <c r="F66" s="4">
        <f t="shared" si="391"/>
        <v>30</v>
      </c>
      <c r="G66" s="4">
        <f t="shared" si="391"/>
        <v>0</v>
      </c>
      <c r="H66" s="4">
        <f t="shared" si="391"/>
        <v>105</v>
      </c>
      <c r="I66" s="4">
        <f t="shared" si="391"/>
        <v>143</v>
      </c>
      <c r="J66" s="4">
        <f t="shared" si="391"/>
        <v>0</v>
      </c>
      <c r="K66" s="4">
        <f t="shared" si="391"/>
        <v>0</v>
      </c>
      <c r="L66" s="4">
        <f t="shared" si="1"/>
        <v>143</v>
      </c>
      <c r="N66" s="1" t="s">
        <v>240</v>
      </c>
      <c r="O66" s="4">
        <f t="shared" ref="O66:T66" si="392">IF(ISNUMBER(SEARCH(O$1,$N66)), 1, 0)</f>
        <v>1</v>
      </c>
      <c r="P66" s="4">
        <f t="shared" si="392"/>
        <v>1</v>
      </c>
      <c r="Q66" s="4">
        <f t="shared" si="392"/>
        <v>1</v>
      </c>
      <c r="R66" s="4">
        <f t="shared" si="392"/>
        <v>1</v>
      </c>
      <c r="S66" s="4">
        <f t="shared" si="392"/>
        <v>0</v>
      </c>
      <c r="T66" s="4">
        <f t="shared" si="392"/>
        <v>0</v>
      </c>
      <c r="V66" s="1" t="s">
        <v>26</v>
      </c>
      <c r="W66" s="1" t="str">
        <f t="shared" si="374"/>
        <v>False</v>
      </c>
      <c r="X66" s="1" t="str">
        <f t="shared" si="374"/>
        <v>False</v>
      </c>
      <c r="Y66" s="1" t="str">
        <f t="shared" si="374"/>
        <v>False</v>
      </c>
      <c r="Z66" s="1" t="str">
        <f t="shared" si="374"/>
        <v>False</v>
      </c>
      <c r="AA66" s="1" t="str">
        <f t="shared" si="374"/>
        <v>True</v>
      </c>
      <c r="AB66" s="1" t="s">
        <v>519</v>
      </c>
      <c r="AC66" s="4">
        <f t="shared" ref="AC66:AH66" si="393">IF(ISNUMBER(SEARCH(AC$1,$AB66)), 1, 0)</f>
        <v>1</v>
      </c>
      <c r="AD66" s="4">
        <f t="shared" si="393"/>
        <v>0</v>
      </c>
      <c r="AE66" s="4">
        <f t="shared" si="393"/>
        <v>0</v>
      </c>
      <c r="AF66" s="4">
        <f t="shared" si="393"/>
        <v>0</v>
      </c>
      <c r="AG66" s="4">
        <f t="shared" si="393"/>
        <v>1</v>
      </c>
      <c r="AH66" s="4">
        <f t="shared" si="393"/>
        <v>0</v>
      </c>
      <c r="AI66" s="1">
        <f t="shared" si="5"/>
        <v>2</v>
      </c>
      <c r="AK66" s="1" t="s">
        <v>317</v>
      </c>
      <c r="AL66" s="4">
        <f t="shared" ref="AL66:AS66" si="394">IF(ISNUMBER(SEARCH(AL$1,$AK66)), 1, 0)</f>
        <v>0</v>
      </c>
      <c r="AM66" s="4">
        <f t="shared" si="394"/>
        <v>1</v>
      </c>
      <c r="AN66" s="4">
        <f t="shared" si="394"/>
        <v>0</v>
      </c>
      <c r="AO66" s="4">
        <f t="shared" si="394"/>
        <v>1</v>
      </c>
      <c r="AP66" s="4">
        <f t="shared" si="394"/>
        <v>1</v>
      </c>
      <c r="AQ66" s="4">
        <f t="shared" si="394"/>
        <v>1</v>
      </c>
      <c r="AR66" s="4">
        <f t="shared" si="394"/>
        <v>0</v>
      </c>
      <c r="AS66" s="4">
        <f t="shared" si="394"/>
        <v>0</v>
      </c>
      <c r="AU66" s="1" t="s">
        <v>48</v>
      </c>
      <c r="AV66" s="1">
        <f t="shared" si="7"/>
        <v>0</v>
      </c>
      <c r="AW66" s="1">
        <f t="shared" si="8"/>
        <v>1</v>
      </c>
      <c r="AX66" s="1">
        <f t="shared" si="9"/>
        <v>0</v>
      </c>
      <c r="AY66" s="1" t="s">
        <v>48</v>
      </c>
      <c r="BA66" s="1" t="s">
        <v>493</v>
      </c>
      <c r="BB66" s="4">
        <f t="shared" ref="BB66:BJ66" si="395">IF(ISNUMBER(SEARCH(BB$1,$BA66)), 1, 0)</f>
        <v>1</v>
      </c>
      <c r="BC66" s="4">
        <f t="shared" si="395"/>
        <v>1</v>
      </c>
      <c r="BD66" s="4">
        <f t="shared" si="395"/>
        <v>1</v>
      </c>
      <c r="BE66" s="4">
        <f t="shared" si="395"/>
        <v>0</v>
      </c>
      <c r="BF66" s="4">
        <f t="shared" si="395"/>
        <v>1</v>
      </c>
      <c r="BG66" s="4">
        <f t="shared" si="395"/>
        <v>0</v>
      </c>
      <c r="BH66" s="4">
        <f t="shared" si="395"/>
        <v>1</v>
      </c>
      <c r="BI66" s="4">
        <f t="shared" si="395"/>
        <v>0</v>
      </c>
      <c r="BJ66" s="4">
        <f t="shared" si="395"/>
        <v>1</v>
      </c>
      <c r="BK66" s="4">
        <f t="shared" si="11"/>
        <v>6</v>
      </c>
      <c r="BM66" s="1" t="s">
        <v>190</v>
      </c>
      <c r="BN66" s="1" t="s">
        <v>340</v>
      </c>
      <c r="BO66" s="4">
        <f t="shared" ref="BO66:BU66" si="396">IF(ISNUMBER(SEARCH(BO$1,$BN66)), 1, 0)</f>
        <v>1</v>
      </c>
      <c r="BP66" s="4">
        <f t="shared" si="396"/>
        <v>1</v>
      </c>
      <c r="BQ66" s="4">
        <f t="shared" si="396"/>
        <v>0</v>
      </c>
      <c r="BR66" s="4">
        <f t="shared" si="396"/>
        <v>0</v>
      </c>
      <c r="BS66" s="4">
        <f t="shared" si="396"/>
        <v>0</v>
      </c>
      <c r="BT66" s="4">
        <f t="shared" si="396"/>
        <v>0</v>
      </c>
      <c r="BU66" s="4">
        <f t="shared" si="396"/>
        <v>0</v>
      </c>
      <c r="BW66" s="1" t="s">
        <v>220</v>
      </c>
      <c r="CB66" s="1" t="s">
        <v>47</v>
      </c>
      <c r="CF66" s="1" t="s">
        <v>387</v>
      </c>
      <c r="CG66" s="1" t="s">
        <v>388</v>
      </c>
      <c r="CH66" s="1" t="s">
        <v>520</v>
      </c>
      <c r="CL66" s="1" t="s">
        <v>177</v>
      </c>
      <c r="CX66" s="1" t="s">
        <v>450</v>
      </c>
      <c r="CZ66" s="1" t="s">
        <v>250</v>
      </c>
      <c r="DB66" s="1" t="s">
        <v>521</v>
      </c>
      <c r="DC66" s="1" t="s">
        <v>238</v>
      </c>
    </row>
    <row r="67" spans="1:107" ht="15.75" customHeight="1" x14ac:dyDescent="0.25">
      <c r="A67" s="1" t="b">
        <v>1</v>
      </c>
      <c r="B67" s="3">
        <v>46164.703483796293</v>
      </c>
      <c r="C67" s="1" t="s">
        <v>522</v>
      </c>
      <c r="D67" s="1" t="s">
        <v>338</v>
      </c>
      <c r="E67" s="4">
        <f t="shared" ref="E67:K67" si="397">IF(ISNUMBER(SEARCH(E$1,$D67)), SEARCH(E$1,$D67), 0)</f>
        <v>1</v>
      </c>
      <c r="F67" s="4">
        <f t="shared" si="397"/>
        <v>0</v>
      </c>
      <c r="G67" s="4">
        <f t="shared" si="397"/>
        <v>0</v>
      </c>
      <c r="H67" s="4">
        <f t="shared" si="397"/>
        <v>0</v>
      </c>
      <c r="I67" s="4">
        <f t="shared" si="397"/>
        <v>30</v>
      </c>
      <c r="J67" s="4">
        <f t="shared" si="397"/>
        <v>0</v>
      </c>
      <c r="K67" s="4">
        <f t="shared" si="397"/>
        <v>0</v>
      </c>
      <c r="L67" s="4">
        <f t="shared" si="1"/>
        <v>30</v>
      </c>
      <c r="N67" s="1" t="s">
        <v>240</v>
      </c>
      <c r="O67" s="4">
        <f t="shared" ref="O67:T67" si="398">IF(ISNUMBER(SEARCH(O$1,$N67)), 1, 0)</f>
        <v>1</v>
      </c>
      <c r="P67" s="4">
        <f t="shared" si="398"/>
        <v>1</v>
      </c>
      <c r="Q67" s="4">
        <f t="shared" si="398"/>
        <v>1</v>
      </c>
      <c r="R67" s="4">
        <f t="shared" si="398"/>
        <v>1</v>
      </c>
      <c r="S67" s="4">
        <f t="shared" si="398"/>
        <v>0</v>
      </c>
      <c r="T67" s="4">
        <f t="shared" si="398"/>
        <v>0</v>
      </c>
      <c r="W67" s="1" t="str">
        <f t="shared" si="374"/>
        <v>False</v>
      </c>
      <c r="X67" s="1" t="str">
        <f t="shared" si="374"/>
        <v>False</v>
      </c>
      <c r="Y67" s="1" t="str">
        <f t="shared" si="374"/>
        <v>False</v>
      </c>
      <c r="Z67" s="1" t="str">
        <f t="shared" si="374"/>
        <v>False</v>
      </c>
      <c r="AA67" s="1" t="str">
        <f t="shared" si="374"/>
        <v>False</v>
      </c>
      <c r="AB67" s="1" t="s">
        <v>487</v>
      </c>
      <c r="AC67" s="4">
        <f t="shared" ref="AC67:AH67" si="399">IF(ISNUMBER(SEARCH(AC$1,$AB67)), 1, 0)</f>
        <v>0</v>
      </c>
      <c r="AD67" s="4">
        <f t="shared" si="399"/>
        <v>0</v>
      </c>
      <c r="AE67" s="4">
        <f t="shared" si="399"/>
        <v>0</v>
      </c>
      <c r="AF67" s="4">
        <f t="shared" si="399"/>
        <v>1</v>
      </c>
      <c r="AG67" s="4">
        <f t="shared" si="399"/>
        <v>0</v>
      </c>
      <c r="AH67" s="4">
        <f t="shared" si="399"/>
        <v>1</v>
      </c>
      <c r="AI67" s="1">
        <f t="shared" si="5"/>
        <v>2</v>
      </c>
      <c r="AK67" s="1" t="s">
        <v>313</v>
      </c>
      <c r="AL67" s="4">
        <f t="shared" ref="AL67:AS67" si="400">IF(ISNUMBER(SEARCH(AL$1,$AK67)), 1, 0)</f>
        <v>1</v>
      </c>
      <c r="AM67" s="4">
        <f t="shared" si="400"/>
        <v>1</v>
      </c>
      <c r="AN67" s="4">
        <f t="shared" si="400"/>
        <v>0</v>
      </c>
      <c r="AO67" s="4">
        <f t="shared" si="400"/>
        <v>1</v>
      </c>
      <c r="AP67" s="4">
        <f t="shared" si="400"/>
        <v>1</v>
      </c>
      <c r="AQ67" s="4">
        <f t="shared" si="400"/>
        <v>1</v>
      </c>
      <c r="AR67" s="4">
        <f t="shared" si="400"/>
        <v>0</v>
      </c>
      <c r="AS67" s="4">
        <f t="shared" si="400"/>
        <v>0</v>
      </c>
      <c r="AU67" s="1" t="s">
        <v>47</v>
      </c>
      <c r="AV67" s="1">
        <f t="shared" si="7"/>
        <v>1</v>
      </c>
      <c r="AW67" s="1">
        <f t="shared" si="8"/>
        <v>0</v>
      </c>
      <c r="AX67" s="1">
        <f t="shared" si="9"/>
        <v>0</v>
      </c>
      <c r="AY67" s="1" t="s">
        <v>48</v>
      </c>
      <c r="BA67" s="1" t="s">
        <v>523</v>
      </c>
      <c r="BB67" s="4">
        <f t="shared" ref="BB67:BJ67" si="401">IF(ISNUMBER(SEARCH(BB$1,$BA67)), 1, 0)</f>
        <v>0</v>
      </c>
      <c r="BC67" s="4">
        <f t="shared" si="401"/>
        <v>1</v>
      </c>
      <c r="BD67" s="4">
        <f t="shared" si="401"/>
        <v>0</v>
      </c>
      <c r="BE67" s="4">
        <f t="shared" si="401"/>
        <v>0</v>
      </c>
      <c r="BF67" s="4">
        <f t="shared" si="401"/>
        <v>0</v>
      </c>
      <c r="BG67" s="4">
        <f t="shared" si="401"/>
        <v>0</v>
      </c>
      <c r="BH67" s="4">
        <f t="shared" si="401"/>
        <v>0</v>
      </c>
      <c r="BI67" s="4">
        <f t="shared" si="401"/>
        <v>0</v>
      </c>
      <c r="BJ67" s="4">
        <f t="shared" si="401"/>
        <v>1</v>
      </c>
      <c r="BK67" s="4">
        <f t="shared" si="11"/>
        <v>2</v>
      </c>
      <c r="BL67" s="1" t="s">
        <v>524</v>
      </c>
      <c r="BM67" s="1" t="s">
        <v>232</v>
      </c>
      <c r="BN67" s="1" t="s">
        <v>340</v>
      </c>
      <c r="BO67" s="4">
        <f t="shared" ref="BO67:BU67" si="402">IF(ISNUMBER(SEARCH(BO$1,$BN67)), 1, 0)</f>
        <v>1</v>
      </c>
      <c r="BP67" s="4">
        <f t="shared" si="402"/>
        <v>1</v>
      </c>
      <c r="BQ67" s="4">
        <f t="shared" si="402"/>
        <v>0</v>
      </c>
      <c r="BR67" s="4">
        <f t="shared" si="402"/>
        <v>0</v>
      </c>
      <c r="BS67" s="4">
        <f t="shared" si="402"/>
        <v>0</v>
      </c>
      <c r="BT67" s="4">
        <f t="shared" si="402"/>
        <v>0</v>
      </c>
      <c r="BU67" s="4">
        <f t="shared" si="402"/>
        <v>0</v>
      </c>
      <c r="CH67" s="1" t="s">
        <v>525</v>
      </c>
      <c r="CI67" s="1" t="s">
        <v>526</v>
      </c>
      <c r="CJ67" s="1" t="s">
        <v>434</v>
      </c>
      <c r="CL67" s="1" t="s">
        <v>527</v>
      </c>
      <c r="DC67" s="1" t="s">
        <v>238</v>
      </c>
    </row>
    <row r="68" spans="1:107" ht="15.75" customHeight="1" x14ac:dyDescent="0.25">
      <c r="A68" s="1" t="b">
        <v>1</v>
      </c>
      <c r="B68" s="3">
        <v>46164.703969907408</v>
      </c>
      <c r="C68" s="1" t="s">
        <v>528</v>
      </c>
      <c r="D68" s="1" t="s">
        <v>192</v>
      </c>
      <c r="E68" s="4">
        <f t="shared" ref="E68:K68" si="403">IF(ISNUMBER(SEARCH(E$1,$D68)), SEARCH(E$1,$D68), 0)</f>
        <v>1</v>
      </c>
      <c r="F68" s="4">
        <f t="shared" si="403"/>
        <v>30</v>
      </c>
      <c r="G68" s="4">
        <f t="shared" si="403"/>
        <v>0</v>
      </c>
      <c r="H68" s="4">
        <f t="shared" si="403"/>
        <v>0</v>
      </c>
      <c r="I68" s="4">
        <f t="shared" si="403"/>
        <v>0</v>
      </c>
      <c r="J68" s="4">
        <f t="shared" si="403"/>
        <v>0</v>
      </c>
      <c r="K68" s="4">
        <f t="shared" si="403"/>
        <v>105</v>
      </c>
      <c r="L68" s="4">
        <f t="shared" si="1"/>
        <v>105</v>
      </c>
      <c r="N68" s="1" t="s">
        <v>187</v>
      </c>
      <c r="O68" s="4">
        <f t="shared" ref="O68:T68" si="404">IF(ISNUMBER(SEARCH(O$1,$N68)), 1, 0)</f>
        <v>1</v>
      </c>
      <c r="P68" s="4">
        <f t="shared" si="404"/>
        <v>1</v>
      </c>
      <c r="Q68" s="4">
        <f t="shared" si="404"/>
        <v>1</v>
      </c>
      <c r="R68" s="4">
        <f t="shared" si="404"/>
        <v>1</v>
      </c>
      <c r="S68" s="4">
        <f t="shared" si="404"/>
        <v>1</v>
      </c>
      <c r="T68" s="4">
        <f t="shared" si="404"/>
        <v>1</v>
      </c>
      <c r="V68" s="1" t="s">
        <v>26</v>
      </c>
      <c r="W68" s="1" t="str">
        <f t="shared" si="374"/>
        <v>False</v>
      </c>
      <c r="X68" s="1" t="str">
        <f t="shared" si="374"/>
        <v>False</v>
      </c>
      <c r="Y68" s="1" t="str">
        <f t="shared" si="374"/>
        <v>False</v>
      </c>
      <c r="Z68" s="1" t="str">
        <f t="shared" si="374"/>
        <v>False</v>
      </c>
      <c r="AA68" s="1" t="str">
        <f t="shared" si="374"/>
        <v>True</v>
      </c>
      <c r="AB68" s="1" t="s">
        <v>529</v>
      </c>
      <c r="AC68" s="4">
        <f t="shared" ref="AC68:AH68" si="405">IF(ISNUMBER(SEARCH(AC$1,$AB68)), 1, 0)</f>
        <v>1</v>
      </c>
      <c r="AD68" s="4">
        <f t="shared" si="405"/>
        <v>1</v>
      </c>
      <c r="AE68" s="4">
        <f t="shared" si="405"/>
        <v>0</v>
      </c>
      <c r="AF68" s="4">
        <f t="shared" si="405"/>
        <v>0</v>
      </c>
      <c r="AG68" s="4">
        <f t="shared" si="405"/>
        <v>1</v>
      </c>
      <c r="AH68" s="4">
        <f t="shared" si="405"/>
        <v>1</v>
      </c>
      <c r="AI68" s="1">
        <f t="shared" si="5"/>
        <v>4</v>
      </c>
      <c r="AK68" s="1" t="s">
        <v>492</v>
      </c>
      <c r="AL68" s="4">
        <f t="shared" ref="AL68:AS68" si="406">IF(ISNUMBER(SEARCH(AL$1,$AK68)), 1, 0)</f>
        <v>1</v>
      </c>
      <c r="AM68" s="4">
        <f t="shared" si="406"/>
        <v>1</v>
      </c>
      <c r="AN68" s="4">
        <f t="shared" si="406"/>
        <v>1</v>
      </c>
      <c r="AO68" s="4">
        <f t="shared" si="406"/>
        <v>1</v>
      </c>
      <c r="AP68" s="4">
        <f t="shared" si="406"/>
        <v>1</v>
      </c>
      <c r="AQ68" s="4">
        <f t="shared" si="406"/>
        <v>1</v>
      </c>
      <c r="AR68" s="4">
        <f t="shared" si="406"/>
        <v>1</v>
      </c>
      <c r="AS68" s="4">
        <f t="shared" si="406"/>
        <v>0</v>
      </c>
      <c r="AU68" s="1" t="s">
        <v>48</v>
      </c>
      <c r="AV68" s="1">
        <f t="shared" si="7"/>
        <v>0</v>
      </c>
      <c r="AW68" s="1">
        <f t="shared" si="8"/>
        <v>1</v>
      </c>
      <c r="AX68" s="1">
        <f t="shared" si="9"/>
        <v>0</v>
      </c>
      <c r="AY68" s="1" t="s">
        <v>48</v>
      </c>
      <c r="BA68" s="1" t="s">
        <v>530</v>
      </c>
      <c r="BB68" s="4">
        <f t="shared" ref="BB68:BJ68" si="407">IF(ISNUMBER(SEARCH(BB$1,$BA68)), 1, 0)</f>
        <v>1</v>
      </c>
      <c r="BC68" s="4">
        <f t="shared" si="407"/>
        <v>1</v>
      </c>
      <c r="BD68" s="4">
        <f t="shared" si="407"/>
        <v>1</v>
      </c>
      <c r="BE68" s="4">
        <f t="shared" si="407"/>
        <v>1</v>
      </c>
      <c r="BF68" s="4">
        <f t="shared" si="407"/>
        <v>1</v>
      </c>
      <c r="BG68" s="4">
        <f t="shared" si="407"/>
        <v>1</v>
      </c>
      <c r="BH68" s="4">
        <f t="shared" si="407"/>
        <v>0</v>
      </c>
      <c r="BI68" s="4">
        <f t="shared" si="407"/>
        <v>1</v>
      </c>
      <c r="BJ68" s="4">
        <f t="shared" si="407"/>
        <v>1</v>
      </c>
      <c r="BK68" s="4">
        <f t="shared" si="11"/>
        <v>8</v>
      </c>
      <c r="BM68" s="1" t="s">
        <v>232</v>
      </c>
      <c r="BN68" s="1" t="s">
        <v>531</v>
      </c>
      <c r="BO68" s="4">
        <f t="shared" ref="BO68:BU68" si="408">IF(ISNUMBER(SEARCH(BO$1,$BN68)), 1, 0)</f>
        <v>1</v>
      </c>
      <c r="BP68" s="4">
        <f t="shared" si="408"/>
        <v>0</v>
      </c>
      <c r="BQ68" s="4">
        <f t="shared" si="408"/>
        <v>0</v>
      </c>
      <c r="BR68" s="4">
        <f t="shared" si="408"/>
        <v>1</v>
      </c>
      <c r="BS68" s="4">
        <f t="shared" si="408"/>
        <v>1</v>
      </c>
      <c r="BT68" s="4">
        <f t="shared" si="408"/>
        <v>1</v>
      </c>
      <c r="BU68" s="4">
        <f t="shared" si="408"/>
        <v>0</v>
      </c>
      <c r="BW68" s="1" t="s">
        <v>532</v>
      </c>
      <c r="BZ68" s="1" t="s">
        <v>533</v>
      </c>
      <c r="CM68" s="1" t="s">
        <v>47</v>
      </c>
      <c r="CQ68" s="1" t="s">
        <v>48</v>
      </c>
      <c r="CX68" s="1" t="s">
        <v>534</v>
      </c>
      <c r="CZ68" s="1" t="s">
        <v>214</v>
      </c>
      <c r="DC68" s="1" t="s">
        <v>180</v>
      </c>
    </row>
    <row r="69" spans="1:107" ht="15.75" customHeight="1" x14ac:dyDescent="0.25">
      <c r="A69" s="1" t="b">
        <v>1</v>
      </c>
      <c r="B69" s="3">
        <v>46164.705891203703</v>
      </c>
      <c r="C69" s="1" t="s">
        <v>535</v>
      </c>
      <c r="D69" s="1" t="s">
        <v>4</v>
      </c>
      <c r="E69" s="4">
        <f t="shared" ref="E69:K69" si="409">IF(ISNUMBER(SEARCH(E$1,$D69)), SEARCH(E$1,$D69), 0)</f>
        <v>1</v>
      </c>
      <c r="F69" s="4">
        <f t="shared" si="409"/>
        <v>0</v>
      </c>
      <c r="G69" s="4">
        <f t="shared" si="409"/>
        <v>0</v>
      </c>
      <c r="H69" s="4">
        <f t="shared" si="409"/>
        <v>0</v>
      </c>
      <c r="I69" s="4">
        <f t="shared" si="409"/>
        <v>0</v>
      </c>
      <c r="J69" s="4">
        <f t="shared" si="409"/>
        <v>0</v>
      </c>
      <c r="K69" s="4">
        <f t="shared" si="409"/>
        <v>0</v>
      </c>
      <c r="L69" s="4">
        <f t="shared" si="1"/>
        <v>1</v>
      </c>
      <c r="N69" s="1" t="s">
        <v>14</v>
      </c>
      <c r="O69" s="4">
        <f t="shared" ref="O69:T69" si="410">IF(ISNUMBER(SEARCH(O$1,$N69)), 1, 0)</f>
        <v>1</v>
      </c>
      <c r="P69" s="4">
        <f t="shared" si="410"/>
        <v>0</v>
      </c>
      <c r="Q69" s="4">
        <f t="shared" si="410"/>
        <v>0</v>
      </c>
      <c r="R69" s="4">
        <f t="shared" si="410"/>
        <v>0</v>
      </c>
      <c r="S69" s="4">
        <f t="shared" si="410"/>
        <v>0</v>
      </c>
      <c r="T69" s="4">
        <f t="shared" si="410"/>
        <v>0</v>
      </c>
      <c r="W69" s="1" t="str">
        <f t="shared" si="374"/>
        <v>False</v>
      </c>
      <c r="X69" s="1" t="str">
        <f t="shared" si="374"/>
        <v>False</v>
      </c>
      <c r="Y69" s="1" t="str">
        <f t="shared" si="374"/>
        <v>False</v>
      </c>
      <c r="Z69" s="1" t="str">
        <f t="shared" si="374"/>
        <v>False</v>
      </c>
      <c r="AA69" s="1" t="str">
        <f t="shared" si="374"/>
        <v>False</v>
      </c>
      <c r="AB69" s="1" t="s">
        <v>33</v>
      </c>
      <c r="AC69" s="4">
        <f t="shared" ref="AC69:AH69" si="411">IF(ISNUMBER(SEARCH(AC$1,$AB69)), 1, 0)</f>
        <v>0</v>
      </c>
      <c r="AD69" s="4">
        <f t="shared" si="411"/>
        <v>0</v>
      </c>
      <c r="AE69" s="4">
        <f t="shared" si="411"/>
        <v>0</v>
      </c>
      <c r="AF69" s="4">
        <f t="shared" si="411"/>
        <v>0</v>
      </c>
      <c r="AG69" s="4">
        <f t="shared" si="411"/>
        <v>0</v>
      </c>
      <c r="AH69" s="4">
        <f t="shared" si="411"/>
        <v>1</v>
      </c>
      <c r="AI69" s="1">
        <f t="shared" si="5"/>
        <v>1</v>
      </c>
      <c r="AK69" s="1" t="s">
        <v>38</v>
      </c>
      <c r="AL69" s="4">
        <f t="shared" ref="AL69:AS69" si="412">IF(ISNUMBER(SEARCH(AL$1,$AK69)), 1, 0)</f>
        <v>0</v>
      </c>
      <c r="AM69" s="4">
        <f t="shared" si="412"/>
        <v>1</v>
      </c>
      <c r="AN69" s="4">
        <f t="shared" si="412"/>
        <v>0</v>
      </c>
      <c r="AO69" s="4">
        <f t="shared" si="412"/>
        <v>0</v>
      </c>
      <c r="AP69" s="4">
        <f t="shared" si="412"/>
        <v>0</v>
      </c>
      <c r="AQ69" s="4">
        <f t="shared" si="412"/>
        <v>0</v>
      </c>
      <c r="AR69" s="4">
        <f t="shared" si="412"/>
        <v>0</v>
      </c>
      <c r="AS69" s="4">
        <f t="shared" si="412"/>
        <v>0</v>
      </c>
      <c r="AU69" s="1" t="s">
        <v>47</v>
      </c>
      <c r="AV69" s="1">
        <f t="shared" si="7"/>
        <v>1</v>
      </c>
      <c r="AW69" s="1">
        <f t="shared" si="8"/>
        <v>0</v>
      </c>
      <c r="AX69" s="1">
        <f t="shared" si="9"/>
        <v>0</v>
      </c>
      <c r="AY69" s="1" t="s">
        <v>48</v>
      </c>
      <c r="BA69" s="1" t="s">
        <v>61</v>
      </c>
      <c r="BB69" s="4">
        <f t="shared" ref="BB69:BJ69" si="413">IF(ISNUMBER(SEARCH(BB$1,$BA69)), 1, 0)</f>
        <v>0</v>
      </c>
      <c r="BC69" s="4">
        <f t="shared" si="413"/>
        <v>0</v>
      </c>
      <c r="BD69" s="4">
        <f t="shared" si="413"/>
        <v>0</v>
      </c>
      <c r="BE69" s="4">
        <f t="shared" si="413"/>
        <v>0</v>
      </c>
      <c r="BF69" s="4">
        <f t="shared" si="413"/>
        <v>0</v>
      </c>
      <c r="BG69" s="4">
        <f t="shared" si="413"/>
        <v>0</v>
      </c>
      <c r="BH69" s="4">
        <f t="shared" si="413"/>
        <v>0</v>
      </c>
      <c r="BI69" s="4">
        <f t="shared" si="413"/>
        <v>0</v>
      </c>
      <c r="BJ69" s="4">
        <f t="shared" si="413"/>
        <v>1</v>
      </c>
      <c r="BK69" s="4">
        <f t="shared" si="11"/>
        <v>1</v>
      </c>
      <c r="BM69" s="1" t="s">
        <v>190</v>
      </c>
      <c r="BN69" s="1" t="s">
        <v>72</v>
      </c>
      <c r="BO69" s="4">
        <f t="shared" ref="BO69:BU69" si="414">IF(ISNUMBER(SEARCH(BO$1,$BN69)), 1, 0)</f>
        <v>0</v>
      </c>
      <c r="BP69" s="4">
        <f t="shared" si="414"/>
        <v>0</v>
      </c>
      <c r="BQ69" s="4">
        <f t="shared" si="414"/>
        <v>0</v>
      </c>
      <c r="BR69" s="4">
        <f t="shared" si="414"/>
        <v>0</v>
      </c>
      <c r="BS69" s="4">
        <f t="shared" si="414"/>
        <v>0</v>
      </c>
      <c r="BT69" s="4">
        <f t="shared" si="414"/>
        <v>0</v>
      </c>
      <c r="BU69" s="4">
        <f t="shared" si="414"/>
        <v>1</v>
      </c>
      <c r="DC69" s="1" t="s">
        <v>180</v>
      </c>
    </row>
    <row r="70" spans="1:107" ht="15.75" customHeight="1" x14ac:dyDescent="0.25">
      <c r="A70" s="1" t="b">
        <v>1</v>
      </c>
      <c r="B70" s="3">
        <v>46164.725023148145</v>
      </c>
      <c r="C70" s="1" t="s">
        <v>536</v>
      </c>
      <c r="D70" s="1" t="s">
        <v>207</v>
      </c>
      <c r="E70" s="4">
        <f t="shared" ref="E70:K70" si="415">IF(ISNUMBER(SEARCH(E$1,$D70)), SEARCH(E$1,$D70), 0)</f>
        <v>1</v>
      </c>
      <c r="F70" s="4">
        <f t="shared" si="415"/>
        <v>30</v>
      </c>
      <c r="G70" s="4">
        <f t="shared" si="415"/>
        <v>0</v>
      </c>
      <c r="H70" s="4">
        <f t="shared" si="415"/>
        <v>0</v>
      </c>
      <c r="I70" s="4">
        <f t="shared" si="415"/>
        <v>0</v>
      </c>
      <c r="J70" s="4">
        <f t="shared" si="415"/>
        <v>0</v>
      </c>
      <c r="K70" s="4">
        <f t="shared" si="415"/>
        <v>0</v>
      </c>
      <c r="L70" s="4">
        <f t="shared" si="1"/>
        <v>30</v>
      </c>
      <c r="N70" s="1" t="s">
        <v>306</v>
      </c>
      <c r="O70" s="4">
        <f t="shared" ref="O70:T70" si="416">IF(ISNUMBER(SEARCH(O$1,$N70)), 1, 0)</f>
        <v>1</v>
      </c>
      <c r="P70" s="4">
        <f t="shared" si="416"/>
        <v>1</v>
      </c>
      <c r="Q70" s="4">
        <f t="shared" si="416"/>
        <v>0</v>
      </c>
      <c r="R70" s="4">
        <f t="shared" si="416"/>
        <v>0</v>
      </c>
      <c r="S70" s="4">
        <f t="shared" si="416"/>
        <v>1</v>
      </c>
      <c r="T70" s="4">
        <f t="shared" si="416"/>
        <v>0</v>
      </c>
      <c r="V70" s="1" t="s">
        <v>26</v>
      </c>
      <c r="W70" s="1" t="str">
        <f t="shared" si="374"/>
        <v>False</v>
      </c>
      <c r="X70" s="1" t="str">
        <f t="shared" si="374"/>
        <v>False</v>
      </c>
      <c r="Y70" s="1" t="str">
        <f t="shared" si="374"/>
        <v>False</v>
      </c>
      <c r="Z70" s="1" t="str">
        <f t="shared" si="374"/>
        <v>False</v>
      </c>
      <c r="AA70" s="1" t="str">
        <f t="shared" si="374"/>
        <v>True</v>
      </c>
      <c r="AB70" s="1" t="s">
        <v>209</v>
      </c>
      <c r="AC70" s="4">
        <f t="shared" ref="AC70:AH70" si="417">IF(ISNUMBER(SEARCH(AC$1,$AB70)), 1, 0)</f>
        <v>1</v>
      </c>
      <c r="AD70" s="4">
        <f t="shared" si="417"/>
        <v>1</v>
      </c>
      <c r="AE70" s="4">
        <f t="shared" si="417"/>
        <v>0</v>
      </c>
      <c r="AF70" s="4">
        <f t="shared" si="417"/>
        <v>1</v>
      </c>
      <c r="AG70" s="4">
        <f t="shared" si="417"/>
        <v>1</v>
      </c>
      <c r="AH70" s="4">
        <f t="shared" si="417"/>
        <v>0</v>
      </c>
      <c r="AI70" s="1">
        <f t="shared" si="5"/>
        <v>4</v>
      </c>
      <c r="AK70" s="1" t="s">
        <v>470</v>
      </c>
      <c r="AL70" s="4">
        <f t="shared" ref="AL70:AS70" si="418">IF(ISNUMBER(SEARCH(AL$1,$AK70)), 1, 0)</f>
        <v>0</v>
      </c>
      <c r="AM70" s="4">
        <f t="shared" si="418"/>
        <v>1</v>
      </c>
      <c r="AN70" s="4">
        <f t="shared" si="418"/>
        <v>0</v>
      </c>
      <c r="AO70" s="4">
        <f t="shared" si="418"/>
        <v>1</v>
      </c>
      <c r="AP70" s="4">
        <f t="shared" si="418"/>
        <v>0</v>
      </c>
      <c r="AQ70" s="4">
        <f t="shared" si="418"/>
        <v>1</v>
      </c>
      <c r="AR70" s="4">
        <f t="shared" si="418"/>
        <v>0</v>
      </c>
      <c r="AS70" s="4">
        <f t="shared" si="418"/>
        <v>0</v>
      </c>
      <c r="AU70" s="1" t="s">
        <v>47</v>
      </c>
      <c r="AV70" s="1">
        <f t="shared" si="7"/>
        <v>1</v>
      </c>
      <c r="AW70" s="1">
        <f t="shared" si="8"/>
        <v>0</v>
      </c>
      <c r="AX70" s="1">
        <f t="shared" si="9"/>
        <v>0</v>
      </c>
      <c r="AY70" s="1" t="s">
        <v>48</v>
      </c>
      <c r="BA70" s="1" t="s">
        <v>537</v>
      </c>
      <c r="BB70" s="4">
        <f t="shared" ref="BB70:BJ70" si="419">IF(ISNUMBER(SEARCH(BB$1,$BA70)), 1, 0)</f>
        <v>1</v>
      </c>
      <c r="BC70" s="4">
        <f t="shared" si="419"/>
        <v>0</v>
      </c>
      <c r="BD70" s="4">
        <f t="shared" si="419"/>
        <v>1</v>
      </c>
      <c r="BE70" s="4">
        <f t="shared" si="419"/>
        <v>1</v>
      </c>
      <c r="BF70" s="4">
        <f t="shared" si="419"/>
        <v>1</v>
      </c>
      <c r="BG70" s="4">
        <f t="shared" si="419"/>
        <v>1</v>
      </c>
      <c r="BH70" s="4">
        <f t="shared" si="419"/>
        <v>0</v>
      </c>
      <c r="BI70" s="4">
        <f t="shared" si="419"/>
        <v>0</v>
      </c>
      <c r="BJ70" s="4">
        <f t="shared" si="419"/>
        <v>0</v>
      </c>
      <c r="BK70" s="4">
        <f t="shared" si="11"/>
        <v>5</v>
      </c>
      <c r="BM70" s="1" t="s">
        <v>166</v>
      </c>
      <c r="BN70" s="1" t="s">
        <v>538</v>
      </c>
      <c r="BO70" s="4">
        <f t="shared" ref="BO70:BU70" si="420">IF(ISNUMBER(SEARCH(BO$1,$BN70)), 1, 0)</f>
        <v>1</v>
      </c>
      <c r="BP70" s="4">
        <f t="shared" si="420"/>
        <v>0</v>
      </c>
      <c r="BQ70" s="4">
        <f t="shared" si="420"/>
        <v>1</v>
      </c>
      <c r="BR70" s="4">
        <f t="shared" si="420"/>
        <v>0</v>
      </c>
      <c r="BS70" s="4">
        <f t="shared" si="420"/>
        <v>0</v>
      </c>
      <c r="BT70" s="4">
        <f t="shared" si="420"/>
        <v>0</v>
      </c>
      <c r="BU70" s="4">
        <f t="shared" si="420"/>
        <v>0</v>
      </c>
      <c r="BV70" s="1" t="s">
        <v>539</v>
      </c>
      <c r="CX70" s="1" t="s">
        <v>540</v>
      </c>
      <c r="CZ70" s="1" t="s">
        <v>250</v>
      </c>
      <c r="DB70" s="1" t="s">
        <v>541</v>
      </c>
    </row>
    <row r="71" spans="1:107" ht="15.75" customHeight="1" x14ac:dyDescent="0.25">
      <c r="A71" s="1" t="b">
        <v>1</v>
      </c>
      <c r="B71" s="3">
        <v>46164.733113425929</v>
      </c>
      <c r="C71" s="1" t="s">
        <v>542</v>
      </c>
      <c r="D71" s="1" t="s">
        <v>4</v>
      </c>
      <c r="E71" s="4">
        <f t="shared" ref="E71:K71" si="421">IF(ISNUMBER(SEARCH(E$1,$D71)), SEARCH(E$1,$D71), 0)</f>
        <v>1</v>
      </c>
      <c r="F71" s="4">
        <f t="shared" si="421"/>
        <v>0</v>
      </c>
      <c r="G71" s="4">
        <f t="shared" si="421"/>
        <v>0</v>
      </c>
      <c r="H71" s="4">
        <f t="shared" si="421"/>
        <v>0</v>
      </c>
      <c r="I71" s="4">
        <f t="shared" si="421"/>
        <v>0</v>
      </c>
      <c r="J71" s="4">
        <f t="shared" si="421"/>
        <v>0</v>
      </c>
      <c r="K71" s="4">
        <f t="shared" si="421"/>
        <v>0</v>
      </c>
      <c r="L71" s="4">
        <f t="shared" si="1"/>
        <v>1</v>
      </c>
      <c r="N71" s="1" t="s">
        <v>469</v>
      </c>
      <c r="O71" s="4">
        <f t="shared" ref="O71:T71" si="422">IF(ISNUMBER(SEARCH(O$1,$N71)), 1, 0)</f>
        <v>1</v>
      </c>
      <c r="P71" s="4">
        <f t="shared" si="422"/>
        <v>0</v>
      </c>
      <c r="Q71" s="4">
        <f t="shared" si="422"/>
        <v>0</v>
      </c>
      <c r="R71" s="4">
        <f t="shared" si="422"/>
        <v>1</v>
      </c>
      <c r="S71" s="4">
        <f t="shared" si="422"/>
        <v>0</v>
      </c>
      <c r="T71" s="4">
        <f t="shared" si="422"/>
        <v>0</v>
      </c>
      <c r="V71" s="1" t="s">
        <v>24</v>
      </c>
      <c r="W71" s="1" t="str">
        <f t="shared" si="374"/>
        <v>False</v>
      </c>
      <c r="X71" s="1" t="str">
        <f t="shared" si="374"/>
        <v>False</v>
      </c>
      <c r="Y71" s="1" t="str">
        <f t="shared" si="374"/>
        <v>True</v>
      </c>
      <c r="Z71" s="1" t="str">
        <f t="shared" si="374"/>
        <v>False</v>
      </c>
      <c r="AA71" s="1" t="str">
        <f t="shared" si="374"/>
        <v>False</v>
      </c>
      <c r="AB71" s="1" t="s">
        <v>245</v>
      </c>
      <c r="AC71" s="4">
        <f t="shared" ref="AC71:AH71" si="423">IF(ISNUMBER(SEARCH(AC$1,$AB71)), 1, 0)</f>
        <v>1</v>
      </c>
      <c r="AD71" s="4">
        <f t="shared" si="423"/>
        <v>0</v>
      </c>
      <c r="AE71" s="4">
        <f t="shared" si="423"/>
        <v>0</v>
      </c>
      <c r="AF71" s="4">
        <f t="shared" si="423"/>
        <v>1</v>
      </c>
      <c r="AG71" s="4">
        <f t="shared" si="423"/>
        <v>0</v>
      </c>
      <c r="AH71" s="4">
        <f t="shared" si="423"/>
        <v>0</v>
      </c>
      <c r="AI71" s="1">
        <f t="shared" si="5"/>
        <v>2</v>
      </c>
      <c r="AK71" s="1" t="s">
        <v>42</v>
      </c>
      <c r="AL71" s="4">
        <f t="shared" ref="AL71:AS71" si="424">IF(ISNUMBER(SEARCH(AL$1,$AK71)), 1, 0)</f>
        <v>0</v>
      </c>
      <c r="AM71" s="4">
        <f t="shared" si="424"/>
        <v>0</v>
      </c>
      <c r="AN71" s="4">
        <f t="shared" si="424"/>
        <v>0</v>
      </c>
      <c r="AO71" s="4">
        <f t="shared" si="424"/>
        <v>0</v>
      </c>
      <c r="AP71" s="4">
        <f t="shared" si="424"/>
        <v>0</v>
      </c>
      <c r="AQ71" s="4">
        <f t="shared" si="424"/>
        <v>1</v>
      </c>
      <c r="AR71" s="4">
        <f t="shared" si="424"/>
        <v>0</v>
      </c>
      <c r="AS71" s="4">
        <f t="shared" si="424"/>
        <v>0</v>
      </c>
      <c r="AU71" s="1" t="s">
        <v>47</v>
      </c>
      <c r="AV71" s="1">
        <f t="shared" si="7"/>
        <v>1</v>
      </c>
      <c r="AW71" s="1">
        <f t="shared" si="8"/>
        <v>0</v>
      </c>
      <c r="AX71" s="1">
        <f t="shared" si="9"/>
        <v>0</v>
      </c>
      <c r="AY71" s="1" t="s">
        <v>48</v>
      </c>
      <c r="BA71" s="1" t="s">
        <v>225</v>
      </c>
      <c r="BB71" s="4">
        <f t="shared" ref="BB71:BJ71" si="425">IF(ISNUMBER(SEARCH(BB$1,$BA71)), 1, 0)</f>
        <v>0</v>
      </c>
      <c r="BC71" s="4">
        <f t="shared" si="425"/>
        <v>0</v>
      </c>
      <c r="BD71" s="4">
        <f t="shared" si="425"/>
        <v>0</v>
      </c>
      <c r="BE71" s="4">
        <f t="shared" si="425"/>
        <v>1</v>
      </c>
      <c r="BF71" s="4">
        <f t="shared" si="425"/>
        <v>0</v>
      </c>
      <c r="BG71" s="4">
        <f t="shared" si="425"/>
        <v>0</v>
      </c>
      <c r="BH71" s="4">
        <f t="shared" si="425"/>
        <v>0</v>
      </c>
      <c r="BI71" s="4">
        <f t="shared" si="425"/>
        <v>0</v>
      </c>
      <c r="BJ71" s="4">
        <f t="shared" si="425"/>
        <v>1</v>
      </c>
      <c r="BK71" s="4">
        <f t="shared" si="11"/>
        <v>2</v>
      </c>
      <c r="BM71" s="1" t="s">
        <v>190</v>
      </c>
      <c r="BN71" s="1" t="s">
        <v>372</v>
      </c>
      <c r="BO71" s="4">
        <f t="shared" ref="BO71:BU71" si="426">IF(ISNUMBER(SEARCH(BO$1,$BN71)), 1, 0)</f>
        <v>0</v>
      </c>
      <c r="BP71" s="4">
        <f t="shared" si="426"/>
        <v>0</v>
      </c>
      <c r="BQ71" s="4">
        <f t="shared" si="426"/>
        <v>0</v>
      </c>
      <c r="BR71" s="4">
        <f t="shared" si="426"/>
        <v>0</v>
      </c>
      <c r="BS71" s="4">
        <f t="shared" si="426"/>
        <v>0</v>
      </c>
      <c r="BT71" s="4">
        <f t="shared" si="426"/>
        <v>1</v>
      </c>
      <c r="BU71" s="4">
        <f t="shared" si="426"/>
        <v>1</v>
      </c>
      <c r="DC71" s="1" t="s">
        <v>180</v>
      </c>
    </row>
    <row r="72" spans="1:107" ht="15.75" customHeight="1" x14ac:dyDescent="0.25">
      <c r="A72" s="1" t="b">
        <v>1</v>
      </c>
      <c r="B72" s="3">
        <v>46164.742569444446</v>
      </c>
      <c r="C72" s="1" t="s">
        <v>543</v>
      </c>
      <c r="D72" s="1" t="s">
        <v>544</v>
      </c>
      <c r="E72" s="4">
        <f t="shared" ref="E72:K72" si="427">IF(ISNUMBER(SEARCH(E$1,$D72)), SEARCH(E$1,$D72), 0)</f>
        <v>1</v>
      </c>
      <c r="F72" s="4">
        <f t="shared" si="427"/>
        <v>30</v>
      </c>
      <c r="G72" s="4">
        <f t="shared" si="427"/>
        <v>0</v>
      </c>
      <c r="H72" s="4">
        <f t="shared" si="427"/>
        <v>0</v>
      </c>
      <c r="I72" s="4">
        <f t="shared" si="427"/>
        <v>105</v>
      </c>
      <c r="J72" s="4">
        <f t="shared" si="427"/>
        <v>0</v>
      </c>
      <c r="K72" s="4">
        <f t="shared" si="427"/>
        <v>137</v>
      </c>
      <c r="L72" s="4">
        <f t="shared" si="1"/>
        <v>137</v>
      </c>
      <c r="N72" s="1" t="s">
        <v>187</v>
      </c>
      <c r="O72" s="4">
        <f t="shared" ref="O72:T72" si="428">IF(ISNUMBER(SEARCH(O$1,$N72)), 1, 0)</f>
        <v>1</v>
      </c>
      <c r="P72" s="4">
        <f t="shared" si="428"/>
        <v>1</v>
      </c>
      <c r="Q72" s="4">
        <f t="shared" si="428"/>
        <v>1</v>
      </c>
      <c r="R72" s="4">
        <f t="shared" si="428"/>
        <v>1</v>
      </c>
      <c r="S72" s="4">
        <f t="shared" si="428"/>
        <v>1</v>
      </c>
      <c r="T72" s="4">
        <f t="shared" si="428"/>
        <v>1</v>
      </c>
      <c r="W72" s="1" t="str">
        <f t="shared" si="374"/>
        <v>False</v>
      </c>
      <c r="X72" s="1" t="str">
        <f t="shared" si="374"/>
        <v>False</v>
      </c>
      <c r="Y72" s="1" t="str">
        <f t="shared" si="374"/>
        <v>False</v>
      </c>
      <c r="Z72" s="1" t="str">
        <f t="shared" si="374"/>
        <v>False</v>
      </c>
      <c r="AA72" s="1" t="str">
        <f t="shared" si="374"/>
        <v>False</v>
      </c>
      <c r="AB72" s="1" t="s">
        <v>29</v>
      </c>
      <c r="AC72" s="4">
        <f t="shared" ref="AC72:AH72" si="429">IF(ISNUMBER(SEARCH(AC$1,$AB72)), 1, 0)</f>
        <v>0</v>
      </c>
      <c r="AD72" s="4">
        <f t="shared" si="429"/>
        <v>1</v>
      </c>
      <c r="AE72" s="4">
        <f t="shared" si="429"/>
        <v>0</v>
      </c>
      <c r="AF72" s="4">
        <f t="shared" si="429"/>
        <v>0</v>
      </c>
      <c r="AG72" s="4">
        <f t="shared" si="429"/>
        <v>0</v>
      </c>
      <c r="AH72" s="4">
        <f t="shared" si="429"/>
        <v>0</v>
      </c>
      <c r="AI72" s="1">
        <f t="shared" si="5"/>
        <v>1</v>
      </c>
      <c r="AK72" s="1" t="s">
        <v>506</v>
      </c>
      <c r="AL72" s="4">
        <f t="shared" ref="AL72:AS72" si="430">IF(ISNUMBER(SEARCH(AL$1,$AK72)), 1, 0)</f>
        <v>1</v>
      </c>
      <c r="AM72" s="4">
        <f t="shared" si="430"/>
        <v>1</v>
      </c>
      <c r="AN72" s="4">
        <f t="shared" si="430"/>
        <v>0</v>
      </c>
      <c r="AO72" s="4">
        <f t="shared" si="430"/>
        <v>0</v>
      </c>
      <c r="AP72" s="4">
        <f t="shared" si="430"/>
        <v>0</v>
      </c>
      <c r="AQ72" s="4">
        <f t="shared" si="430"/>
        <v>0</v>
      </c>
      <c r="AR72" s="4">
        <f t="shared" si="430"/>
        <v>0</v>
      </c>
      <c r="AS72" s="4">
        <f t="shared" si="430"/>
        <v>0</v>
      </c>
      <c r="AU72" s="1" t="s">
        <v>48</v>
      </c>
      <c r="AV72" s="1">
        <f t="shared" si="7"/>
        <v>0</v>
      </c>
      <c r="AW72" s="1">
        <f t="shared" si="8"/>
        <v>1</v>
      </c>
      <c r="AX72" s="1">
        <f t="shared" si="9"/>
        <v>0</v>
      </c>
      <c r="AY72" s="1" t="s">
        <v>48</v>
      </c>
      <c r="BA72" s="1" t="s">
        <v>545</v>
      </c>
      <c r="BB72" s="4">
        <f t="shared" ref="BB72:BJ72" si="431">IF(ISNUMBER(SEARCH(BB$1,$BA72)), 1, 0)</f>
        <v>1</v>
      </c>
      <c r="BC72" s="4">
        <f t="shared" si="431"/>
        <v>0</v>
      </c>
      <c r="BD72" s="4">
        <f t="shared" si="431"/>
        <v>1</v>
      </c>
      <c r="BE72" s="4">
        <f t="shared" si="431"/>
        <v>0</v>
      </c>
      <c r="BF72" s="4">
        <f t="shared" si="431"/>
        <v>1</v>
      </c>
      <c r="BG72" s="4">
        <f t="shared" si="431"/>
        <v>0</v>
      </c>
      <c r="BH72" s="4">
        <f t="shared" si="431"/>
        <v>0</v>
      </c>
      <c r="BI72" s="4">
        <f t="shared" si="431"/>
        <v>0</v>
      </c>
      <c r="BJ72" s="4">
        <f t="shared" si="431"/>
        <v>1</v>
      </c>
      <c r="BK72" s="4">
        <f t="shared" si="11"/>
        <v>4</v>
      </c>
      <c r="BM72" s="1" t="s">
        <v>232</v>
      </c>
      <c r="BN72" s="1" t="s">
        <v>546</v>
      </c>
      <c r="BO72" s="4">
        <f t="shared" ref="BO72:BU72" si="432">IF(ISNUMBER(SEARCH(BO$1,$BN72)), 1, 0)</f>
        <v>0</v>
      </c>
      <c r="BP72" s="4">
        <f t="shared" si="432"/>
        <v>0</v>
      </c>
      <c r="BQ72" s="4">
        <f t="shared" si="432"/>
        <v>0</v>
      </c>
      <c r="BR72" s="4">
        <f t="shared" si="432"/>
        <v>0</v>
      </c>
      <c r="BS72" s="4">
        <f t="shared" si="432"/>
        <v>1</v>
      </c>
      <c r="BT72" s="4">
        <f t="shared" si="432"/>
        <v>0</v>
      </c>
      <c r="BU72" s="4">
        <f t="shared" si="432"/>
        <v>1</v>
      </c>
      <c r="BW72" s="1" t="s">
        <v>547</v>
      </c>
      <c r="BZ72" s="1" t="s">
        <v>548</v>
      </c>
      <c r="CH72" s="1" t="s">
        <v>520</v>
      </c>
      <c r="CJ72" s="1" t="s">
        <v>549</v>
      </c>
      <c r="CL72" s="1" t="s">
        <v>177</v>
      </c>
      <c r="CM72" s="1" t="s">
        <v>49</v>
      </c>
      <c r="CX72" s="1" t="s">
        <v>550</v>
      </c>
      <c r="CZ72" s="1" t="s">
        <v>178</v>
      </c>
      <c r="DC72" s="1" t="s">
        <v>180</v>
      </c>
    </row>
    <row r="73" spans="1:107" ht="15.75" customHeight="1" x14ac:dyDescent="0.25">
      <c r="A73" s="1" t="b">
        <v>1</v>
      </c>
      <c r="B73" s="3">
        <v>46164.790023148147</v>
      </c>
      <c r="C73" s="1" t="s">
        <v>551</v>
      </c>
      <c r="D73" s="1" t="s">
        <v>207</v>
      </c>
      <c r="E73" s="4">
        <f t="shared" ref="E73:K73" si="433">IF(ISNUMBER(SEARCH(E$1,$D73)), SEARCH(E$1,$D73), 0)</f>
        <v>1</v>
      </c>
      <c r="F73" s="4">
        <f t="shared" si="433"/>
        <v>30</v>
      </c>
      <c r="G73" s="4">
        <f t="shared" si="433"/>
        <v>0</v>
      </c>
      <c r="H73" s="4">
        <f t="shared" si="433"/>
        <v>0</v>
      </c>
      <c r="I73" s="4">
        <f t="shared" si="433"/>
        <v>0</v>
      </c>
      <c r="J73" s="4">
        <f t="shared" si="433"/>
        <v>0</v>
      </c>
      <c r="K73" s="4">
        <f t="shared" si="433"/>
        <v>0</v>
      </c>
      <c r="L73" s="4">
        <f t="shared" si="1"/>
        <v>30</v>
      </c>
      <c r="N73" s="1" t="s">
        <v>272</v>
      </c>
      <c r="O73" s="4">
        <f t="shared" ref="O73:T73" si="434">IF(ISNUMBER(SEARCH(O$1,$N73)), 1, 0)</f>
        <v>1</v>
      </c>
      <c r="P73" s="4">
        <f t="shared" si="434"/>
        <v>1</v>
      </c>
      <c r="Q73" s="4">
        <f t="shared" si="434"/>
        <v>1</v>
      </c>
      <c r="R73" s="4">
        <f t="shared" si="434"/>
        <v>1</v>
      </c>
      <c r="S73" s="4">
        <f t="shared" si="434"/>
        <v>1</v>
      </c>
      <c r="T73" s="4">
        <f t="shared" si="434"/>
        <v>0</v>
      </c>
      <c r="W73" s="1" t="str">
        <f t="shared" ref="W73:AA82" si="435">IF(W$1=$V73, "True", "False")</f>
        <v>False</v>
      </c>
      <c r="X73" s="1" t="str">
        <f t="shared" si="435"/>
        <v>False</v>
      </c>
      <c r="Y73" s="1" t="str">
        <f t="shared" si="435"/>
        <v>False</v>
      </c>
      <c r="Z73" s="1" t="str">
        <f t="shared" si="435"/>
        <v>False</v>
      </c>
      <c r="AA73" s="1" t="str">
        <f t="shared" si="435"/>
        <v>False</v>
      </c>
      <c r="AB73" s="1" t="s">
        <v>552</v>
      </c>
      <c r="AC73" s="4">
        <f t="shared" ref="AC73:AH73" si="436">IF(ISNUMBER(SEARCH(AC$1,$AB73)), 1, 0)</f>
        <v>1</v>
      </c>
      <c r="AD73" s="4">
        <f t="shared" si="436"/>
        <v>1</v>
      </c>
      <c r="AE73" s="4">
        <f t="shared" si="436"/>
        <v>1</v>
      </c>
      <c r="AF73" s="4">
        <f t="shared" si="436"/>
        <v>0</v>
      </c>
      <c r="AG73" s="4">
        <f t="shared" si="436"/>
        <v>0</v>
      </c>
      <c r="AH73" s="4">
        <f t="shared" si="436"/>
        <v>1</v>
      </c>
      <c r="AI73" s="1">
        <f t="shared" si="5"/>
        <v>4</v>
      </c>
      <c r="AK73" s="1" t="s">
        <v>553</v>
      </c>
      <c r="AL73" s="4">
        <f t="shared" ref="AL73:AS73" si="437">IF(ISNUMBER(SEARCH(AL$1,$AK73)), 1, 0)</f>
        <v>1</v>
      </c>
      <c r="AM73" s="4">
        <f t="shared" si="437"/>
        <v>1</v>
      </c>
      <c r="AN73" s="4">
        <f t="shared" si="437"/>
        <v>1</v>
      </c>
      <c r="AO73" s="4">
        <f t="shared" si="437"/>
        <v>1</v>
      </c>
      <c r="AP73" s="4">
        <f t="shared" si="437"/>
        <v>0</v>
      </c>
      <c r="AQ73" s="4">
        <f t="shared" si="437"/>
        <v>1</v>
      </c>
      <c r="AR73" s="4">
        <f t="shared" si="437"/>
        <v>1</v>
      </c>
      <c r="AS73" s="4">
        <f t="shared" si="437"/>
        <v>0</v>
      </c>
      <c r="AU73" s="1" t="s">
        <v>47</v>
      </c>
      <c r="AV73" s="1">
        <f t="shared" si="7"/>
        <v>1</v>
      </c>
      <c r="AW73" s="1">
        <f t="shared" si="8"/>
        <v>0</v>
      </c>
      <c r="AX73" s="1">
        <f t="shared" si="9"/>
        <v>0</v>
      </c>
      <c r="AY73" s="1" t="s">
        <v>48</v>
      </c>
      <c r="BA73" s="1" t="s">
        <v>554</v>
      </c>
      <c r="BB73" s="4">
        <f t="shared" ref="BB73:BJ73" si="438">IF(ISNUMBER(SEARCH(BB$1,$BA73)), 1, 0)</f>
        <v>0</v>
      </c>
      <c r="BC73" s="4">
        <f t="shared" si="438"/>
        <v>1</v>
      </c>
      <c r="BD73" s="4">
        <f t="shared" si="438"/>
        <v>1</v>
      </c>
      <c r="BE73" s="4">
        <f t="shared" si="438"/>
        <v>1</v>
      </c>
      <c r="BF73" s="4">
        <f t="shared" si="438"/>
        <v>1</v>
      </c>
      <c r="BG73" s="4">
        <f t="shared" si="438"/>
        <v>1</v>
      </c>
      <c r="BH73" s="4">
        <f t="shared" si="438"/>
        <v>0</v>
      </c>
      <c r="BI73" s="4">
        <f t="shared" si="438"/>
        <v>0</v>
      </c>
      <c r="BJ73" s="4">
        <f t="shared" si="438"/>
        <v>0</v>
      </c>
      <c r="BK73" s="4">
        <f t="shared" si="11"/>
        <v>5</v>
      </c>
      <c r="BM73" s="1" t="s">
        <v>190</v>
      </c>
      <c r="BN73" s="1" t="s">
        <v>72</v>
      </c>
      <c r="BO73" s="4">
        <f t="shared" ref="BO73:BU73" si="439">IF(ISNUMBER(SEARCH(BO$1,$BN73)), 1, 0)</f>
        <v>0</v>
      </c>
      <c r="BP73" s="4">
        <f t="shared" si="439"/>
        <v>0</v>
      </c>
      <c r="BQ73" s="4">
        <f t="shared" si="439"/>
        <v>0</v>
      </c>
      <c r="BR73" s="4">
        <f t="shared" si="439"/>
        <v>0</v>
      </c>
      <c r="BS73" s="4">
        <f t="shared" si="439"/>
        <v>0</v>
      </c>
      <c r="BT73" s="4">
        <f t="shared" si="439"/>
        <v>0</v>
      </c>
      <c r="BU73" s="4">
        <f t="shared" si="439"/>
        <v>1</v>
      </c>
      <c r="CX73" s="1" t="s">
        <v>555</v>
      </c>
      <c r="CZ73" s="1" t="s">
        <v>178</v>
      </c>
      <c r="DC73" s="1" t="s">
        <v>238</v>
      </c>
    </row>
    <row r="74" spans="1:107" ht="15.75" customHeight="1" x14ac:dyDescent="0.25">
      <c r="A74" s="1" t="b">
        <v>1</v>
      </c>
      <c r="B74" s="3">
        <v>46164.808206018519</v>
      </c>
      <c r="C74" s="1" t="s">
        <v>556</v>
      </c>
      <c r="D74" s="1" t="s">
        <v>4</v>
      </c>
      <c r="E74" s="4">
        <f t="shared" ref="E74:K74" si="440">IF(ISNUMBER(SEARCH(E$1,$D74)), SEARCH(E$1,$D74), 0)</f>
        <v>1</v>
      </c>
      <c r="F74" s="4">
        <f t="shared" si="440"/>
        <v>0</v>
      </c>
      <c r="G74" s="4">
        <f t="shared" si="440"/>
        <v>0</v>
      </c>
      <c r="H74" s="4">
        <f t="shared" si="440"/>
        <v>0</v>
      </c>
      <c r="I74" s="4">
        <f t="shared" si="440"/>
        <v>0</v>
      </c>
      <c r="J74" s="4">
        <f t="shared" si="440"/>
        <v>0</v>
      </c>
      <c r="K74" s="4">
        <f t="shared" si="440"/>
        <v>0</v>
      </c>
      <c r="L74" s="4">
        <f t="shared" si="1"/>
        <v>1</v>
      </c>
      <c r="N74" s="1" t="s">
        <v>294</v>
      </c>
      <c r="O74" s="4">
        <f t="shared" ref="O74:T74" si="441">IF(ISNUMBER(SEARCH(O$1,$N74)), 1, 0)</f>
        <v>1</v>
      </c>
      <c r="P74" s="4">
        <f t="shared" si="441"/>
        <v>1</v>
      </c>
      <c r="Q74" s="4">
        <f t="shared" si="441"/>
        <v>0</v>
      </c>
      <c r="R74" s="4">
        <f t="shared" si="441"/>
        <v>0</v>
      </c>
      <c r="S74" s="4">
        <f t="shared" si="441"/>
        <v>0</v>
      </c>
      <c r="T74" s="4">
        <f t="shared" si="441"/>
        <v>0</v>
      </c>
      <c r="V74" s="1" t="s">
        <v>24</v>
      </c>
      <c r="W74" s="1" t="str">
        <f t="shared" si="435"/>
        <v>False</v>
      </c>
      <c r="X74" s="1" t="str">
        <f t="shared" si="435"/>
        <v>False</v>
      </c>
      <c r="Y74" s="1" t="str">
        <f t="shared" si="435"/>
        <v>True</v>
      </c>
      <c r="Z74" s="1" t="str">
        <f t="shared" si="435"/>
        <v>False</v>
      </c>
      <c r="AA74" s="1" t="str">
        <f t="shared" si="435"/>
        <v>False</v>
      </c>
      <c r="AB74" s="1" t="s">
        <v>245</v>
      </c>
      <c r="AC74" s="4">
        <f t="shared" ref="AC74:AH74" si="442">IF(ISNUMBER(SEARCH(AC$1,$AB74)), 1, 0)</f>
        <v>1</v>
      </c>
      <c r="AD74" s="4">
        <f t="shared" si="442"/>
        <v>0</v>
      </c>
      <c r="AE74" s="4">
        <f t="shared" si="442"/>
        <v>0</v>
      </c>
      <c r="AF74" s="4">
        <f t="shared" si="442"/>
        <v>1</v>
      </c>
      <c r="AG74" s="4">
        <f t="shared" si="442"/>
        <v>0</v>
      </c>
      <c r="AH74" s="4">
        <f t="shared" si="442"/>
        <v>0</v>
      </c>
      <c r="AI74" s="1">
        <f t="shared" si="5"/>
        <v>2</v>
      </c>
      <c r="AK74" s="1" t="s">
        <v>470</v>
      </c>
      <c r="AL74" s="4">
        <f t="shared" ref="AL74:AS74" si="443">IF(ISNUMBER(SEARCH(AL$1,$AK74)), 1, 0)</f>
        <v>0</v>
      </c>
      <c r="AM74" s="4">
        <f t="shared" si="443"/>
        <v>1</v>
      </c>
      <c r="AN74" s="4">
        <f t="shared" si="443"/>
        <v>0</v>
      </c>
      <c r="AO74" s="4">
        <f t="shared" si="443"/>
        <v>1</v>
      </c>
      <c r="AP74" s="4">
        <f t="shared" si="443"/>
        <v>0</v>
      </c>
      <c r="AQ74" s="4">
        <f t="shared" si="443"/>
        <v>1</v>
      </c>
      <c r="AR74" s="4">
        <f t="shared" si="443"/>
        <v>0</v>
      </c>
      <c r="AS74" s="4">
        <f t="shared" si="443"/>
        <v>0</v>
      </c>
      <c r="AU74" s="1" t="s">
        <v>48</v>
      </c>
      <c r="AV74" s="1">
        <f t="shared" si="7"/>
        <v>0</v>
      </c>
      <c r="AW74" s="1">
        <f t="shared" si="8"/>
        <v>1</v>
      </c>
      <c r="AX74" s="1">
        <f t="shared" si="9"/>
        <v>0</v>
      </c>
      <c r="AY74" s="1" t="s">
        <v>48</v>
      </c>
      <c r="BA74" s="1" t="s">
        <v>454</v>
      </c>
      <c r="BB74" s="4">
        <f t="shared" ref="BB74:BJ74" si="444">IF(ISNUMBER(SEARCH(BB$1,$BA74)), 1, 0)</f>
        <v>0</v>
      </c>
      <c r="BC74" s="4">
        <f t="shared" si="444"/>
        <v>0</v>
      </c>
      <c r="BD74" s="4">
        <f t="shared" si="444"/>
        <v>1</v>
      </c>
      <c r="BE74" s="4">
        <f t="shared" si="444"/>
        <v>0</v>
      </c>
      <c r="BF74" s="4">
        <f t="shared" si="444"/>
        <v>1</v>
      </c>
      <c r="BG74" s="4">
        <f t="shared" si="444"/>
        <v>0</v>
      </c>
      <c r="BH74" s="4">
        <f t="shared" si="444"/>
        <v>0</v>
      </c>
      <c r="BI74" s="4">
        <f t="shared" si="444"/>
        <v>0</v>
      </c>
      <c r="BJ74" s="4">
        <f t="shared" si="444"/>
        <v>1</v>
      </c>
      <c r="BK74" s="4">
        <f t="shared" si="11"/>
        <v>3</v>
      </c>
      <c r="BM74" s="1" t="s">
        <v>232</v>
      </c>
      <c r="BN74" s="1" t="s">
        <v>557</v>
      </c>
      <c r="BO74" s="4">
        <f t="shared" ref="BO74:BU74" si="445">IF(ISNUMBER(SEARCH(BO$1,$BN74)), 1, 0)</f>
        <v>0</v>
      </c>
      <c r="BP74" s="4">
        <f t="shared" si="445"/>
        <v>0</v>
      </c>
      <c r="BQ74" s="4">
        <f t="shared" si="445"/>
        <v>0</v>
      </c>
      <c r="BR74" s="4">
        <f t="shared" si="445"/>
        <v>1</v>
      </c>
      <c r="BS74" s="4">
        <f t="shared" si="445"/>
        <v>1</v>
      </c>
      <c r="BT74" s="4">
        <f t="shared" si="445"/>
        <v>0</v>
      </c>
      <c r="BU74" s="4">
        <f t="shared" si="445"/>
        <v>0</v>
      </c>
      <c r="BW74" s="1" t="s">
        <v>547</v>
      </c>
      <c r="BY74" s="1" t="s">
        <v>558</v>
      </c>
      <c r="BZ74" s="1" t="s">
        <v>516</v>
      </c>
      <c r="DC74" s="1" t="s">
        <v>180</v>
      </c>
    </row>
    <row r="75" spans="1:107" ht="15.75" customHeight="1" x14ac:dyDescent="0.25">
      <c r="A75" s="1" t="b">
        <v>1</v>
      </c>
      <c r="B75" s="3">
        <v>46164.850706018522</v>
      </c>
      <c r="C75" s="1" t="s">
        <v>559</v>
      </c>
      <c r="D75" s="1" t="s">
        <v>207</v>
      </c>
      <c r="E75" s="4">
        <f t="shared" ref="E75:K75" si="446">IF(ISNUMBER(SEARCH(E$1,$D75)), SEARCH(E$1,$D75), 0)</f>
        <v>1</v>
      </c>
      <c r="F75" s="4">
        <f t="shared" si="446"/>
        <v>30</v>
      </c>
      <c r="G75" s="4">
        <f t="shared" si="446"/>
        <v>0</v>
      </c>
      <c r="H75" s="4">
        <f t="shared" si="446"/>
        <v>0</v>
      </c>
      <c r="I75" s="4">
        <f t="shared" si="446"/>
        <v>0</v>
      </c>
      <c r="J75" s="4">
        <f t="shared" si="446"/>
        <v>0</v>
      </c>
      <c r="K75" s="4">
        <f t="shared" si="446"/>
        <v>0</v>
      </c>
      <c r="L75" s="4">
        <f t="shared" si="1"/>
        <v>30</v>
      </c>
      <c r="N75" s="1" t="s">
        <v>385</v>
      </c>
      <c r="O75" s="4">
        <f t="shared" ref="O75:T75" si="447">IF(ISNUMBER(SEARCH(O$1,$N75)), 1, 0)</f>
        <v>1</v>
      </c>
      <c r="P75" s="4">
        <f t="shared" si="447"/>
        <v>1</v>
      </c>
      <c r="Q75" s="4">
        <f t="shared" si="447"/>
        <v>0</v>
      </c>
      <c r="R75" s="4">
        <f t="shared" si="447"/>
        <v>1</v>
      </c>
      <c r="S75" s="4">
        <f t="shared" si="447"/>
        <v>1</v>
      </c>
      <c r="T75" s="4">
        <f t="shared" si="447"/>
        <v>0</v>
      </c>
      <c r="V75" s="1" t="s">
        <v>25</v>
      </c>
      <c r="W75" s="1" t="str">
        <f t="shared" si="435"/>
        <v>False</v>
      </c>
      <c r="X75" s="1" t="str">
        <f t="shared" si="435"/>
        <v>False</v>
      </c>
      <c r="Y75" s="1" t="str">
        <f t="shared" si="435"/>
        <v>False</v>
      </c>
      <c r="Z75" s="1" t="str">
        <f t="shared" si="435"/>
        <v>True</v>
      </c>
      <c r="AA75" s="1" t="str">
        <f t="shared" si="435"/>
        <v>False</v>
      </c>
      <c r="AB75" s="1" t="s">
        <v>560</v>
      </c>
      <c r="AC75" s="4">
        <f t="shared" ref="AC75:AH75" si="448">IF(ISNUMBER(SEARCH(AC$1,$AB75)), 1, 0)</f>
        <v>1</v>
      </c>
      <c r="AD75" s="4">
        <f t="shared" si="448"/>
        <v>0</v>
      </c>
      <c r="AE75" s="4">
        <f t="shared" si="448"/>
        <v>1</v>
      </c>
      <c r="AF75" s="4">
        <f t="shared" si="448"/>
        <v>0</v>
      </c>
      <c r="AG75" s="4">
        <f t="shared" si="448"/>
        <v>0</v>
      </c>
      <c r="AH75" s="4">
        <f t="shared" si="448"/>
        <v>1</v>
      </c>
      <c r="AI75" s="1">
        <f t="shared" si="5"/>
        <v>3</v>
      </c>
      <c r="AK75" s="1" t="s">
        <v>224</v>
      </c>
      <c r="AL75" s="4">
        <f t="shared" ref="AL75:AS75" si="449">IF(ISNUMBER(SEARCH(AL$1,$AK75)), 1, 0)</f>
        <v>1</v>
      </c>
      <c r="AM75" s="4">
        <f t="shared" si="449"/>
        <v>0</v>
      </c>
      <c r="AN75" s="4">
        <f t="shared" si="449"/>
        <v>1</v>
      </c>
      <c r="AO75" s="4">
        <f t="shared" si="449"/>
        <v>0</v>
      </c>
      <c r="AP75" s="4">
        <f t="shared" si="449"/>
        <v>0</v>
      </c>
      <c r="AQ75" s="4">
        <f t="shared" si="449"/>
        <v>1</v>
      </c>
      <c r="AR75" s="4">
        <f t="shared" si="449"/>
        <v>0</v>
      </c>
      <c r="AS75" s="4">
        <f t="shared" si="449"/>
        <v>0</v>
      </c>
      <c r="AU75" s="1" t="s">
        <v>47</v>
      </c>
      <c r="AV75" s="1">
        <f t="shared" si="7"/>
        <v>1</v>
      </c>
      <c r="AW75" s="1">
        <f t="shared" si="8"/>
        <v>0</v>
      </c>
      <c r="AX75" s="1">
        <f t="shared" si="9"/>
        <v>0</v>
      </c>
      <c r="AY75" s="1" t="s">
        <v>48</v>
      </c>
      <c r="BA75" s="1" t="s">
        <v>231</v>
      </c>
      <c r="BB75" s="4">
        <f t="shared" ref="BB75:BJ75" si="450">IF(ISNUMBER(SEARCH(BB$1,$BA75)), 1, 0)</f>
        <v>1</v>
      </c>
      <c r="BC75" s="4">
        <f t="shared" si="450"/>
        <v>1</v>
      </c>
      <c r="BD75" s="4">
        <f t="shared" si="450"/>
        <v>1</v>
      </c>
      <c r="BE75" s="4">
        <f t="shared" si="450"/>
        <v>1</v>
      </c>
      <c r="BF75" s="4">
        <f t="shared" si="450"/>
        <v>1</v>
      </c>
      <c r="BG75" s="4">
        <f t="shared" si="450"/>
        <v>1</v>
      </c>
      <c r="BH75" s="4">
        <f t="shared" si="450"/>
        <v>0</v>
      </c>
      <c r="BI75" s="4">
        <f t="shared" si="450"/>
        <v>0</v>
      </c>
      <c r="BJ75" s="4">
        <f t="shared" si="450"/>
        <v>1</v>
      </c>
      <c r="BK75" s="4">
        <f t="shared" si="11"/>
        <v>7</v>
      </c>
      <c r="BM75" s="1" t="s">
        <v>166</v>
      </c>
      <c r="BN75" s="1" t="s">
        <v>501</v>
      </c>
      <c r="BO75" s="4">
        <f t="shared" ref="BO75:BU75" si="451">IF(ISNUMBER(SEARCH(BO$1,$BN75)), 1, 0)</f>
        <v>1</v>
      </c>
      <c r="BP75" s="4">
        <f t="shared" si="451"/>
        <v>1</v>
      </c>
      <c r="BQ75" s="4">
        <f t="shared" si="451"/>
        <v>1</v>
      </c>
      <c r="BR75" s="4">
        <f t="shared" si="451"/>
        <v>1</v>
      </c>
      <c r="BS75" s="4">
        <f t="shared" si="451"/>
        <v>0</v>
      </c>
      <c r="BT75" s="4">
        <f t="shared" si="451"/>
        <v>1</v>
      </c>
      <c r="BU75" s="4">
        <f t="shared" si="451"/>
        <v>0</v>
      </c>
      <c r="CX75" s="1" t="s">
        <v>466</v>
      </c>
      <c r="CZ75" s="1" t="s">
        <v>178</v>
      </c>
      <c r="DB75" s="1" t="s">
        <v>561</v>
      </c>
      <c r="DC75" s="1" t="s">
        <v>238</v>
      </c>
    </row>
    <row r="76" spans="1:107" ht="15.75" customHeight="1" x14ac:dyDescent="0.25">
      <c r="A76" s="1" t="b">
        <v>1</v>
      </c>
      <c r="B76" s="3">
        <v>46164.868333333332</v>
      </c>
      <c r="C76" s="1" t="s">
        <v>562</v>
      </c>
      <c r="D76" s="1" t="s">
        <v>4</v>
      </c>
      <c r="E76" s="4">
        <f t="shared" ref="E76:K76" si="452">IF(ISNUMBER(SEARCH(E$1,$D76)), SEARCH(E$1,$D76), 0)</f>
        <v>1</v>
      </c>
      <c r="F76" s="4">
        <f t="shared" si="452"/>
        <v>0</v>
      </c>
      <c r="G76" s="4">
        <f t="shared" si="452"/>
        <v>0</v>
      </c>
      <c r="H76" s="4">
        <f t="shared" si="452"/>
        <v>0</v>
      </c>
      <c r="I76" s="4">
        <f t="shared" si="452"/>
        <v>0</v>
      </c>
      <c r="J76" s="4">
        <f t="shared" si="452"/>
        <v>0</v>
      </c>
      <c r="K76" s="4">
        <f t="shared" si="452"/>
        <v>0</v>
      </c>
      <c r="L76" s="4">
        <f t="shared" si="1"/>
        <v>1</v>
      </c>
      <c r="N76" s="1" t="s">
        <v>306</v>
      </c>
      <c r="O76" s="4">
        <f t="shared" ref="O76:T76" si="453">IF(ISNUMBER(SEARCH(O$1,$N76)), 1, 0)</f>
        <v>1</v>
      </c>
      <c r="P76" s="4">
        <f t="shared" si="453"/>
        <v>1</v>
      </c>
      <c r="Q76" s="4">
        <f t="shared" si="453"/>
        <v>0</v>
      </c>
      <c r="R76" s="4">
        <f t="shared" si="453"/>
        <v>0</v>
      </c>
      <c r="S76" s="4">
        <f t="shared" si="453"/>
        <v>1</v>
      </c>
      <c r="T76" s="4">
        <f t="shared" si="453"/>
        <v>0</v>
      </c>
      <c r="V76" s="1" t="s">
        <v>25</v>
      </c>
      <c r="W76" s="1" t="str">
        <f t="shared" si="435"/>
        <v>False</v>
      </c>
      <c r="X76" s="1" t="str">
        <f t="shared" si="435"/>
        <v>False</v>
      </c>
      <c r="Y76" s="1" t="str">
        <f t="shared" si="435"/>
        <v>False</v>
      </c>
      <c r="Z76" s="1" t="str">
        <f t="shared" si="435"/>
        <v>True</v>
      </c>
      <c r="AA76" s="1" t="str">
        <f t="shared" si="435"/>
        <v>False</v>
      </c>
      <c r="AB76" s="1" t="s">
        <v>563</v>
      </c>
      <c r="AC76" s="4">
        <f t="shared" ref="AC76:AH76" si="454">IF(ISNUMBER(SEARCH(AC$1,$AB76)), 1, 0)</f>
        <v>0</v>
      </c>
      <c r="AD76" s="4">
        <f t="shared" si="454"/>
        <v>1</v>
      </c>
      <c r="AE76" s="4">
        <f t="shared" si="454"/>
        <v>0</v>
      </c>
      <c r="AF76" s="4">
        <f t="shared" si="454"/>
        <v>0</v>
      </c>
      <c r="AG76" s="4">
        <f t="shared" si="454"/>
        <v>1</v>
      </c>
      <c r="AH76" s="4">
        <f t="shared" si="454"/>
        <v>1</v>
      </c>
      <c r="AI76" s="1">
        <f t="shared" si="5"/>
        <v>3</v>
      </c>
      <c r="AJ76" s="1" t="s">
        <v>564</v>
      </c>
      <c r="AK76" s="1" t="s">
        <v>565</v>
      </c>
      <c r="AL76" s="4">
        <f t="shared" ref="AL76:AS76" si="455">IF(ISNUMBER(SEARCH(AL$1,$AK76)), 1, 0)</f>
        <v>1</v>
      </c>
      <c r="AM76" s="4">
        <f t="shared" si="455"/>
        <v>0</v>
      </c>
      <c r="AN76" s="4">
        <f t="shared" si="455"/>
        <v>0</v>
      </c>
      <c r="AO76" s="4">
        <f t="shared" si="455"/>
        <v>1</v>
      </c>
      <c r="AP76" s="4">
        <f t="shared" si="455"/>
        <v>0</v>
      </c>
      <c r="AQ76" s="4">
        <f t="shared" si="455"/>
        <v>1</v>
      </c>
      <c r="AR76" s="4">
        <f t="shared" si="455"/>
        <v>0</v>
      </c>
      <c r="AS76" s="4">
        <f t="shared" si="455"/>
        <v>0</v>
      </c>
      <c r="AU76" s="1" t="s">
        <v>48</v>
      </c>
      <c r="AV76" s="1">
        <f t="shared" si="7"/>
        <v>0</v>
      </c>
      <c r="AW76" s="1">
        <f t="shared" si="8"/>
        <v>1</v>
      </c>
      <c r="AX76" s="1">
        <f t="shared" si="9"/>
        <v>0</v>
      </c>
      <c r="AY76" s="1" t="s">
        <v>48</v>
      </c>
      <c r="BA76" s="1" t="s">
        <v>185</v>
      </c>
      <c r="BB76" s="4">
        <f t="shared" ref="BB76:BJ76" si="456">IF(ISNUMBER(SEARCH(BB$1,$BA76)), 1, 0)</f>
        <v>0</v>
      </c>
      <c r="BC76" s="4">
        <f t="shared" si="456"/>
        <v>1</v>
      </c>
      <c r="BD76" s="4">
        <f t="shared" si="456"/>
        <v>0</v>
      </c>
      <c r="BE76" s="4">
        <f t="shared" si="456"/>
        <v>1</v>
      </c>
      <c r="BF76" s="4">
        <f t="shared" si="456"/>
        <v>0</v>
      </c>
      <c r="BG76" s="4">
        <f t="shared" si="456"/>
        <v>0</v>
      </c>
      <c r="BH76" s="4">
        <f t="shared" si="456"/>
        <v>0</v>
      </c>
      <c r="BI76" s="4">
        <f t="shared" si="456"/>
        <v>0</v>
      </c>
      <c r="BJ76" s="4">
        <f t="shared" si="456"/>
        <v>1</v>
      </c>
      <c r="BK76" s="4">
        <f t="shared" si="11"/>
        <v>3</v>
      </c>
      <c r="BM76" s="1" t="s">
        <v>190</v>
      </c>
      <c r="BN76" s="1" t="s">
        <v>566</v>
      </c>
      <c r="BO76" s="4">
        <f t="shared" ref="BO76:BU76" si="457">IF(ISNUMBER(SEARCH(BO$1,$BN76)), 1, 0)</f>
        <v>1</v>
      </c>
      <c r="BP76" s="4">
        <f t="shared" si="457"/>
        <v>0</v>
      </c>
      <c r="BQ76" s="4">
        <f t="shared" si="457"/>
        <v>0</v>
      </c>
      <c r="BR76" s="4">
        <f t="shared" si="457"/>
        <v>1</v>
      </c>
      <c r="BS76" s="4">
        <f t="shared" si="457"/>
        <v>0</v>
      </c>
      <c r="BT76" s="4">
        <f t="shared" si="457"/>
        <v>1</v>
      </c>
      <c r="BU76" s="4">
        <f t="shared" si="457"/>
        <v>0</v>
      </c>
      <c r="BW76" s="1" t="s">
        <v>277</v>
      </c>
      <c r="BZ76" s="1" t="s">
        <v>234</v>
      </c>
      <c r="DC76" s="1" t="s">
        <v>238</v>
      </c>
    </row>
    <row r="77" spans="1:107" ht="15.75" customHeight="1" x14ac:dyDescent="0.25">
      <c r="A77" s="1" t="b">
        <v>1</v>
      </c>
      <c r="B77" s="3">
        <v>46164.872199074074</v>
      </c>
      <c r="C77" s="1" t="s">
        <v>567</v>
      </c>
      <c r="D77" s="1" t="s">
        <v>4</v>
      </c>
      <c r="E77" s="4">
        <f t="shared" ref="E77:K77" si="458">IF(ISNUMBER(SEARCH(E$1,$D77)), SEARCH(E$1,$D77), 0)</f>
        <v>1</v>
      </c>
      <c r="F77" s="4">
        <f t="shared" si="458"/>
        <v>0</v>
      </c>
      <c r="G77" s="4">
        <f t="shared" si="458"/>
        <v>0</v>
      </c>
      <c r="H77" s="4">
        <f t="shared" si="458"/>
        <v>0</v>
      </c>
      <c r="I77" s="4">
        <f t="shared" si="458"/>
        <v>0</v>
      </c>
      <c r="J77" s="4">
        <f t="shared" si="458"/>
        <v>0</v>
      </c>
      <c r="K77" s="4">
        <f t="shared" si="458"/>
        <v>0</v>
      </c>
      <c r="L77" s="4">
        <f t="shared" si="1"/>
        <v>1</v>
      </c>
      <c r="N77" s="1" t="s">
        <v>272</v>
      </c>
      <c r="O77" s="4">
        <f t="shared" ref="O77:T77" si="459">IF(ISNUMBER(SEARCH(O$1,$N77)), 1, 0)</f>
        <v>1</v>
      </c>
      <c r="P77" s="4">
        <f t="shared" si="459"/>
        <v>1</v>
      </c>
      <c r="Q77" s="4">
        <f t="shared" si="459"/>
        <v>1</v>
      </c>
      <c r="R77" s="4">
        <f t="shared" si="459"/>
        <v>1</v>
      </c>
      <c r="S77" s="4">
        <f t="shared" si="459"/>
        <v>1</v>
      </c>
      <c r="T77" s="4">
        <f t="shared" si="459"/>
        <v>0</v>
      </c>
      <c r="W77" s="1" t="str">
        <f t="shared" si="435"/>
        <v>False</v>
      </c>
      <c r="X77" s="1" t="str">
        <f t="shared" si="435"/>
        <v>False</v>
      </c>
      <c r="Y77" s="1" t="str">
        <f t="shared" si="435"/>
        <v>False</v>
      </c>
      <c r="Z77" s="1" t="str">
        <f t="shared" si="435"/>
        <v>False</v>
      </c>
      <c r="AA77" s="1" t="str">
        <f t="shared" si="435"/>
        <v>False</v>
      </c>
      <c r="AB77" s="1" t="s">
        <v>568</v>
      </c>
      <c r="AC77" s="4">
        <f t="shared" ref="AC77:AH77" si="460">IF(ISNUMBER(SEARCH(AC$1,$AB77)), 1, 0)</f>
        <v>1</v>
      </c>
      <c r="AD77" s="4">
        <f t="shared" si="460"/>
        <v>0</v>
      </c>
      <c r="AE77" s="4">
        <f t="shared" si="460"/>
        <v>0</v>
      </c>
      <c r="AF77" s="4">
        <f t="shared" si="460"/>
        <v>1</v>
      </c>
      <c r="AG77" s="4">
        <f t="shared" si="460"/>
        <v>0</v>
      </c>
      <c r="AH77" s="4">
        <f t="shared" si="460"/>
        <v>1</v>
      </c>
      <c r="AI77" s="1">
        <f t="shared" si="5"/>
        <v>3</v>
      </c>
      <c r="AK77" s="1" t="s">
        <v>246</v>
      </c>
      <c r="AL77" s="4">
        <f t="shared" ref="AL77:AS77" si="461">IF(ISNUMBER(SEARCH(AL$1,$AK77)), 1, 0)</f>
        <v>1</v>
      </c>
      <c r="AM77" s="4">
        <f t="shared" si="461"/>
        <v>1</v>
      </c>
      <c r="AN77" s="4">
        <f t="shared" si="461"/>
        <v>0</v>
      </c>
      <c r="AO77" s="4">
        <f t="shared" si="461"/>
        <v>1</v>
      </c>
      <c r="AP77" s="4">
        <f t="shared" si="461"/>
        <v>0</v>
      </c>
      <c r="AQ77" s="4">
        <f t="shared" si="461"/>
        <v>1</v>
      </c>
      <c r="AR77" s="4">
        <f t="shared" si="461"/>
        <v>0</v>
      </c>
      <c r="AS77" s="4">
        <f t="shared" si="461"/>
        <v>0</v>
      </c>
      <c r="AU77" s="1" t="s">
        <v>47</v>
      </c>
      <c r="AV77" s="1">
        <f t="shared" si="7"/>
        <v>1</v>
      </c>
      <c r="AW77" s="1">
        <f t="shared" si="8"/>
        <v>0</v>
      </c>
      <c r="AX77" s="1">
        <f t="shared" si="9"/>
        <v>0</v>
      </c>
      <c r="AY77" s="1" t="s">
        <v>48</v>
      </c>
      <c r="BA77" s="1" t="s">
        <v>569</v>
      </c>
      <c r="BB77" s="4">
        <f t="shared" ref="BB77:BJ77" si="462">IF(ISNUMBER(SEARCH(BB$1,$BA77)), 1, 0)</f>
        <v>0</v>
      </c>
      <c r="BC77" s="4">
        <f t="shared" si="462"/>
        <v>1</v>
      </c>
      <c r="BD77" s="4">
        <f t="shared" si="462"/>
        <v>1</v>
      </c>
      <c r="BE77" s="4">
        <f t="shared" si="462"/>
        <v>0</v>
      </c>
      <c r="BF77" s="4">
        <f t="shared" si="462"/>
        <v>1</v>
      </c>
      <c r="BG77" s="4">
        <f t="shared" si="462"/>
        <v>0</v>
      </c>
      <c r="BH77" s="4">
        <f t="shared" si="462"/>
        <v>0</v>
      </c>
      <c r="BI77" s="4">
        <f t="shared" si="462"/>
        <v>1</v>
      </c>
      <c r="BJ77" s="4">
        <f t="shared" si="462"/>
        <v>1</v>
      </c>
      <c r="BK77" s="4">
        <f t="shared" si="11"/>
        <v>5</v>
      </c>
      <c r="BM77" s="1" t="s">
        <v>232</v>
      </c>
      <c r="BN77" s="1" t="s">
        <v>340</v>
      </c>
      <c r="BO77" s="4">
        <f t="shared" ref="BO77:BU77" si="463">IF(ISNUMBER(SEARCH(BO$1,$BN77)), 1, 0)</f>
        <v>1</v>
      </c>
      <c r="BP77" s="4">
        <f t="shared" si="463"/>
        <v>1</v>
      </c>
      <c r="BQ77" s="4">
        <f t="shared" si="463"/>
        <v>0</v>
      </c>
      <c r="BR77" s="4">
        <f t="shared" si="463"/>
        <v>0</v>
      </c>
      <c r="BS77" s="4">
        <f t="shared" si="463"/>
        <v>0</v>
      </c>
      <c r="BT77" s="4">
        <f t="shared" si="463"/>
        <v>0</v>
      </c>
      <c r="BU77" s="4">
        <f t="shared" si="463"/>
        <v>0</v>
      </c>
      <c r="DC77" s="1" t="s">
        <v>180</v>
      </c>
    </row>
    <row r="78" spans="1:107" ht="15.75" customHeight="1" x14ac:dyDescent="0.25">
      <c r="A78" s="1" t="b">
        <v>1</v>
      </c>
      <c r="B78" s="3">
        <v>46164.884675925925</v>
      </c>
      <c r="C78" s="1" t="s">
        <v>570</v>
      </c>
      <c r="D78" s="1" t="s">
        <v>4</v>
      </c>
      <c r="E78" s="4">
        <f t="shared" ref="E78:K78" si="464">IF(ISNUMBER(SEARCH(E$1,$D78)), SEARCH(E$1,$D78), 0)</f>
        <v>1</v>
      </c>
      <c r="F78" s="4">
        <f t="shared" si="464"/>
        <v>0</v>
      </c>
      <c r="G78" s="4">
        <f t="shared" si="464"/>
        <v>0</v>
      </c>
      <c r="H78" s="4">
        <f t="shared" si="464"/>
        <v>0</v>
      </c>
      <c r="I78" s="4">
        <f t="shared" si="464"/>
        <v>0</v>
      </c>
      <c r="J78" s="4">
        <f t="shared" si="464"/>
        <v>0</v>
      </c>
      <c r="K78" s="4">
        <f t="shared" si="464"/>
        <v>0</v>
      </c>
      <c r="L78" s="4">
        <f t="shared" si="1"/>
        <v>1</v>
      </c>
      <c r="N78" s="1" t="s">
        <v>323</v>
      </c>
      <c r="O78" s="4">
        <f t="shared" ref="O78:T78" si="465">IF(ISNUMBER(SEARCH(O$1,$N78)), 1, 0)</f>
        <v>1</v>
      </c>
      <c r="P78" s="4">
        <f t="shared" si="465"/>
        <v>1</v>
      </c>
      <c r="Q78" s="4">
        <f t="shared" si="465"/>
        <v>1</v>
      </c>
      <c r="R78" s="4">
        <f t="shared" si="465"/>
        <v>1</v>
      </c>
      <c r="S78" s="4">
        <f t="shared" si="465"/>
        <v>0</v>
      </c>
      <c r="T78" s="4">
        <f t="shared" si="465"/>
        <v>1</v>
      </c>
      <c r="V78" s="1" t="s">
        <v>22</v>
      </c>
      <c r="W78" s="1" t="str">
        <f t="shared" si="435"/>
        <v>True</v>
      </c>
      <c r="X78" s="1" t="str">
        <f t="shared" si="435"/>
        <v>False</v>
      </c>
      <c r="Y78" s="1" t="str">
        <f t="shared" si="435"/>
        <v>False</v>
      </c>
      <c r="Z78" s="1" t="str">
        <f t="shared" si="435"/>
        <v>False</v>
      </c>
      <c r="AA78" s="1" t="str">
        <f t="shared" si="435"/>
        <v>False</v>
      </c>
      <c r="AB78" s="1" t="s">
        <v>401</v>
      </c>
      <c r="AC78" s="4">
        <f t="shared" ref="AC78:AH78" si="466">IF(ISNUMBER(SEARCH(AC$1,$AB78)), 1, 0)</f>
        <v>0</v>
      </c>
      <c r="AD78" s="4">
        <f t="shared" si="466"/>
        <v>0</v>
      </c>
      <c r="AE78" s="4">
        <f t="shared" si="466"/>
        <v>0</v>
      </c>
      <c r="AF78" s="4">
        <f t="shared" si="466"/>
        <v>0</v>
      </c>
      <c r="AG78" s="4">
        <f t="shared" si="466"/>
        <v>0</v>
      </c>
      <c r="AH78" s="4">
        <f t="shared" si="466"/>
        <v>1</v>
      </c>
      <c r="AI78" s="1">
        <f t="shared" si="5"/>
        <v>1</v>
      </c>
      <c r="AJ78" s="1" t="s">
        <v>571</v>
      </c>
      <c r="AK78" s="1" t="s">
        <v>572</v>
      </c>
      <c r="AL78" s="4">
        <f t="shared" ref="AL78:AS78" si="467">IF(ISNUMBER(SEARCH(AL$1,$AK78)), 1, 0)</f>
        <v>1</v>
      </c>
      <c r="AM78" s="4">
        <f t="shared" si="467"/>
        <v>1</v>
      </c>
      <c r="AN78" s="4">
        <f t="shared" si="467"/>
        <v>1</v>
      </c>
      <c r="AO78" s="4">
        <f t="shared" si="467"/>
        <v>1</v>
      </c>
      <c r="AP78" s="4">
        <f t="shared" si="467"/>
        <v>1</v>
      </c>
      <c r="AQ78" s="4">
        <f t="shared" si="467"/>
        <v>1</v>
      </c>
      <c r="AR78" s="4">
        <f t="shared" si="467"/>
        <v>0</v>
      </c>
      <c r="AS78" s="4">
        <f t="shared" si="467"/>
        <v>1</v>
      </c>
      <c r="AU78" s="1" t="s">
        <v>47</v>
      </c>
      <c r="AV78" s="1">
        <f t="shared" si="7"/>
        <v>1</v>
      </c>
      <c r="AW78" s="1">
        <f t="shared" si="8"/>
        <v>0</v>
      </c>
      <c r="AX78" s="1">
        <f t="shared" si="9"/>
        <v>0</v>
      </c>
      <c r="AY78" s="1" t="s">
        <v>48</v>
      </c>
      <c r="BA78" s="1" t="s">
        <v>197</v>
      </c>
      <c r="BB78" s="4">
        <f t="shared" ref="BB78:BJ78" si="468">IF(ISNUMBER(SEARCH(BB$1,$BA78)), 1, 0)</f>
        <v>0</v>
      </c>
      <c r="BC78" s="4">
        <f t="shared" si="468"/>
        <v>0</v>
      </c>
      <c r="BD78" s="4">
        <f t="shared" si="468"/>
        <v>1</v>
      </c>
      <c r="BE78" s="4">
        <f t="shared" si="468"/>
        <v>1</v>
      </c>
      <c r="BF78" s="4">
        <f t="shared" si="468"/>
        <v>1</v>
      </c>
      <c r="BG78" s="4">
        <f t="shared" si="468"/>
        <v>0</v>
      </c>
      <c r="BH78" s="4">
        <f t="shared" si="468"/>
        <v>0</v>
      </c>
      <c r="BI78" s="4">
        <f t="shared" si="468"/>
        <v>0</v>
      </c>
      <c r="BJ78" s="4">
        <f t="shared" si="468"/>
        <v>1</v>
      </c>
      <c r="BK78" s="4">
        <f t="shared" si="11"/>
        <v>4</v>
      </c>
      <c r="BM78" s="1" t="s">
        <v>232</v>
      </c>
      <c r="BN78" s="1" t="s">
        <v>573</v>
      </c>
      <c r="BO78" s="4">
        <f t="shared" ref="BO78:BU78" si="469">IF(ISNUMBER(SEARCH(BO$1,$BN78)), 1, 0)</f>
        <v>0</v>
      </c>
      <c r="BP78" s="4">
        <f t="shared" si="469"/>
        <v>1</v>
      </c>
      <c r="BQ78" s="4">
        <f t="shared" si="469"/>
        <v>1</v>
      </c>
      <c r="BR78" s="4">
        <f t="shared" si="469"/>
        <v>1</v>
      </c>
      <c r="BS78" s="4">
        <f t="shared" si="469"/>
        <v>0</v>
      </c>
      <c r="BT78" s="4">
        <f t="shared" si="469"/>
        <v>1</v>
      </c>
      <c r="BU78" s="4">
        <f t="shared" si="469"/>
        <v>0</v>
      </c>
      <c r="DC78" s="1" t="s">
        <v>180</v>
      </c>
    </row>
    <row r="79" spans="1:107" ht="15.75" customHeight="1" x14ac:dyDescent="0.25">
      <c r="A79" s="1" t="b">
        <v>1</v>
      </c>
      <c r="B79" s="3">
        <v>46165.060011574074</v>
      </c>
      <c r="C79" s="1" t="s">
        <v>574</v>
      </c>
      <c r="D79" s="1" t="s">
        <v>8</v>
      </c>
      <c r="E79" s="4">
        <f t="shared" ref="E79:K79" si="470">IF(ISNUMBER(SEARCH(E$1,$D79)), SEARCH(E$1,$D79), 0)</f>
        <v>0</v>
      </c>
      <c r="F79" s="4">
        <f t="shared" si="470"/>
        <v>0</v>
      </c>
      <c r="G79" s="4">
        <f t="shared" si="470"/>
        <v>0</v>
      </c>
      <c r="H79" s="4">
        <f t="shared" si="470"/>
        <v>0</v>
      </c>
      <c r="I79" s="4">
        <f t="shared" si="470"/>
        <v>1</v>
      </c>
      <c r="J79" s="4">
        <f t="shared" si="470"/>
        <v>0</v>
      </c>
      <c r="K79" s="4">
        <f t="shared" si="470"/>
        <v>0</v>
      </c>
      <c r="L79" s="4">
        <f t="shared" si="1"/>
        <v>1</v>
      </c>
      <c r="N79" s="1" t="s">
        <v>240</v>
      </c>
      <c r="O79" s="4">
        <f t="shared" ref="O79:T79" si="471">IF(ISNUMBER(SEARCH(O$1,$N79)), 1, 0)</f>
        <v>1</v>
      </c>
      <c r="P79" s="4">
        <f t="shared" si="471"/>
        <v>1</v>
      </c>
      <c r="Q79" s="4">
        <f t="shared" si="471"/>
        <v>1</v>
      </c>
      <c r="R79" s="4">
        <f t="shared" si="471"/>
        <v>1</v>
      </c>
      <c r="S79" s="4">
        <f t="shared" si="471"/>
        <v>0</v>
      </c>
      <c r="T79" s="4">
        <f t="shared" si="471"/>
        <v>0</v>
      </c>
      <c r="W79" s="1" t="str">
        <f t="shared" si="435"/>
        <v>False</v>
      </c>
      <c r="X79" s="1" t="str">
        <f t="shared" si="435"/>
        <v>False</v>
      </c>
      <c r="Y79" s="1" t="str">
        <f t="shared" si="435"/>
        <v>False</v>
      </c>
      <c r="Z79" s="1" t="str">
        <f t="shared" si="435"/>
        <v>False</v>
      </c>
      <c r="AA79" s="1" t="str">
        <f t="shared" si="435"/>
        <v>False</v>
      </c>
      <c r="AB79" s="1" t="s">
        <v>357</v>
      </c>
      <c r="AC79" s="4">
        <f t="shared" ref="AC79:AH79" si="472">IF(ISNUMBER(SEARCH(AC$1,$AB79)), 1, 0)</f>
        <v>1</v>
      </c>
      <c r="AD79" s="4">
        <f t="shared" si="472"/>
        <v>0</v>
      </c>
      <c r="AE79" s="4">
        <f t="shared" si="472"/>
        <v>0</v>
      </c>
      <c r="AF79" s="4">
        <f t="shared" si="472"/>
        <v>0</v>
      </c>
      <c r="AG79" s="4">
        <f t="shared" si="472"/>
        <v>0</v>
      </c>
      <c r="AH79" s="4">
        <f t="shared" si="472"/>
        <v>1</v>
      </c>
      <c r="AI79" s="1">
        <f t="shared" si="5"/>
        <v>2</v>
      </c>
      <c r="AK79" s="1" t="s">
        <v>470</v>
      </c>
      <c r="AL79" s="4">
        <f t="shared" ref="AL79:AS79" si="473">IF(ISNUMBER(SEARCH(AL$1,$AK79)), 1, 0)</f>
        <v>0</v>
      </c>
      <c r="AM79" s="4">
        <f t="shared" si="473"/>
        <v>1</v>
      </c>
      <c r="AN79" s="4">
        <f t="shared" si="473"/>
        <v>0</v>
      </c>
      <c r="AO79" s="4">
        <f t="shared" si="473"/>
        <v>1</v>
      </c>
      <c r="AP79" s="4">
        <f t="shared" si="473"/>
        <v>0</v>
      </c>
      <c r="AQ79" s="4">
        <f t="shared" si="473"/>
        <v>1</v>
      </c>
      <c r="AR79" s="4">
        <f t="shared" si="473"/>
        <v>0</v>
      </c>
      <c r="AS79" s="4">
        <f t="shared" si="473"/>
        <v>0</v>
      </c>
      <c r="AU79" s="1" t="s">
        <v>47</v>
      </c>
      <c r="AV79" s="1">
        <f t="shared" si="7"/>
        <v>1</v>
      </c>
      <c r="AW79" s="1">
        <f t="shared" si="8"/>
        <v>0</v>
      </c>
      <c r="AX79" s="1">
        <f t="shared" si="9"/>
        <v>0</v>
      </c>
      <c r="AY79" s="1" t="s">
        <v>48</v>
      </c>
      <c r="BA79" s="1" t="s">
        <v>231</v>
      </c>
      <c r="BB79" s="4">
        <f t="shared" ref="BB79:BJ79" si="474">IF(ISNUMBER(SEARCH(BB$1,$BA79)), 1, 0)</f>
        <v>1</v>
      </c>
      <c r="BC79" s="4">
        <f t="shared" si="474"/>
        <v>1</v>
      </c>
      <c r="BD79" s="4">
        <f t="shared" si="474"/>
        <v>1</v>
      </c>
      <c r="BE79" s="4">
        <f t="shared" si="474"/>
        <v>1</v>
      </c>
      <c r="BF79" s="4">
        <f t="shared" si="474"/>
        <v>1</v>
      </c>
      <c r="BG79" s="4">
        <f t="shared" si="474"/>
        <v>1</v>
      </c>
      <c r="BH79" s="4">
        <f t="shared" si="474"/>
        <v>0</v>
      </c>
      <c r="BI79" s="4">
        <f t="shared" si="474"/>
        <v>0</v>
      </c>
      <c r="BJ79" s="4">
        <f t="shared" si="474"/>
        <v>1</v>
      </c>
      <c r="BK79" s="4">
        <f t="shared" si="11"/>
        <v>7</v>
      </c>
      <c r="BM79" s="1" t="s">
        <v>232</v>
      </c>
      <c r="BN79" s="1" t="s">
        <v>382</v>
      </c>
      <c r="BO79" s="4">
        <f t="shared" ref="BO79:BU79" si="475">IF(ISNUMBER(SEARCH(BO$1,$BN79)), 1, 0)</f>
        <v>1</v>
      </c>
      <c r="BP79" s="4">
        <f t="shared" si="475"/>
        <v>1</v>
      </c>
      <c r="BQ79" s="4">
        <f t="shared" si="475"/>
        <v>1</v>
      </c>
      <c r="BR79" s="4">
        <f t="shared" si="475"/>
        <v>1</v>
      </c>
      <c r="BS79" s="4">
        <f t="shared" si="475"/>
        <v>1</v>
      </c>
      <c r="BT79" s="4">
        <f t="shared" si="475"/>
        <v>1</v>
      </c>
      <c r="BU79" s="4">
        <f t="shared" si="475"/>
        <v>0</v>
      </c>
      <c r="CH79" s="1" t="s">
        <v>575</v>
      </c>
      <c r="CI79" s="1" t="s">
        <v>576</v>
      </c>
      <c r="CJ79" s="1" t="s">
        <v>175</v>
      </c>
      <c r="CK79" s="1" t="s">
        <v>577</v>
      </c>
      <c r="CL79" s="1" t="s">
        <v>578</v>
      </c>
      <c r="DC79" s="1" t="s">
        <v>180</v>
      </c>
    </row>
    <row r="80" spans="1:107" ht="15.75" customHeight="1" x14ac:dyDescent="0.25">
      <c r="A80" s="1" t="b">
        <v>1</v>
      </c>
      <c r="B80" s="3">
        <v>46165.140775462962</v>
      </c>
      <c r="C80" s="1" t="s">
        <v>579</v>
      </c>
      <c r="D80" s="1" t="s">
        <v>4</v>
      </c>
      <c r="E80" s="4">
        <f t="shared" ref="E80:K80" si="476">IF(ISNUMBER(SEARCH(E$1,$D80)), SEARCH(E$1,$D80), 0)</f>
        <v>1</v>
      </c>
      <c r="F80" s="4">
        <f t="shared" si="476"/>
        <v>0</v>
      </c>
      <c r="G80" s="4">
        <f t="shared" si="476"/>
        <v>0</v>
      </c>
      <c r="H80" s="4">
        <f t="shared" si="476"/>
        <v>0</v>
      </c>
      <c r="I80" s="4">
        <f t="shared" si="476"/>
        <v>0</v>
      </c>
      <c r="J80" s="4">
        <f t="shared" si="476"/>
        <v>0</v>
      </c>
      <c r="K80" s="4">
        <f t="shared" si="476"/>
        <v>0</v>
      </c>
      <c r="L80" s="4">
        <f t="shared" si="1"/>
        <v>1</v>
      </c>
      <c r="N80" s="1" t="s">
        <v>14</v>
      </c>
      <c r="O80" s="4">
        <f t="shared" ref="O80:T80" si="477">IF(ISNUMBER(SEARCH(O$1,$N80)), 1, 0)</f>
        <v>1</v>
      </c>
      <c r="P80" s="4">
        <f t="shared" si="477"/>
        <v>0</v>
      </c>
      <c r="Q80" s="4">
        <f t="shared" si="477"/>
        <v>0</v>
      </c>
      <c r="R80" s="4">
        <f t="shared" si="477"/>
        <v>0</v>
      </c>
      <c r="S80" s="4">
        <f t="shared" si="477"/>
        <v>0</v>
      </c>
      <c r="T80" s="4">
        <f t="shared" si="477"/>
        <v>0</v>
      </c>
      <c r="W80" s="1" t="str">
        <f t="shared" si="435"/>
        <v>False</v>
      </c>
      <c r="X80" s="1" t="str">
        <f t="shared" si="435"/>
        <v>False</v>
      </c>
      <c r="Y80" s="1" t="str">
        <f t="shared" si="435"/>
        <v>False</v>
      </c>
      <c r="Z80" s="1" t="str">
        <f t="shared" si="435"/>
        <v>False</v>
      </c>
      <c r="AA80" s="1" t="str">
        <f t="shared" si="435"/>
        <v>False</v>
      </c>
      <c r="AB80" s="1" t="s">
        <v>29</v>
      </c>
      <c r="AC80" s="4">
        <f t="shared" ref="AC80:AH80" si="478">IF(ISNUMBER(SEARCH(AC$1,$AB80)), 1, 0)</f>
        <v>0</v>
      </c>
      <c r="AD80" s="4">
        <f t="shared" si="478"/>
        <v>1</v>
      </c>
      <c r="AE80" s="4">
        <f t="shared" si="478"/>
        <v>0</v>
      </c>
      <c r="AF80" s="4">
        <f t="shared" si="478"/>
        <v>0</v>
      </c>
      <c r="AG80" s="4">
        <f t="shared" si="478"/>
        <v>0</v>
      </c>
      <c r="AH80" s="4">
        <f t="shared" si="478"/>
        <v>0</v>
      </c>
      <c r="AI80" s="1">
        <f t="shared" si="5"/>
        <v>1</v>
      </c>
      <c r="AK80" s="1" t="s">
        <v>580</v>
      </c>
      <c r="AL80" s="4">
        <f t="shared" ref="AL80:AS80" si="479">IF(ISNUMBER(SEARCH(AL$1,$AK80)), 1, 0)</f>
        <v>0</v>
      </c>
      <c r="AM80" s="4">
        <f t="shared" si="479"/>
        <v>0</v>
      </c>
      <c r="AN80" s="4">
        <f t="shared" si="479"/>
        <v>1</v>
      </c>
      <c r="AO80" s="4">
        <f t="shared" si="479"/>
        <v>0</v>
      </c>
      <c r="AP80" s="4">
        <f t="shared" si="479"/>
        <v>0</v>
      </c>
      <c r="AQ80" s="4">
        <f t="shared" si="479"/>
        <v>0</v>
      </c>
      <c r="AR80" s="4">
        <f t="shared" si="479"/>
        <v>0</v>
      </c>
      <c r="AS80" s="4">
        <f t="shared" si="479"/>
        <v>1</v>
      </c>
      <c r="AU80" s="1" t="s">
        <v>47</v>
      </c>
      <c r="AV80" s="1">
        <f t="shared" si="7"/>
        <v>1</v>
      </c>
      <c r="AW80" s="1">
        <f t="shared" si="8"/>
        <v>0</v>
      </c>
      <c r="AX80" s="1">
        <f t="shared" si="9"/>
        <v>0</v>
      </c>
      <c r="AY80" s="1" t="s">
        <v>48</v>
      </c>
      <c r="BA80" s="1" t="s">
        <v>581</v>
      </c>
      <c r="BB80" s="4">
        <f t="shared" ref="BB80:BJ80" si="480">IF(ISNUMBER(SEARCH(BB$1,$BA80)), 1, 0)</f>
        <v>0</v>
      </c>
      <c r="BC80" s="4">
        <f t="shared" si="480"/>
        <v>0</v>
      </c>
      <c r="BD80" s="4">
        <f t="shared" si="480"/>
        <v>0</v>
      </c>
      <c r="BE80" s="4">
        <f t="shared" si="480"/>
        <v>0</v>
      </c>
      <c r="BF80" s="4">
        <f t="shared" si="480"/>
        <v>0</v>
      </c>
      <c r="BG80" s="4">
        <f t="shared" si="480"/>
        <v>1</v>
      </c>
      <c r="BH80" s="4">
        <f t="shared" si="480"/>
        <v>0</v>
      </c>
      <c r="BI80" s="4">
        <f t="shared" si="480"/>
        <v>1</v>
      </c>
      <c r="BJ80" s="4">
        <f t="shared" si="480"/>
        <v>1</v>
      </c>
      <c r="BK80" s="4">
        <f t="shared" si="11"/>
        <v>3</v>
      </c>
      <c r="BM80" s="1" t="s">
        <v>232</v>
      </c>
      <c r="BN80" s="1" t="s">
        <v>386</v>
      </c>
      <c r="BO80" s="4">
        <f t="shared" ref="BO80:BU80" si="481">IF(ISNUMBER(SEARCH(BO$1,$BN80)), 1, 0)</f>
        <v>0</v>
      </c>
      <c r="BP80" s="4">
        <f t="shared" si="481"/>
        <v>1</v>
      </c>
      <c r="BQ80" s="4">
        <f t="shared" si="481"/>
        <v>0</v>
      </c>
      <c r="BR80" s="4">
        <f t="shared" si="481"/>
        <v>0</v>
      </c>
      <c r="BS80" s="4">
        <f t="shared" si="481"/>
        <v>0</v>
      </c>
      <c r="BT80" s="4">
        <f t="shared" si="481"/>
        <v>1</v>
      </c>
      <c r="BU80" s="4">
        <f t="shared" si="481"/>
        <v>0</v>
      </c>
      <c r="DC80" s="1" t="s">
        <v>238</v>
      </c>
    </row>
    <row r="81" spans="1:107" ht="15.75" customHeight="1" x14ac:dyDescent="0.25">
      <c r="A81" s="1" t="b">
        <v>1</v>
      </c>
      <c r="B81" s="3">
        <v>46165.181793981479</v>
      </c>
      <c r="C81" s="1" t="s">
        <v>582</v>
      </c>
      <c r="D81" s="1" t="s">
        <v>207</v>
      </c>
      <c r="E81" s="4">
        <f t="shared" ref="E81:K81" si="482">IF(ISNUMBER(SEARCH(E$1,$D81)), SEARCH(E$1,$D81), 0)</f>
        <v>1</v>
      </c>
      <c r="F81" s="4">
        <f t="shared" si="482"/>
        <v>30</v>
      </c>
      <c r="G81" s="4">
        <f t="shared" si="482"/>
        <v>0</v>
      </c>
      <c r="H81" s="4">
        <f t="shared" si="482"/>
        <v>0</v>
      </c>
      <c r="I81" s="4">
        <f t="shared" si="482"/>
        <v>0</v>
      </c>
      <c r="J81" s="4">
        <f t="shared" si="482"/>
        <v>0</v>
      </c>
      <c r="K81" s="4">
        <f t="shared" si="482"/>
        <v>0</v>
      </c>
      <c r="L81" s="4">
        <f t="shared" si="1"/>
        <v>30</v>
      </c>
      <c r="N81" s="1" t="s">
        <v>323</v>
      </c>
      <c r="O81" s="4">
        <f t="shared" ref="O81:T81" si="483">IF(ISNUMBER(SEARCH(O$1,$N81)), 1, 0)</f>
        <v>1</v>
      </c>
      <c r="P81" s="4">
        <f t="shared" si="483"/>
        <v>1</v>
      </c>
      <c r="Q81" s="4">
        <f t="shared" si="483"/>
        <v>1</v>
      </c>
      <c r="R81" s="4">
        <f t="shared" si="483"/>
        <v>1</v>
      </c>
      <c r="S81" s="4">
        <f t="shared" si="483"/>
        <v>0</v>
      </c>
      <c r="T81" s="4">
        <f t="shared" si="483"/>
        <v>1</v>
      </c>
      <c r="V81" s="1" t="s">
        <v>26</v>
      </c>
      <c r="W81" s="1" t="str">
        <f t="shared" si="435"/>
        <v>False</v>
      </c>
      <c r="X81" s="1" t="str">
        <f t="shared" si="435"/>
        <v>False</v>
      </c>
      <c r="Y81" s="1" t="str">
        <f t="shared" si="435"/>
        <v>False</v>
      </c>
      <c r="Z81" s="1" t="str">
        <f t="shared" si="435"/>
        <v>False</v>
      </c>
      <c r="AA81" s="1" t="str">
        <f t="shared" si="435"/>
        <v>True</v>
      </c>
      <c r="AB81" s="1" t="s">
        <v>583</v>
      </c>
      <c r="AC81" s="4">
        <f t="shared" ref="AC81:AH81" si="484">IF(ISNUMBER(SEARCH(AC$1,$AB81)), 1, 0)</f>
        <v>1</v>
      </c>
      <c r="AD81" s="4">
        <f t="shared" si="484"/>
        <v>0</v>
      </c>
      <c r="AE81" s="4">
        <f t="shared" si="484"/>
        <v>0</v>
      </c>
      <c r="AF81" s="4">
        <f t="shared" si="484"/>
        <v>1</v>
      </c>
      <c r="AG81" s="4">
        <f t="shared" si="484"/>
        <v>1</v>
      </c>
      <c r="AH81" s="4">
        <f t="shared" si="484"/>
        <v>1</v>
      </c>
      <c r="AI81" s="1">
        <f t="shared" si="5"/>
        <v>4</v>
      </c>
      <c r="AK81" s="1" t="s">
        <v>470</v>
      </c>
      <c r="AL81" s="4">
        <f t="shared" ref="AL81:AS81" si="485">IF(ISNUMBER(SEARCH(AL$1,$AK81)), 1, 0)</f>
        <v>0</v>
      </c>
      <c r="AM81" s="4">
        <f t="shared" si="485"/>
        <v>1</v>
      </c>
      <c r="AN81" s="4">
        <f t="shared" si="485"/>
        <v>0</v>
      </c>
      <c r="AO81" s="4">
        <f t="shared" si="485"/>
        <v>1</v>
      </c>
      <c r="AP81" s="4">
        <f t="shared" si="485"/>
        <v>0</v>
      </c>
      <c r="AQ81" s="4">
        <f t="shared" si="485"/>
        <v>1</v>
      </c>
      <c r="AR81" s="4">
        <f t="shared" si="485"/>
        <v>0</v>
      </c>
      <c r="AS81" s="4">
        <f t="shared" si="485"/>
        <v>0</v>
      </c>
      <c r="AU81" s="1" t="s">
        <v>48</v>
      </c>
      <c r="AV81" s="1">
        <f t="shared" si="7"/>
        <v>0</v>
      </c>
      <c r="AW81" s="1">
        <f t="shared" si="8"/>
        <v>1</v>
      </c>
      <c r="AX81" s="1">
        <f t="shared" si="9"/>
        <v>0</v>
      </c>
      <c r="AY81" s="1" t="s">
        <v>48</v>
      </c>
      <c r="BA81" s="1" t="s">
        <v>371</v>
      </c>
      <c r="BB81" s="4">
        <f t="shared" ref="BB81:BJ81" si="486">IF(ISNUMBER(SEARCH(BB$1,$BA81)), 1, 0)</f>
        <v>1</v>
      </c>
      <c r="BC81" s="4">
        <f t="shared" si="486"/>
        <v>1</v>
      </c>
      <c r="BD81" s="4">
        <f t="shared" si="486"/>
        <v>1</v>
      </c>
      <c r="BE81" s="4">
        <f t="shared" si="486"/>
        <v>0</v>
      </c>
      <c r="BF81" s="4">
        <f t="shared" si="486"/>
        <v>1</v>
      </c>
      <c r="BG81" s="4">
        <f t="shared" si="486"/>
        <v>1</v>
      </c>
      <c r="BH81" s="4">
        <f t="shared" si="486"/>
        <v>0</v>
      </c>
      <c r="BI81" s="4">
        <f t="shared" si="486"/>
        <v>0</v>
      </c>
      <c r="BJ81" s="4">
        <f t="shared" si="486"/>
        <v>1</v>
      </c>
      <c r="BK81" s="4">
        <f t="shared" si="11"/>
        <v>6</v>
      </c>
      <c r="BM81" s="1" t="s">
        <v>190</v>
      </c>
      <c r="BN81" s="1" t="s">
        <v>584</v>
      </c>
      <c r="BO81" s="4">
        <f t="shared" ref="BO81:BU81" si="487">IF(ISNUMBER(SEARCH(BO$1,$BN81)), 1, 0)</f>
        <v>1</v>
      </c>
      <c r="BP81" s="4">
        <f t="shared" si="487"/>
        <v>0</v>
      </c>
      <c r="BQ81" s="4">
        <f t="shared" si="487"/>
        <v>0</v>
      </c>
      <c r="BR81" s="4">
        <f t="shared" si="487"/>
        <v>0</v>
      </c>
      <c r="BS81" s="4">
        <f t="shared" si="487"/>
        <v>0</v>
      </c>
      <c r="BT81" s="4">
        <f t="shared" si="487"/>
        <v>1</v>
      </c>
      <c r="BU81" s="4">
        <f t="shared" si="487"/>
        <v>0</v>
      </c>
      <c r="BV81" s="1" t="s">
        <v>585</v>
      </c>
      <c r="BW81" s="1" t="s">
        <v>220</v>
      </c>
      <c r="BY81" s="1" t="s">
        <v>586</v>
      </c>
      <c r="CX81" s="1" t="s">
        <v>587</v>
      </c>
      <c r="CY81" s="1" t="s">
        <v>588</v>
      </c>
      <c r="CZ81" s="1" t="s">
        <v>178</v>
      </c>
      <c r="DB81" s="1" t="s">
        <v>589</v>
      </c>
      <c r="DC81" s="1" t="s">
        <v>180</v>
      </c>
    </row>
    <row r="82" spans="1:107" ht="15.75" customHeight="1" x14ac:dyDescent="0.25">
      <c r="A82" s="1" t="b">
        <v>1</v>
      </c>
      <c r="B82" s="3">
        <v>46165.189583333333</v>
      </c>
      <c r="C82" s="1" t="s">
        <v>590</v>
      </c>
      <c r="D82" s="1" t="s">
        <v>591</v>
      </c>
      <c r="E82" s="4">
        <f t="shared" ref="E82:K82" si="488">IF(ISNUMBER(SEARCH(E$1,$D82)), SEARCH(E$1,$D82), 0)</f>
        <v>1</v>
      </c>
      <c r="F82" s="4">
        <f t="shared" si="488"/>
        <v>0</v>
      </c>
      <c r="G82" s="4">
        <f t="shared" si="488"/>
        <v>0</v>
      </c>
      <c r="H82" s="4">
        <f t="shared" si="488"/>
        <v>0</v>
      </c>
      <c r="I82" s="4">
        <f t="shared" si="488"/>
        <v>30</v>
      </c>
      <c r="J82" s="4">
        <f t="shared" si="488"/>
        <v>0</v>
      </c>
      <c r="K82" s="4">
        <f t="shared" si="488"/>
        <v>0</v>
      </c>
      <c r="L82" s="4">
        <f t="shared" si="1"/>
        <v>30</v>
      </c>
      <c r="M82" s="1" t="s">
        <v>592</v>
      </c>
      <c r="N82" s="1" t="s">
        <v>187</v>
      </c>
      <c r="O82" s="4">
        <f t="shared" ref="O82:T82" si="489">IF(ISNUMBER(SEARCH(O$1,$N82)), 1, 0)</f>
        <v>1</v>
      </c>
      <c r="P82" s="4">
        <f t="shared" si="489"/>
        <v>1</v>
      </c>
      <c r="Q82" s="4">
        <f t="shared" si="489"/>
        <v>1</v>
      </c>
      <c r="R82" s="4">
        <f t="shared" si="489"/>
        <v>1</v>
      </c>
      <c r="S82" s="4">
        <f t="shared" si="489"/>
        <v>1</v>
      </c>
      <c r="T82" s="4">
        <f t="shared" si="489"/>
        <v>1</v>
      </c>
      <c r="V82" s="1" t="s">
        <v>24</v>
      </c>
      <c r="W82" s="1" t="str">
        <f t="shared" si="435"/>
        <v>False</v>
      </c>
      <c r="X82" s="1" t="str">
        <f t="shared" si="435"/>
        <v>False</v>
      </c>
      <c r="Y82" s="1" t="str">
        <f t="shared" si="435"/>
        <v>True</v>
      </c>
      <c r="Z82" s="1" t="str">
        <f t="shared" si="435"/>
        <v>False</v>
      </c>
      <c r="AA82" s="1" t="str">
        <f t="shared" si="435"/>
        <v>False</v>
      </c>
      <c r="AB82" s="1" t="s">
        <v>401</v>
      </c>
      <c r="AC82" s="4">
        <f t="shared" ref="AC82:AH82" si="490">IF(ISNUMBER(SEARCH(AC$1,$AB82)), 1, 0)</f>
        <v>0</v>
      </c>
      <c r="AD82" s="4">
        <f t="shared" si="490"/>
        <v>0</v>
      </c>
      <c r="AE82" s="4">
        <f t="shared" si="490"/>
        <v>0</v>
      </c>
      <c r="AF82" s="4">
        <f t="shared" si="490"/>
        <v>0</v>
      </c>
      <c r="AG82" s="4">
        <f t="shared" si="490"/>
        <v>0</v>
      </c>
      <c r="AH82" s="4">
        <f t="shared" si="490"/>
        <v>1</v>
      </c>
      <c r="AI82" s="1">
        <f t="shared" si="5"/>
        <v>1</v>
      </c>
      <c r="AJ82" s="1" t="s">
        <v>593</v>
      </c>
      <c r="AK82" s="1" t="s">
        <v>594</v>
      </c>
      <c r="AL82" s="4">
        <f t="shared" ref="AL82:AS82" si="491">IF(ISNUMBER(SEARCH(AL$1,$AK82)), 1, 0)</f>
        <v>1</v>
      </c>
      <c r="AM82" s="4">
        <f t="shared" si="491"/>
        <v>0</v>
      </c>
      <c r="AN82" s="4">
        <f t="shared" si="491"/>
        <v>0</v>
      </c>
      <c r="AO82" s="4">
        <f t="shared" si="491"/>
        <v>0</v>
      </c>
      <c r="AP82" s="4">
        <f t="shared" si="491"/>
        <v>0</v>
      </c>
      <c r="AQ82" s="4">
        <f t="shared" si="491"/>
        <v>1</v>
      </c>
      <c r="AR82" s="4">
        <f t="shared" si="491"/>
        <v>0</v>
      </c>
      <c r="AS82" s="4">
        <f t="shared" si="491"/>
        <v>0</v>
      </c>
      <c r="AU82" s="1" t="s">
        <v>48</v>
      </c>
      <c r="AV82" s="1">
        <f t="shared" si="7"/>
        <v>0</v>
      </c>
      <c r="AW82" s="1">
        <f t="shared" si="8"/>
        <v>1</v>
      </c>
      <c r="AX82" s="1">
        <f t="shared" si="9"/>
        <v>0</v>
      </c>
      <c r="AY82" s="1" t="s">
        <v>48</v>
      </c>
      <c r="BA82" s="1" t="s">
        <v>595</v>
      </c>
      <c r="BB82" s="4">
        <f t="shared" ref="BB82:BJ82" si="492">IF(ISNUMBER(SEARCH(BB$1,$BA82)), 1, 0)</f>
        <v>0</v>
      </c>
      <c r="BC82" s="4">
        <f t="shared" si="492"/>
        <v>1</v>
      </c>
      <c r="BD82" s="4">
        <f t="shared" si="492"/>
        <v>1</v>
      </c>
      <c r="BE82" s="4">
        <f t="shared" si="492"/>
        <v>1</v>
      </c>
      <c r="BF82" s="4">
        <f t="shared" si="492"/>
        <v>1</v>
      </c>
      <c r="BG82" s="4">
        <f t="shared" si="492"/>
        <v>0</v>
      </c>
      <c r="BH82" s="4">
        <f t="shared" si="492"/>
        <v>0</v>
      </c>
      <c r="BI82" s="4">
        <f t="shared" si="492"/>
        <v>1</v>
      </c>
      <c r="BJ82" s="4">
        <f t="shared" si="492"/>
        <v>1</v>
      </c>
      <c r="BK82" s="4">
        <f t="shared" si="11"/>
        <v>6</v>
      </c>
      <c r="BM82" s="1" t="s">
        <v>166</v>
      </c>
      <c r="BN82" s="1" t="s">
        <v>404</v>
      </c>
      <c r="BO82" s="4">
        <f t="shared" ref="BO82:BU82" si="493">IF(ISNUMBER(SEARCH(BO$1,$BN82)), 1, 0)</f>
        <v>0</v>
      </c>
      <c r="BP82" s="4">
        <f t="shared" si="493"/>
        <v>0</v>
      </c>
      <c r="BQ82" s="4">
        <f t="shared" si="493"/>
        <v>0</v>
      </c>
      <c r="BR82" s="4">
        <f t="shared" si="493"/>
        <v>0</v>
      </c>
      <c r="BS82" s="4">
        <f t="shared" si="493"/>
        <v>0</v>
      </c>
      <c r="BT82" s="4">
        <f t="shared" si="493"/>
        <v>0</v>
      </c>
      <c r="BU82" s="4">
        <f t="shared" si="493"/>
        <v>0</v>
      </c>
      <c r="BV82" s="1" t="s">
        <v>596</v>
      </c>
      <c r="BW82" s="1" t="s">
        <v>255</v>
      </c>
      <c r="BY82" s="1" t="s">
        <v>597</v>
      </c>
      <c r="BZ82" s="1" t="s">
        <v>278</v>
      </c>
      <c r="CH82" s="1" t="s">
        <v>598</v>
      </c>
      <c r="CI82" s="1" t="s">
        <v>599</v>
      </c>
      <c r="CJ82" s="1" t="s">
        <v>600</v>
      </c>
      <c r="CL82" s="1" t="s">
        <v>601</v>
      </c>
      <c r="DC82" s="1" t="s">
        <v>180</v>
      </c>
    </row>
    <row r="83" spans="1:107" ht="15.75" customHeight="1" x14ac:dyDescent="0.25">
      <c r="A83" s="1" t="b">
        <v>1</v>
      </c>
      <c r="B83" s="3">
        <v>46165.302349537036</v>
      </c>
      <c r="C83" s="1" t="s">
        <v>602</v>
      </c>
      <c r="D83" s="1" t="s">
        <v>391</v>
      </c>
      <c r="E83" s="4">
        <f t="shared" ref="E83:K83" si="494">IF(ISNUMBER(SEARCH(E$1,$D83)), SEARCH(E$1,$D83), 0)</f>
        <v>1</v>
      </c>
      <c r="F83" s="4">
        <f t="shared" si="494"/>
        <v>30</v>
      </c>
      <c r="G83" s="4">
        <f t="shared" si="494"/>
        <v>105</v>
      </c>
      <c r="H83" s="4">
        <f t="shared" si="494"/>
        <v>161</v>
      </c>
      <c r="I83" s="4">
        <f t="shared" si="494"/>
        <v>199</v>
      </c>
      <c r="J83" s="4">
        <f t="shared" si="494"/>
        <v>231</v>
      </c>
      <c r="K83" s="4">
        <f t="shared" si="494"/>
        <v>268</v>
      </c>
      <c r="L83" s="4">
        <f t="shared" si="1"/>
        <v>268</v>
      </c>
      <c r="N83" s="1" t="s">
        <v>505</v>
      </c>
      <c r="O83" s="4">
        <f t="shared" ref="O83:T83" si="495">IF(ISNUMBER(SEARCH(O$1,$N83)), 1, 0)</f>
        <v>1</v>
      </c>
      <c r="P83" s="4">
        <f t="shared" si="495"/>
        <v>1</v>
      </c>
      <c r="Q83" s="4">
        <f t="shared" si="495"/>
        <v>0</v>
      </c>
      <c r="R83" s="4">
        <f t="shared" si="495"/>
        <v>1</v>
      </c>
      <c r="S83" s="4">
        <f t="shared" si="495"/>
        <v>1</v>
      </c>
      <c r="T83" s="4">
        <f t="shared" si="495"/>
        <v>1</v>
      </c>
      <c r="W83" s="1" t="str">
        <f t="shared" ref="W83:AA92" si="496">IF(W$1=$V83, "True", "False")</f>
        <v>False</v>
      </c>
      <c r="X83" s="1" t="str">
        <f t="shared" si="496"/>
        <v>False</v>
      </c>
      <c r="Y83" s="1" t="str">
        <f t="shared" si="496"/>
        <v>False</v>
      </c>
      <c r="Z83" s="1" t="str">
        <f t="shared" si="496"/>
        <v>False</v>
      </c>
      <c r="AA83" s="1" t="str">
        <f t="shared" si="496"/>
        <v>False</v>
      </c>
      <c r="AB83" s="1" t="s">
        <v>603</v>
      </c>
      <c r="AC83" s="4">
        <f t="shared" ref="AC83:AH83" si="497">IF(ISNUMBER(SEARCH(AC$1,$AB83)), 1, 0)</f>
        <v>1</v>
      </c>
      <c r="AD83" s="4">
        <f t="shared" si="497"/>
        <v>1</v>
      </c>
      <c r="AE83" s="4">
        <f t="shared" si="497"/>
        <v>1</v>
      </c>
      <c r="AF83" s="4">
        <f t="shared" si="497"/>
        <v>1</v>
      </c>
      <c r="AG83" s="4">
        <f t="shared" si="497"/>
        <v>0</v>
      </c>
      <c r="AH83" s="4">
        <f t="shared" si="497"/>
        <v>1</v>
      </c>
      <c r="AI83" s="1">
        <f t="shared" si="5"/>
        <v>5</v>
      </c>
      <c r="AK83" s="1" t="s">
        <v>604</v>
      </c>
      <c r="AL83" s="4">
        <f t="shared" ref="AL83:AS83" si="498">IF(ISNUMBER(SEARCH(AL$1,$AK83)), 1, 0)</f>
        <v>1</v>
      </c>
      <c r="AM83" s="4">
        <f t="shared" si="498"/>
        <v>1</v>
      </c>
      <c r="AN83" s="4">
        <f t="shared" si="498"/>
        <v>1</v>
      </c>
      <c r="AO83" s="4">
        <f t="shared" si="498"/>
        <v>1</v>
      </c>
      <c r="AP83" s="4">
        <f t="shared" si="498"/>
        <v>1</v>
      </c>
      <c r="AQ83" s="4">
        <f t="shared" si="498"/>
        <v>1</v>
      </c>
      <c r="AR83" s="4">
        <f t="shared" si="498"/>
        <v>1</v>
      </c>
      <c r="AS83" s="4">
        <f t="shared" si="498"/>
        <v>1</v>
      </c>
      <c r="AU83" s="1" t="s">
        <v>48</v>
      </c>
      <c r="AV83" s="1">
        <f t="shared" si="7"/>
        <v>0</v>
      </c>
      <c r="AW83" s="1">
        <f t="shared" si="8"/>
        <v>1</v>
      </c>
      <c r="AX83" s="1">
        <f t="shared" si="9"/>
        <v>0</v>
      </c>
      <c r="AY83" s="1" t="s">
        <v>48</v>
      </c>
      <c r="BA83" s="1" t="s">
        <v>605</v>
      </c>
      <c r="BB83" s="4">
        <f t="shared" ref="BB83:BJ83" si="499">IF(ISNUMBER(SEARCH(BB$1,$BA83)), 1, 0)</f>
        <v>1</v>
      </c>
      <c r="BC83" s="4">
        <f t="shared" si="499"/>
        <v>1</v>
      </c>
      <c r="BD83" s="4">
        <f t="shared" si="499"/>
        <v>1</v>
      </c>
      <c r="BE83" s="4">
        <f t="shared" si="499"/>
        <v>1</v>
      </c>
      <c r="BF83" s="4">
        <f t="shared" si="499"/>
        <v>1</v>
      </c>
      <c r="BG83" s="4">
        <f t="shared" si="499"/>
        <v>1</v>
      </c>
      <c r="BH83" s="4">
        <f t="shared" si="499"/>
        <v>1</v>
      </c>
      <c r="BI83" s="4">
        <f t="shared" si="499"/>
        <v>1</v>
      </c>
      <c r="BJ83" s="4">
        <f t="shared" si="499"/>
        <v>1</v>
      </c>
      <c r="BK83" s="4">
        <f t="shared" si="11"/>
        <v>9</v>
      </c>
      <c r="BO83" s="4">
        <f t="shared" ref="BO83:BU83" si="500">IF(ISNUMBER(SEARCH(BO$1,$BN83)), 1, 0)</f>
        <v>0</v>
      </c>
      <c r="BP83" s="4">
        <f t="shared" si="500"/>
        <v>0</v>
      </c>
      <c r="BQ83" s="4">
        <f t="shared" si="500"/>
        <v>0</v>
      </c>
      <c r="BR83" s="4">
        <f t="shared" si="500"/>
        <v>0</v>
      </c>
      <c r="BS83" s="4">
        <f t="shared" si="500"/>
        <v>0</v>
      </c>
      <c r="BT83" s="4">
        <f t="shared" si="500"/>
        <v>0</v>
      </c>
      <c r="BU83" s="4">
        <f t="shared" si="500"/>
        <v>0</v>
      </c>
      <c r="BZ83" s="1" t="s">
        <v>171</v>
      </c>
      <c r="CB83" s="1" t="s">
        <v>48</v>
      </c>
      <c r="CC83" s="1" t="s">
        <v>48</v>
      </c>
      <c r="CD83" s="1" t="s">
        <v>444</v>
      </c>
      <c r="CF83" s="1" t="s">
        <v>606</v>
      </c>
      <c r="CG83" s="1" t="s">
        <v>607</v>
      </c>
      <c r="CH83" s="1" t="s">
        <v>173</v>
      </c>
      <c r="CJ83" s="1" t="s">
        <v>608</v>
      </c>
      <c r="CL83" s="1" t="s">
        <v>352</v>
      </c>
      <c r="CM83" s="1" t="s">
        <v>48</v>
      </c>
      <c r="CN83" s="1" t="s">
        <v>609</v>
      </c>
      <c r="CU83" s="1" t="s">
        <v>178</v>
      </c>
      <c r="DC83" s="1" t="s">
        <v>238</v>
      </c>
    </row>
    <row r="84" spans="1:107" ht="15.75" customHeight="1" x14ac:dyDescent="0.25">
      <c r="A84" s="1" t="b">
        <v>1</v>
      </c>
      <c r="B84" s="3">
        <v>46165.311550925922</v>
      </c>
      <c r="C84" s="1" t="s">
        <v>610</v>
      </c>
      <c r="D84" s="1" t="s">
        <v>4</v>
      </c>
      <c r="E84" s="4">
        <f t="shared" ref="E84:K84" si="501">IF(ISNUMBER(SEARCH(E$1,$D84)), SEARCH(E$1,$D84), 0)</f>
        <v>1</v>
      </c>
      <c r="F84" s="4">
        <f t="shared" si="501"/>
        <v>0</v>
      </c>
      <c r="G84" s="4">
        <f t="shared" si="501"/>
        <v>0</v>
      </c>
      <c r="H84" s="4">
        <f t="shared" si="501"/>
        <v>0</v>
      </c>
      <c r="I84" s="4">
        <f t="shared" si="501"/>
        <v>0</v>
      </c>
      <c r="J84" s="4">
        <f t="shared" si="501"/>
        <v>0</v>
      </c>
      <c r="K84" s="4">
        <f t="shared" si="501"/>
        <v>0</v>
      </c>
      <c r="L84" s="4">
        <f t="shared" si="1"/>
        <v>1</v>
      </c>
      <c r="N84" s="1" t="s">
        <v>316</v>
      </c>
      <c r="O84" s="4">
        <f t="shared" ref="O84:T84" si="502">IF(ISNUMBER(SEARCH(O$1,$N84)), 1, 0)</f>
        <v>1</v>
      </c>
      <c r="P84" s="4">
        <f t="shared" si="502"/>
        <v>0</v>
      </c>
      <c r="Q84" s="4">
        <f t="shared" si="502"/>
        <v>1</v>
      </c>
      <c r="R84" s="4">
        <f t="shared" si="502"/>
        <v>0</v>
      </c>
      <c r="S84" s="4">
        <f t="shared" si="502"/>
        <v>0</v>
      </c>
      <c r="T84" s="4">
        <f t="shared" si="502"/>
        <v>0</v>
      </c>
      <c r="V84" s="1" t="s">
        <v>24</v>
      </c>
      <c r="W84" s="1" t="str">
        <f t="shared" si="496"/>
        <v>False</v>
      </c>
      <c r="X84" s="1" t="str">
        <f t="shared" si="496"/>
        <v>False</v>
      </c>
      <c r="Y84" s="1" t="str">
        <f t="shared" si="496"/>
        <v>True</v>
      </c>
      <c r="Z84" s="1" t="str">
        <f t="shared" si="496"/>
        <v>False</v>
      </c>
      <c r="AA84" s="1" t="str">
        <f t="shared" si="496"/>
        <v>False</v>
      </c>
      <c r="AB84" s="1" t="s">
        <v>31</v>
      </c>
      <c r="AC84" s="4">
        <f t="shared" ref="AC84:AH84" si="503">IF(ISNUMBER(SEARCH(AC$1,$AB84)), 1, 0)</f>
        <v>0</v>
      </c>
      <c r="AD84" s="4">
        <f t="shared" si="503"/>
        <v>0</v>
      </c>
      <c r="AE84" s="4">
        <f t="shared" si="503"/>
        <v>0</v>
      </c>
      <c r="AF84" s="4">
        <f t="shared" si="503"/>
        <v>1</v>
      </c>
      <c r="AG84" s="4">
        <f t="shared" si="503"/>
        <v>0</v>
      </c>
      <c r="AH84" s="4">
        <f t="shared" si="503"/>
        <v>0</v>
      </c>
      <c r="AI84" s="1">
        <f t="shared" si="5"/>
        <v>1</v>
      </c>
      <c r="AK84" s="1" t="s">
        <v>611</v>
      </c>
      <c r="AL84" s="4">
        <f t="shared" ref="AL84:AS84" si="504">IF(ISNUMBER(SEARCH(AL$1,$AK84)), 1, 0)</f>
        <v>0</v>
      </c>
      <c r="AM84" s="4">
        <f t="shared" si="504"/>
        <v>1</v>
      </c>
      <c r="AN84" s="4">
        <f t="shared" si="504"/>
        <v>1</v>
      </c>
      <c r="AO84" s="4">
        <f t="shared" si="504"/>
        <v>1</v>
      </c>
      <c r="AP84" s="4">
        <f t="shared" si="504"/>
        <v>1</v>
      </c>
      <c r="AQ84" s="4">
        <f t="shared" si="504"/>
        <v>1</v>
      </c>
      <c r="AR84" s="4">
        <f t="shared" si="504"/>
        <v>1</v>
      </c>
      <c r="AS84" s="4">
        <f t="shared" si="504"/>
        <v>0</v>
      </c>
      <c r="AU84" s="1" t="s">
        <v>47</v>
      </c>
      <c r="AV84" s="1">
        <f t="shared" si="7"/>
        <v>1</v>
      </c>
      <c r="AW84" s="1">
        <f t="shared" si="8"/>
        <v>0</v>
      </c>
      <c r="AX84" s="1">
        <f t="shared" si="9"/>
        <v>0</v>
      </c>
      <c r="AY84" s="1" t="s">
        <v>48</v>
      </c>
      <c r="BA84" s="1" t="s">
        <v>56</v>
      </c>
      <c r="BB84" s="4">
        <f t="shared" ref="BB84:BJ84" si="505">IF(ISNUMBER(SEARCH(BB$1,$BA84)), 1, 0)</f>
        <v>0</v>
      </c>
      <c r="BC84" s="4">
        <f t="shared" si="505"/>
        <v>0</v>
      </c>
      <c r="BD84" s="4">
        <f t="shared" si="505"/>
        <v>0</v>
      </c>
      <c r="BE84" s="4">
        <f t="shared" si="505"/>
        <v>1</v>
      </c>
      <c r="BF84" s="4">
        <f t="shared" si="505"/>
        <v>0</v>
      </c>
      <c r="BG84" s="4">
        <f t="shared" si="505"/>
        <v>0</v>
      </c>
      <c r="BH84" s="4">
        <f t="shared" si="505"/>
        <v>0</v>
      </c>
      <c r="BI84" s="4">
        <f t="shared" si="505"/>
        <v>0</v>
      </c>
      <c r="BJ84" s="4">
        <f t="shared" si="505"/>
        <v>0</v>
      </c>
      <c r="BK84" s="4">
        <f t="shared" si="11"/>
        <v>1</v>
      </c>
      <c r="BM84" s="1" t="s">
        <v>190</v>
      </c>
      <c r="BN84" s="1" t="s">
        <v>72</v>
      </c>
      <c r="BO84" s="4">
        <f t="shared" ref="BO84:BU84" si="506">IF(ISNUMBER(SEARCH(BO$1,$BN84)), 1, 0)</f>
        <v>0</v>
      </c>
      <c r="BP84" s="4">
        <f t="shared" si="506"/>
        <v>0</v>
      </c>
      <c r="BQ84" s="4">
        <f t="shared" si="506"/>
        <v>0</v>
      </c>
      <c r="BR84" s="4">
        <f t="shared" si="506"/>
        <v>0</v>
      </c>
      <c r="BS84" s="4">
        <f t="shared" si="506"/>
        <v>0</v>
      </c>
      <c r="BT84" s="4">
        <f t="shared" si="506"/>
        <v>0</v>
      </c>
      <c r="BU84" s="4">
        <f t="shared" si="506"/>
        <v>1</v>
      </c>
      <c r="DC84" s="1" t="s">
        <v>180</v>
      </c>
    </row>
    <row r="85" spans="1:107" ht="15.75" customHeight="1" x14ac:dyDescent="0.25">
      <c r="A85" s="1" t="b">
        <v>1</v>
      </c>
      <c r="B85" s="3">
        <v>46165.45511574074</v>
      </c>
      <c r="C85" s="1" t="s">
        <v>612</v>
      </c>
      <c r="D85" s="1" t="s">
        <v>207</v>
      </c>
      <c r="E85" s="4">
        <f t="shared" ref="E85:K85" si="507">IF(ISNUMBER(SEARCH(E$1,$D85)), SEARCH(E$1,$D85), 0)</f>
        <v>1</v>
      </c>
      <c r="F85" s="4">
        <f t="shared" si="507"/>
        <v>30</v>
      </c>
      <c r="G85" s="4">
        <f t="shared" si="507"/>
        <v>0</v>
      </c>
      <c r="H85" s="4">
        <f t="shared" si="507"/>
        <v>0</v>
      </c>
      <c r="I85" s="4">
        <f t="shared" si="507"/>
        <v>0</v>
      </c>
      <c r="J85" s="4">
        <f t="shared" si="507"/>
        <v>0</v>
      </c>
      <c r="K85" s="4">
        <f t="shared" si="507"/>
        <v>0</v>
      </c>
      <c r="L85" s="4">
        <f t="shared" si="1"/>
        <v>30</v>
      </c>
      <c r="N85" s="1" t="s">
        <v>187</v>
      </c>
      <c r="O85" s="4">
        <f t="shared" ref="O85:T85" si="508">IF(ISNUMBER(SEARCH(O$1,$N85)), 1, 0)</f>
        <v>1</v>
      </c>
      <c r="P85" s="4">
        <f t="shared" si="508"/>
        <v>1</v>
      </c>
      <c r="Q85" s="4">
        <f t="shared" si="508"/>
        <v>1</v>
      </c>
      <c r="R85" s="4">
        <f t="shared" si="508"/>
        <v>1</v>
      </c>
      <c r="S85" s="4">
        <f t="shared" si="508"/>
        <v>1</v>
      </c>
      <c r="T85" s="4">
        <f t="shared" si="508"/>
        <v>1</v>
      </c>
      <c r="V85" s="1" t="s">
        <v>24</v>
      </c>
      <c r="W85" s="1" t="str">
        <f t="shared" si="496"/>
        <v>False</v>
      </c>
      <c r="X85" s="1" t="str">
        <f t="shared" si="496"/>
        <v>False</v>
      </c>
      <c r="Y85" s="1" t="str">
        <f t="shared" si="496"/>
        <v>True</v>
      </c>
      <c r="Z85" s="1" t="str">
        <f t="shared" si="496"/>
        <v>False</v>
      </c>
      <c r="AA85" s="1" t="str">
        <f t="shared" si="496"/>
        <v>False</v>
      </c>
      <c r="AB85" s="1" t="s">
        <v>613</v>
      </c>
      <c r="AC85" s="4">
        <f t="shared" ref="AC85:AH85" si="509">IF(ISNUMBER(SEARCH(AC$1,$AB85)), 1, 0)</f>
        <v>1</v>
      </c>
      <c r="AD85" s="4">
        <f t="shared" si="509"/>
        <v>1</v>
      </c>
      <c r="AE85" s="4">
        <f t="shared" si="509"/>
        <v>0</v>
      </c>
      <c r="AF85" s="4">
        <f t="shared" si="509"/>
        <v>1</v>
      </c>
      <c r="AG85" s="4">
        <f t="shared" si="509"/>
        <v>0</v>
      </c>
      <c r="AH85" s="4">
        <f t="shared" si="509"/>
        <v>1</v>
      </c>
      <c r="AI85" s="1">
        <f t="shared" si="5"/>
        <v>4</v>
      </c>
      <c r="AJ85" s="1" t="s">
        <v>614</v>
      </c>
      <c r="AK85" s="1" t="s">
        <v>365</v>
      </c>
      <c r="AL85" s="4">
        <f t="shared" ref="AL85:AS85" si="510">IF(ISNUMBER(SEARCH(AL$1,$AK85)), 1, 0)</f>
        <v>1</v>
      </c>
      <c r="AM85" s="4">
        <f t="shared" si="510"/>
        <v>1</v>
      </c>
      <c r="AN85" s="4">
        <f t="shared" si="510"/>
        <v>1</v>
      </c>
      <c r="AO85" s="4">
        <f t="shared" si="510"/>
        <v>1</v>
      </c>
      <c r="AP85" s="4">
        <f t="shared" si="510"/>
        <v>1</v>
      </c>
      <c r="AQ85" s="4">
        <f t="shared" si="510"/>
        <v>1</v>
      </c>
      <c r="AR85" s="4">
        <f t="shared" si="510"/>
        <v>1</v>
      </c>
      <c r="AS85" s="4">
        <f t="shared" si="510"/>
        <v>1</v>
      </c>
      <c r="AU85" s="1" t="s">
        <v>48</v>
      </c>
      <c r="AV85" s="1">
        <f t="shared" si="7"/>
        <v>0</v>
      </c>
      <c r="AW85" s="1">
        <f t="shared" si="8"/>
        <v>1</v>
      </c>
      <c r="AX85" s="1">
        <f t="shared" si="9"/>
        <v>0</v>
      </c>
      <c r="AY85" s="1" t="s">
        <v>47</v>
      </c>
      <c r="AZ85" s="1" t="s">
        <v>48</v>
      </c>
      <c r="BA85" s="1" t="s">
        <v>615</v>
      </c>
      <c r="BB85" s="4">
        <f t="shared" ref="BB85:BJ85" si="511">IF(ISNUMBER(SEARCH(BB$1,$BA85)), 1, 0)</f>
        <v>1</v>
      </c>
      <c r="BC85" s="4">
        <f t="shared" si="511"/>
        <v>0</v>
      </c>
      <c r="BD85" s="4">
        <f t="shared" si="511"/>
        <v>0</v>
      </c>
      <c r="BE85" s="4">
        <f t="shared" si="511"/>
        <v>0</v>
      </c>
      <c r="BF85" s="4">
        <f t="shared" si="511"/>
        <v>0</v>
      </c>
      <c r="BG85" s="4">
        <f t="shared" si="511"/>
        <v>0</v>
      </c>
      <c r="BH85" s="4">
        <f t="shared" si="511"/>
        <v>1</v>
      </c>
      <c r="BI85" s="4">
        <f t="shared" si="511"/>
        <v>1</v>
      </c>
      <c r="BJ85" s="4">
        <f t="shared" si="511"/>
        <v>1</v>
      </c>
      <c r="BK85" s="4">
        <f t="shared" si="11"/>
        <v>4</v>
      </c>
      <c r="BO85" s="4">
        <f t="shared" ref="BO85:BU85" si="512">IF(ISNUMBER(SEARCH(BO$1,$BN85)), 1, 0)</f>
        <v>0</v>
      </c>
      <c r="BP85" s="4">
        <f t="shared" si="512"/>
        <v>0</v>
      </c>
      <c r="BQ85" s="4">
        <f t="shared" si="512"/>
        <v>0</v>
      </c>
      <c r="BR85" s="4">
        <f t="shared" si="512"/>
        <v>0</v>
      </c>
      <c r="BS85" s="4">
        <f t="shared" si="512"/>
        <v>0</v>
      </c>
      <c r="BT85" s="4">
        <f t="shared" si="512"/>
        <v>0</v>
      </c>
      <c r="BU85" s="4">
        <f t="shared" si="512"/>
        <v>0</v>
      </c>
      <c r="BW85" s="1" t="s">
        <v>169</v>
      </c>
      <c r="CX85" s="1" t="s">
        <v>534</v>
      </c>
      <c r="CZ85" s="1" t="s">
        <v>616</v>
      </c>
      <c r="DB85" s="1" t="s">
        <v>617</v>
      </c>
      <c r="DC85" s="1" t="s">
        <v>238</v>
      </c>
    </row>
    <row r="86" spans="1:107" ht="15.75" customHeight="1" x14ac:dyDescent="0.25">
      <c r="A86" s="1" t="b">
        <v>1</v>
      </c>
      <c r="B86" s="3">
        <v>46165.493495370371</v>
      </c>
      <c r="C86" s="1" t="s">
        <v>618</v>
      </c>
      <c r="D86" s="1" t="s">
        <v>207</v>
      </c>
      <c r="E86" s="4">
        <f t="shared" ref="E86:K86" si="513">IF(ISNUMBER(SEARCH(E$1,$D86)), SEARCH(E$1,$D86), 0)</f>
        <v>1</v>
      </c>
      <c r="F86" s="4">
        <f t="shared" si="513"/>
        <v>30</v>
      </c>
      <c r="G86" s="4">
        <f t="shared" si="513"/>
        <v>0</v>
      </c>
      <c r="H86" s="4">
        <f t="shared" si="513"/>
        <v>0</v>
      </c>
      <c r="I86" s="4">
        <f t="shared" si="513"/>
        <v>0</v>
      </c>
      <c r="J86" s="4">
        <f t="shared" si="513"/>
        <v>0</v>
      </c>
      <c r="K86" s="4">
        <f t="shared" si="513"/>
        <v>0</v>
      </c>
      <c r="L86" s="4">
        <f t="shared" si="1"/>
        <v>30</v>
      </c>
      <c r="N86" s="1" t="s">
        <v>328</v>
      </c>
      <c r="O86" s="4">
        <f t="shared" ref="O86:T86" si="514">IF(ISNUMBER(SEARCH(O$1,$N86)), 1, 0)</f>
        <v>1</v>
      </c>
      <c r="P86" s="4">
        <f t="shared" si="514"/>
        <v>1</v>
      </c>
      <c r="Q86" s="4">
        <f t="shared" si="514"/>
        <v>1</v>
      </c>
      <c r="R86" s="4">
        <f t="shared" si="514"/>
        <v>0</v>
      </c>
      <c r="S86" s="4">
        <f t="shared" si="514"/>
        <v>0</v>
      </c>
      <c r="T86" s="4">
        <f t="shared" si="514"/>
        <v>0</v>
      </c>
      <c r="W86" s="1" t="str">
        <f t="shared" si="496"/>
        <v>False</v>
      </c>
      <c r="X86" s="1" t="str">
        <f t="shared" si="496"/>
        <v>False</v>
      </c>
      <c r="Y86" s="1" t="str">
        <f t="shared" si="496"/>
        <v>False</v>
      </c>
      <c r="Z86" s="1" t="str">
        <f t="shared" si="496"/>
        <v>False</v>
      </c>
      <c r="AA86" s="1" t="str">
        <f t="shared" si="496"/>
        <v>False</v>
      </c>
      <c r="AB86" s="1" t="s">
        <v>183</v>
      </c>
      <c r="AC86" s="4">
        <f t="shared" ref="AC86:AH86" si="515">IF(ISNUMBER(SEARCH(AC$1,$AB86)), 1, 0)</f>
        <v>0</v>
      </c>
      <c r="AD86" s="4">
        <f t="shared" si="515"/>
        <v>0</v>
      </c>
      <c r="AE86" s="4">
        <f t="shared" si="515"/>
        <v>0</v>
      </c>
      <c r="AF86" s="4">
        <f t="shared" si="515"/>
        <v>0</v>
      </c>
      <c r="AG86" s="4">
        <f t="shared" si="515"/>
        <v>0</v>
      </c>
      <c r="AH86" s="4">
        <f t="shared" si="515"/>
        <v>0</v>
      </c>
      <c r="AI86" s="1">
        <f t="shared" si="5"/>
        <v>0</v>
      </c>
      <c r="AJ86" s="1" t="s">
        <v>619</v>
      </c>
      <c r="AK86" s="1" t="s">
        <v>288</v>
      </c>
      <c r="AL86" s="4">
        <f t="shared" ref="AL86:AS86" si="516">IF(ISNUMBER(SEARCH(AL$1,$AK86)), 1, 0)</f>
        <v>0</v>
      </c>
      <c r="AM86" s="4">
        <f t="shared" si="516"/>
        <v>1</v>
      </c>
      <c r="AN86" s="4">
        <f t="shared" si="516"/>
        <v>0</v>
      </c>
      <c r="AO86" s="4">
        <f t="shared" si="516"/>
        <v>1</v>
      </c>
      <c r="AP86" s="4">
        <f t="shared" si="516"/>
        <v>0</v>
      </c>
      <c r="AQ86" s="4">
        <f t="shared" si="516"/>
        <v>0</v>
      </c>
      <c r="AR86" s="4">
        <f t="shared" si="516"/>
        <v>0</v>
      </c>
      <c r="AS86" s="4">
        <f t="shared" si="516"/>
        <v>0</v>
      </c>
      <c r="AU86" s="1" t="s">
        <v>47</v>
      </c>
      <c r="AV86" s="1">
        <f t="shared" si="7"/>
        <v>1</v>
      </c>
      <c r="AW86" s="1">
        <f t="shared" si="8"/>
        <v>0</v>
      </c>
      <c r="AX86" s="1">
        <f t="shared" si="9"/>
        <v>0</v>
      </c>
      <c r="AY86" s="1" t="s">
        <v>48</v>
      </c>
      <c r="BA86" s="1" t="s">
        <v>61</v>
      </c>
      <c r="BB86" s="4">
        <f t="shared" ref="BB86:BJ86" si="517">IF(ISNUMBER(SEARCH(BB$1,$BA86)), 1, 0)</f>
        <v>0</v>
      </c>
      <c r="BC86" s="4">
        <f t="shared" si="517"/>
        <v>0</v>
      </c>
      <c r="BD86" s="4">
        <f t="shared" si="517"/>
        <v>0</v>
      </c>
      <c r="BE86" s="4">
        <f t="shared" si="517"/>
        <v>0</v>
      </c>
      <c r="BF86" s="4">
        <f t="shared" si="517"/>
        <v>0</v>
      </c>
      <c r="BG86" s="4">
        <f t="shared" si="517"/>
        <v>0</v>
      </c>
      <c r="BH86" s="4">
        <f t="shared" si="517"/>
        <v>0</v>
      </c>
      <c r="BI86" s="4">
        <f t="shared" si="517"/>
        <v>0</v>
      </c>
      <c r="BJ86" s="4">
        <f t="shared" si="517"/>
        <v>1</v>
      </c>
      <c r="BK86" s="4">
        <f t="shared" si="11"/>
        <v>1</v>
      </c>
      <c r="BM86" s="1" t="s">
        <v>166</v>
      </c>
      <c r="BN86" s="1" t="s">
        <v>69</v>
      </c>
      <c r="BO86" s="4">
        <f t="shared" ref="BO86:BU86" si="518">IF(ISNUMBER(SEARCH(BO$1,$BN86)), 1, 0)</f>
        <v>0</v>
      </c>
      <c r="BP86" s="4">
        <f t="shared" si="518"/>
        <v>0</v>
      </c>
      <c r="BQ86" s="4">
        <f t="shared" si="518"/>
        <v>0</v>
      </c>
      <c r="BR86" s="4">
        <f t="shared" si="518"/>
        <v>1</v>
      </c>
      <c r="BS86" s="4">
        <f t="shared" si="518"/>
        <v>0</v>
      </c>
      <c r="BT86" s="4">
        <f t="shared" si="518"/>
        <v>0</v>
      </c>
      <c r="BU86" s="4">
        <f t="shared" si="518"/>
        <v>0</v>
      </c>
      <c r="CX86" s="1" t="s">
        <v>620</v>
      </c>
      <c r="CZ86" s="1" t="s">
        <v>178</v>
      </c>
      <c r="DC86" s="1" t="s">
        <v>180</v>
      </c>
    </row>
    <row r="87" spans="1:107" ht="15.75" customHeight="1" x14ac:dyDescent="0.25">
      <c r="A87" s="1" t="b">
        <v>1</v>
      </c>
      <c r="B87" s="3">
        <v>46165.503668981481</v>
      </c>
      <c r="C87" s="1" t="s">
        <v>621</v>
      </c>
      <c r="D87" s="1" t="s">
        <v>4</v>
      </c>
      <c r="E87" s="4">
        <f t="shared" ref="E87:K87" si="519">IF(ISNUMBER(SEARCH(E$1,$D87)), SEARCH(E$1,$D87), 0)</f>
        <v>1</v>
      </c>
      <c r="F87" s="4">
        <f t="shared" si="519"/>
        <v>0</v>
      </c>
      <c r="G87" s="4">
        <f t="shared" si="519"/>
        <v>0</v>
      </c>
      <c r="H87" s="4">
        <f t="shared" si="519"/>
        <v>0</v>
      </c>
      <c r="I87" s="4">
        <f t="shared" si="519"/>
        <v>0</v>
      </c>
      <c r="J87" s="4">
        <f t="shared" si="519"/>
        <v>0</v>
      </c>
      <c r="K87" s="4">
        <f t="shared" si="519"/>
        <v>0</v>
      </c>
      <c r="L87" s="4">
        <f t="shared" si="1"/>
        <v>1</v>
      </c>
      <c r="N87" s="1" t="s">
        <v>17</v>
      </c>
      <c r="O87" s="4">
        <f t="shared" ref="O87:T87" si="520">IF(ISNUMBER(SEARCH(O$1,$N87)), 1, 0)</f>
        <v>0</v>
      </c>
      <c r="P87" s="4">
        <f t="shared" si="520"/>
        <v>0</v>
      </c>
      <c r="Q87" s="4">
        <f t="shared" si="520"/>
        <v>0</v>
      </c>
      <c r="R87" s="4">
        <f t="shared" si="520"/>
        <v>1</v>
      </c>
      <c r="S87" s="4">
        <f t="shared" si="520"/>
        <v>0</v>
      </c>
      <c r="T87" s="4">
        <f t="shared" si="520"/>
        <v>0</v>
      </c>
      <c r="V87" s="1" t="s">
        <v>23</v>
      </c>
      <c r="W87" s="1" t="str">
        <f t="shared" si="496"/>
        <v>False</v>
      </c>
      <c r="X87" s="1" t="str">
        <f t="shared" si="496"/>
        <v>True</v>
      </c>
      <c r="Y87" s="1" t="str">
        <f t="shared" si="496"/>
        <v>False</v>
      </c>
      <c r="Z87" s="1" t="str">
        <f t="shared" si="496"/>
        <v>False</v>
      </c>
      <c r="AA87" s="1" t="str">
        <f t="shared" si="496"/>
        <v>False</v>
      </c>
      <c r="AB87" s="1" t="s">
        <v>183</v>
      </c>
      <c r="AC87" s="4">
        <f t="shared" ref="AC87:AH87" si="521">IF(ISNUMBER(SEARCH(AC$1,$AB87)), 1, 0)</f>
        <v>0</v>
      </c>
      <c r="AD87" s="4">
        <f t="shared" si="521"/>
        <v>0</v>
      </c>
      <c r="AE87" s="4">
        <f t="shared" si="521"/>
        <v>0</v>
      </c>
      <c r="AF87" s="4">
        <f t="shared" si="521"/>
        <v>0</v>
      </c>
      <c r="AG87" s="4">
        <f t="shared" si="521"/>
        <v>0</v>
      </c>
      <c r="AH87" s="4">
        <f t="shared" si="521"/>
        <v>0</v>
      </c>
      <c r="AI87" s="1">
        <f t="shared" si="5"/>
        <v>0</v>
      </c>
      <c r="AJ87" s="1" t="s">
        <v>402</v>
      </c>
      <c r="AK87" s="1" t="s">
        <v>38</v>
      </c>
      <c r="AL87" s="4">
        <f t="shared" ref="AL87:AS87" si="522">IF(ISNUMBER(SEARCH(AL$1,$AK87)), 1, 0)</f>
        <v>0</v>
      </c>
      <c r="AM87" s="4">
        <f t="shared" si="522"/>
        <v>1</v>
      </c>
      <c r="AN87" s="4">
        <f t="shared" si="522"/>
        <v>0</v>
      </c>
      <c r="AO87" s="4">
        <f t="shared" si="522"/>
        <v>0</v>
      </c>
      <c r="AP87" s="4">
        <f t="shared" si="522"/>
        <v>0</v>
      </c>
      <c r="AQ87" s="4">
        <f t="shared" si="522"/>
        <v>0</v>
      </c>
      <c r="AR87" s="4">
        <f t="shared" si="522"/>
        <v>0</v>
      </c>
      <c r="AS87" s="4">
        <f t="shared" si="522"/>
        <v>0</v>
      </c>
      <c r="AU87" s="1" t="s">
        <v>49</v>
      </c>
      <c r="AV87" s="1">
        <f t="shared" si="7"/>
        <v>0</v>
      </c>
      <c r="AW87" s="1">
        <f t="shared" si="8"/>
        <v>0</v>
      </c>
      <c r="AX87" s="1">
        <f t="shared" si="9"/>
        <v>1</v>
      </c>
      <c r="AY87" s="1" t="s">
        <v>48</v>
      </c>
      <c r="BA87" s="1" t="s">
        <v>61</v>
      </c>
      <c r="BB87" s="4">
        <f t="shared" ref="BB87:BJ87" si="523">IF(ISNUMBER(SEARCH(BB$1,$BA87)), 1, 0)</f>
        <v>0</v>
      </c>
      <c r="BC87" s="4">
        <f t="shared" si="523"/>
        <v>0</v>
      </c>
      <c r="BD87" s="4">
        <f t="shared" si="523"/>
        <v>0</v>
      </c>
      <c r="BE87" s="4">
        <f t="shared" si="523"/>
        <v>0</v>
      </c>
      <c r="BF87" s="4">
        <f t="shared" si="523"/>
        <v>0</v>
      </c>
      <c r="BG87" s="4">
        <f t="shared" si="523"/>
        <v>0</v>
      </c>
      <c r="BH87" s="4">
        <f t="shared" si="523"/>
        <v>0</v>
      </c>
      <c r="BI87" s="4">
        <f t="shared" si="523"/>
        <v>0</v>
      </c>
      <c r="BJ87" s="4">
        <f t="shared" si="523"/>
        <v>1</v>
      </c>
      <c r="BK87" s="4">
        <f t="shared" si="11"/>
        <v>1</v>
      </c>
      <c r="BM87" s="1" t="s">
        <v>232</v>
      </c>
      <c r="BN87" s="1" t="s">
        <v>70</v>
      </c>
      <c r="BO87" s="4">
        <f t="shared" ref="BO87:BU87" si="524">IF(ISNUMBER(SEARCH(BO$1,$BN87)), 1, 0)</f>
        <v>0</v>
      </c>
      <c r="BP87" s="4">
        <f t="shared" si="524"/>
        <v>0</v>
      </c>
      <c r="BQ87" s="4">
        <f t="shared" si="524"/>
        <v>0</v>
      </c>
      <c r="BR87" s="4">
        <f t="shared" si="524"/>
        <v>0</v>
      </c>
      <c r="BS87" s="4">
        <f t="shared" si="524"/>
        <v>1</v>
      </c>
      <c r="BT87" s="4">
        <f t="shared" si="524"/>
        <v>0</v>
      </c>
      <c r="BU87" s="4">
        <f t="shared" si="524"/>
        <v>0</v>
      </c>
      <c r="DC87" s="1" t="s">
        <v>180</v>
      </c>
    </row>
    <row r="88" spans="1:107" ht="15.75" customHeight="1" x14ac:dyDescent="0.25">
      <c r="A88" s="1" t="b">
        <v>1</v>
      </c>
      <c r="B88" s="3">
        <v>46165.772303240738</v>
      </c>
      <c r="C88" s="1" t="s">
        <v>622</v>
      </c>
      <c r="D88" s="1" t="s">
        <v>4</v>
      </c>
      <c r="E88" s="4">
        <f t="shared" ref="E88:K88" si="525">IF(ISNUMBER(SEARCH(E$1,$D88)), SEARCH(E$1,$D88), 0)</f>
        <v>1</v>
      </c>
      <c r="F88" s="4">
        <f t="shared" si="525"/>
        <v>0</v>
      </c>
      <c r="G88" s="4">
        <f t="shared" si="525"/>
        <v>0</v>
      </c>
      <c r="H88" s="4">
        <f t="shared" si="525"/>
        <v>0</v>
      </c>
      <c r="I88" s="4">
        <f t="shared" si="525"/>
        <v>0</v>
      </c>
      <c r="J88" s="4">
        <f t="shared" si="525"/>
        <v>0</v>
      </c>
      <c r="K88" s="4">
        <f t="shared" si="525"/>
        <v>0</v>
      </c>
      <c r="L88" s="4">
        <f t="shared" si="1"/>
        <v>1</v>
      </c>
      <c r="N88" s="1" t="s">
        <v>208</v>
      </c>
      <c r="O88" s="4">
        <f t="shared" ref="O88:T88" si="526">IF(ISNUMBER(SEARCH(O$1,$N88)), 1, 0)</f>
        <v>1</v>
      </c>
      <c r="P88" s="4">
        <f t="shared" si="526"/>
        <v>1</v>
      </c>
      <c r="Q88" s="4">
        <f t="shared" si="526"/>
        <v>0</v>
      </c>
      <c r="R88" s="4">
        <f t="shared" si="526"/>
        <v>1</v>
      </c>
      <c r="S88" s="4">
        <f t="shared" si="526"/>
        <v>0</v>
      </c>
      <c r="T88" s="4">
        <f t="shared" si="526"/>
        <v>0</v>
      </c>
      <c r="W88" s="1" t="str">
        <f t="shared" si="496"/>
        <v>False</v>
      </c>
      <c r="X88" s="1" t="str">
        <f t="shared" si="496"/>
        <v>False</v>
      </c>
      <c r="Y88" s="1" t="str">
        <f t="shared" si="496"/>
        <v>False</v>
      </c>
      <c r="Z88" s="1" t="str">
        <f t="shared" si="496"/>
        <v>False</v>
      </c>
      <c r="AA88" s="1" t="str">
        <f t="shared" si="496"/>
        <v>False</v>
      </c>
      <c r="AB88" s="1" t="s">
        <v>487</v>
      </c>
      <c r="AC88" s="4">
        <f t="shared" ref="AC88:AH88" si="527">IF(ISNUMBER(SEARCH(AC$1,$AB88)), 1, 0)</f>
        <v>0</v>
      </c>
      <c r="AD88" s="4">
        <f t="shared" si="527"/>
        <v>0</v>
      </c>
      <c r="AE88" s="4">
        <f t="shared" si="527"/>
        <v>0</v>
      </c>
      <c r="AF88" s="4">
        <f t="shared" si="527"/>
        <v>1</v>
      </c>
      <c r="AG88" s="4">
        <f t="shared" si="527"/>
        <v>0</v>
      </c>
      <c r="AH88" s="4">
        <f t="shared" si="527"/>
        <v>1</v>
      </c>
      <c r="AI88" s="1">
        <f t="shared" si="5"/>
        <v>2</v>
      </c>
      <c r="AK88" s="1" t="s">
        <v>623</v>
      </c>
      <c r="AL88" s="4">
        <f t="shared" ref="AL88:AS88" si="528">IF(ISNUMBER(SEARCH(AL$1,$AK88)), 1, 0)</f>
        <v>0</v>
      </c>
      <c r="AM88" s="4">
        <f t="shared" si="528"/>
        <v>1</v>
      </c>
      <c r="AN88" s="4">
        <f t="shared" si="528"/>
        <v>1</v>
      </c>
      <c r="AO88" s="4">
        <f t="shared" si="528"/>
        <v>1</v>
      </c>
      <c r="AP88" s="4">
        <f t="shared" si="528"/>
        <v>1</v>
      </c>
      <c r="AQ88" s="4">
        <f t="shared" si="528"/>
        <v>1</v>
      </c>
      <c r="AR88" s="4">
        <f t="shared" si="528"/>
        <v>0</v>
      </c>
      <c r="AS88" s="4">
        <f t="shared" si="528"/>
        <v>0</v>
      </c>
      <c r="AU88" s="1" t="s">
        <v>47</v>
      </c>
      <c r="AV88" s="1">
        <f t="shared" si="7"/>
        <v>1</v>
      </c>
      <c r="AW88" s="1">
        <f t="shared" si="8"/>
        <v>0</v>
      </c>
      <c r="AX88" s="1">
        <f t="shared" si="9"/>
        <v>0</v>
      </c>
      <c r="AY88" s="1" t="s">
        <v>48</v>
      </c>
      <c r="BA88" s="1" t="s">
        <v>624</v>
      </c>
      <c r="BB88" s="4">
        <f t="shared" ref="BB88:BJ88" si="529">IF(ISNUMBER(SEARCH(BB$1,$BA88)), 1, 0)</f>
        <v>0</v>
      </c>
      <c r="BC88" s="4">
        <f t="shared" si="529"/>
        <v>0</v>
      </c>
      <c r="BD88" s="4">
        <f t="shared" si="529"/>
        <v>0</v>
      </c>
      <c r="BE88" s="4">
        <f t="shared" si="529"/>
        <v>1</v>
      </c>
      <c r="BF88" s="4">
        <f t="shared" si="529"/>
        <v>0</v>
      </c>
      <c r="BG88" s="4">
        <f t="shared" si="529"/>
        <v>1</v>
      </c>
      <c r="BH88" s="4">
        <f t="shared" si="529"/>
        <v>0</v>
      </c>
      <c r="BI88" s="4">
        <f t="shared" si="529"/>
        <v>0</v>
      </c>
      <c r="BJ88" s="4">
        <f t="shared" si="529"/>
        <v>1</v>
      </c>
      <c r="BK88" s="4">
        <f t="shared" si="11"/>
        <v>3</v>
      </c>
      <c r="BM88" s="1" t="s">
        <v>232</v>
      </c>
      <c r="BN88" s="1" t="s">
        <v>625</v>
      </c>
      <c r="BO88" s="4">
        <f t="shared" ref="BO88:BU88" si="530">IF(ISNUMBER(SEARCH(BO$1,$BN88)), 1, 0)</f>
        <v>1</v>
      </c>
      <c r="BP88" s="4">
        <f t="shared" si="530"/>
        <v>0</v>
      </c>
      <c r="BQ88" s="4">
        <f t="shared" si="530"/>
        <v>0</v>
      </c>
      <c r="BR88" s="4">
        <f t="shared" si="530"/>
        <v>0</v>
      </c>
      <c r="BS88" s="4">
        <f t="shared" si="530"/>
        <v>1</v>
      </c>
      <c r="BT88" s="4">
        <f t="shared" si="530"/>
        <v>0</v>
      </c>
      <c r="BU88" s="4">
        <f t="shared" si="530"/>
        <v>0</v>
      </c>
      <c r="DC88" s="1" t="s">
        <v>180</v>
      </c>
    </row>
    <row r="89" spans="1:107" ht="15.75" customHeight="1" x14ac:dyDescent="0.25">
      <c r="A89" s="1" t="b">
        <v>1</v>
      </c>
      <c r="B89" s="3">
        <v>46165.828402777777</v>
      </c>
      <c r="C89" s="1" t="s">
        <v>626</v>
      </c>
      <c r="D89" s="1" t="s">
        <v>5</v>
      </c>
      <c r="E89" s="4">
        <f t="shared" ref="E89:K89" si="531">IF(ISNUMBER(SEARCH(E$1,$D89)), SEARCH(E$1,$D89), 0)</f>
        <v>0</v>
      </c>
      <c r="F89" s="4">
        <f t="shared" si="531"/>
        <v>1</v>
      </c>
      <c r="G89" s="4">
        <f t="shared" si="531"/>
        <v>0</v>
      </c>
      <c r="H89" s="4">
        <f t="shared" si="531"/>
        <v>0</v>
      </c>
      <c r="I89" s="4">
        <f t="shared" si="531"/>
        <v>0</v>
      </c>
      <c r="J89" s="4">
        <f t="shared" si="531"/>
        <v>0</v>
      </c>
      <c r="K89" s="4">
        <f t="shared" si="531"/>
        <v>0</v>
      </c>
      <c r="L89" s="4">
        <f t="shared" si="1"/>
        <v>1</v>
      </c>
      <c r="N89" s="1" t="s">
        <v>14</v>
      </c>
      <c r="O89" s="4">
        <f t="shared" ref="O89:T89" si="532">IF(ISNUMBER(SEARCH(O$1,$N89)), 1, 0)</f>
        <v>1</v>
      </c>
      <c r="P89" s="4">
        <f t="shared" si="532"/>
        <v>0</v>
      </c>
      <c r="Q89" s="4">
        <f t="shared" si="532"/>
        <v>0</v>
      </c>
      <c r="R89" s="4">
        <f t="shared" si="532"/>
        <v>0</v>
      </c>
      <c r="S89" s="4">
        <f t="shared" si="532"/>
        <v>0</v>
      </c>
      <c r="T89" s="4">
        <f t="shared" si="532"/>
        <v>0</v>
      </c>
      <c r="W89" s="1" t="str">
        <f t="shared" si="496"/>
        <v>False</v>
      </c>
      <c r="X89" s="1" t="str">
        <f t="shared" si="496"/>
        <v>False</v>
      </c>
      <c r="Y89" s="1" t="str">
        <f t="shared" si="496"/>
        <v>False</v>
      </c>
      <c r="Z89" s="1" t="str">
        <f t="shared" si="496"/>
        <v>False</v>
      </c>
      <c r="AA89" s="1" t="str">
        <f t="shared" si="496"/>
        <v>False</v>
      </c>
      <c r="AB89" s="1" t="s">
        <v>311</v>
      </c>
      <c r="AC89" s="4">
        <f t="shared" ref="AC89:AH89" si="533">IF(ISNUMBER(SEARCH(AC$1,$AB89)), 1, 0)</f>
        <v>1</v>
      </c>
      <c r="AD89" s="4">
        <f t="shared" si="533"/>
        <v>0</v>
      </c>
      <c r="AE89" s="4">
        <f t="shared" si="533"/>
        <v>0</v>
      </c>
      <c r="AF89" s="4">
        <f t="shared" si="533"/>
        <v>0</v>
      </c>
      <c r="AG89" s="4">
        <f t="shared" si="533"/>
        <v>0</v>
      </c>
      <c r="AH89" s="4">
        <f t="shared" si="533"/>
        <v>0</v>
      </c>
      <c r="AI89" s="1">
        <f t="shared" si="5"/>
        <v>1</v>
      </c>
      <c r="AJ89" s="1" t="s">
        <v>627</v>
      </c>
      <c r="AK89" s="1" t="s">
        <v>470</v>
      </c>
      <c r="AL89" s="4">
        <f t="shared" ref="AL89:AS89" si="534">IF(ISNUMBER(SEARCH(AL$1,$AK89)), 1, 0)</f>
        <v>0</v>
      </c>
      <c r="AM89" s="4">
        <f t="shared" si="534"/>
        <v>1</v>
      </c>
      <c r="AN89" s="4">
        <f t="shared" si="534"/>
        <v>0</v>
      </c>
      <c r="AO89" s="4">
        <f t="shared" si="534"/>
        <v>1</v>
      </c>
      <c r="AP89" s="4">
        <f t="shared" si="534"/>
        <v>0</v>
      </c>
      <c r="AQ89" s="4">
        <f t="shared" si="534"/>
        <v>1</v>
      </c>
      <c r="AR89" s="4">
        <f t="shared" si="534"/>
        <v>0</v>
      </c>
      <c r="AS89" s="4">
        <f t="shared" si="534"/>
        <v>0</v>
      </c>
      <c r="AU89" s="1" t="s">
        <v>47</v>
      </c>
      <c r="AV89" s="1">
        <f t="shared" si="7"/>
        <v>1</v>
      </c>
      <c r="AW89" s="1">
        <f t="shared" si="8"/>
        <v>0</v>
      </c>
      <c r="AX89" s="1">
        <f t="shared" si="9"/>
        <v>0</v>
      </c>
      <c r="AY89" s="1" t="s">
        <v>48</v>
      </c>
      <c r="BA89" s="1" t="s">
        <v>628</v>
      </c>
      <c r="BB89" s="4">
        <f t="shared" ref="BB89:BJ89" si="535">IF(ISNUMBER(SEARCH(BB$1,$BA89)), 1, 0)</f>
        <v>1</v>
      </c>
      <c r="BC89" s="4">
        <f t="shared" si="535"/>
        <v>0</v>
      </c>
      <c r="BD89" s="4">
        <f t="shared" si="535"/>
        <v>1</v>
      </c>
      <c r="BE89" s="4">
        <f t="shared" si="535"/>
        <v>1</v>
      </c>
      <c r="BF89" s="4">
        <f t="shared" si="535"/>
        <v>1</v>
      </c>
      <c r="BG89" s="4">
        <f t="shared" si="535"/>
        <v>0</v>
      </c>
      <c r="BH89" s="4">
        <f t="shared" si="535"/>
        <v>0</v>
      </c>
      <c r="BI89" s="4">
        <f t="shared" si="535"/>
        <v>0</v>
      </c>
      <c r="BJ89" s="4">
        <f t="shared" si="535"/>
        <v>1</v>
      </c>
      <c r="BK89" s="4">
        <f t="shared" si="11"/>
        <v>5</v>
      </c>
      <c r="BM89" s="1" t="s">
        <v>232</v>
      </c>
      <c r="BN89" s="1" t="s">
        <v>629</v>
      </c>
      <c r="BO89" s="4">
        <f t="shared" ref="BO89:BU89" si="536">IF(ISNUMBER(SEARCH(BO$1,$BN89)), 1, 0)</f>
        <v>0</v>
      </c>
      <c r="BP89" s="4">
        <f t="shared" si="536"/>
        <v>0</v>
      </c>
      <c r="BQ89" s="4">
        <f t="shared" si="536"/>
        <v>0</v>
      </c>
      <c r="BR89" s="4">
        <f t="shared" si="536"/>
        <v>0</v>
      </c>
      <c r="BS89" s="4">
        <f t="shared" si="536"/>
        <v>1</v>
      </c>
      <c r="BT89" s="4">
        <f t="shared" si="536"/>
        <v>1</v>
      </c>
      <c r="BU89" s="4">
        <f t="shared" si="536"/>
        <v>0</v>
      </c>
      <c r="CX89" s="1" t="s">
        <v>630</v>
      </c>
      <c r="CZ89" s="1" t="s">
        <v>631</v>
      </c>
      <c r="DC89" s="1" t="s">
        <v>238</v>
      </c>
    </row>
    <row r="90" spans="1:107" ht="15.75" customHeight="1" x14ac:dyDescent="0.25">
      <c r="A90" s="1" t="b">
        <v>0</v>
      </c>
      <c r="B90" s="3">
        <v>46166.174571759257</v>
      </c>
      <c r="C90" s="1" t="s">
        <v>632</v>
      </c>
      <c r="D90" s="1" t="s">
        <v>5</v>
      </c>
      <c r="E90" s="4">
        <f t="shared" ref="E90:K90" si="537">IF(ISNUMBER(SEARCH(E$1,$D90)), SEARCH(E$1,$D90), 0)</f>
        <v>0</v>
      </c>
      <c r="F90" s="4">
        <f t="shared" si="537"/>
        <v>1</v>
      </c>
      <c r="G90" s="4">
        <f t="shared" si="537"/>
        <v>0</v>
      </c>
      <c r="H90" s="4">
        <f t="shared" si="537"/>
        <v>0</v>
      </c>
      <c r="I90" s="4">
        <f t="shared" si="537"/>
        <v>0</v>
      </c>
      <c r="J90" s="4">
        <f t="shared" si="537"/>
        <v>0</v>
      </c>
      <c r="K90" s="4">
        <f t="shared" si="537"/>
        <v>0</v>
      </c>
      <c r="L90" s="4">
        <f t="shared" si="1"/>
        <v>1</v>
      </c>
      <c r="N90" s="1" t="s">
        <v>240</v>
      </c>
      <c r="O90" s="4">
        <f t="shared" ref="O90:T90" si="538">IF(ISNUMBER(SEARCH(O$1,$N90)), 1, 0)</f>
        <v>1</v>
      </c>
      <c r="P90" s="4">
        <f t="shared" si="538"/>
        <v>1</v>
      </c>
      <c r="Q90" s="4">
        <f t="shared" si="538"/>
        <v>1</v>
      </c>
      <c r="R90" s="4">
        <f t="shared" si="538"/>
        <v>1</v>
      </c>
      <c r="S90" s="4">
        <f t="shared" si="538"/>
        <v>0</v>
      </c>
      <c r="T90" s="4">
        <f t="shared" si="538"/>
        <v>0</v>
      </c>
      <c r="W90" s="1" t="str">
        <f t="shared" si="496"/>
        <v>False</v>
      </c>
      <c r="X90" s="1" t="str">
        <f t="shared" si="496"/>
        <v>False</v>
      </c>
      <c r="Y90" s="1" t="str">
        <f t="shared" si="496"/>
        <v>False</v>
      </c>
      <c r="Z90" s="1" t="str">
        <f t="shared" si="496"/>
        <v>False</v>
      </c>
      <c r="AA90" s="1" t="str">
        <f t="shared" si="496"/>
        <v>False</v>
      </c>
      <c r="AC90" s="4">
        <f t="shared" ref="AC90:AH90" si="539">IF(ISNUMBER(SEARCH(AC$1,$AB90)), 1, 0)</f>
        <v>0</v>
      </c>
      <c r="AD90" s="4">
        <f t="shared" si="539"/>
        <v>0</v>
      </c>
      <c r="AE90" s="4">
        <f t="shared" si="539"/>
        <v>0</v>
      </c>
      <c r="AF90" s="4">
        <f t="shared" si="539"/>
        <v>0</v>
      </c>
      <c r="AG90" s="4">
        <f t="shared" si="539"/>
        <v>0</v>
      </c>
      <c r="AH90" s="4">
        <f t="shared" si="539"/>
        <v>0</v>
      </c>
      <c r="AI90" s="1">
        <f t="shared" si="5"/>
        <v>0</v>
      </c>
      <c r="AL90" s="4">
        <f t="shared" ref="AL90:AS90" si="540">IF(ISNUMBER(SEARCH(AL$1,$AK90)), 1, 0)</f>
        <v>0</v>
      </c>
      <c r="AM90" s="4">
        <f t="shared" si="540"/>
        <v>0</v>
      </c>
      <c r="AN90" s="4">
        <f t="shared" si="540"/>
        <v>0</v>
      </c>
      <c r="AO90" s="4">
        <f t="shared" si="540"/>
        <v>0</v>
      </c>
      <c r="AP90" s="4">
        <f t="shared" si="540"/>
        <v>0</v>
      </c>
      <c r="AQ90" s="4">
        <f t="shared" si="540"/>
        <v>0</v>
      </c>
      <c r="AR90" s="4">
        <f t="shared" si="540"/>
        <v>0</v>
      </c>
      <c r="AS90" s="4">
        <f t="shared" si="540"/>
        <v>0</v>
      </c>
      <c r="AV90" s="1">
        <f t="shared" si="7"/>
        <v>0</v>
      </c>
      <c r="AW90" s="1">
        <f t="shared" si="8"/>
        <v>0</v>
      </c>
      <c r="AX90" s="1">
        <f t="shared" si="9"/>
        <v>0</v>
      </c>
      <c r="BB90" s="4">
        <f t="shared" ref="BB90:BJ90" si="541">IF(ISNUMBER(SEARCH(BB$1,$BA90)), 1, 0)</f>
        <v>0</v>
      </c>
      <c r="BC90" s="4">
        <f t="shared" si="541"/>
        <v>0</v>
      </c>
      <c r="BD90" s="4">
        <f t="shared" si="541"/>
        <v>0</v>
      </c>
      <c r="BE90" s="4">
        <f t="shared" si="541"/>
        <v>0</v>
      </c>
      <c r="BF90" s="4">
        <f t="shared" si="541"/>
        <v>0</v>
      </c>
      <c r="BG90" s="4">
        <f t="shared" si="541"/>
        <v>0</v>
      </c>
      <c r="BH90" s="4">
        <f t="shared" si="541"/>
        <v>0</v>
      </c>
      <c r="BI90" s="4">
        <f t="shared" si="541"/>
        <v>0</v>
      </c>
      <c r="BJ90" s="4">
        <f t="shared" si="541"/>
        <v>0</v>
      </c>
      <c r="BK90" s="4">
        <f t="shared" si="11"/>
        <v>0</v>
      </c>
      <c r="BO90" s="4">
        <f t="shared" ref="BO90:BU90" si="542">IF(ISNUMBER(SEARCH(BO$1,$BN90)), 1, 0)</f>
        <v>0</v>
      </c>
      <c r="BP90" s="4">
        <f t="shared" si="542"/>
        <v>0</v>
      </c>
      <c r="BQ90" s="4">
        <f t="shared" si="542"/>
        <v>0</v>
      </c>
      <c r="BR90" s="4">
        <f t="shared" si="542"/>
        <v>0</v>
      </c>
      <c r="BS90" s="4">
        <f t="shared" si="542"/>
        <v>0</v>
      </c>
      <c r="BT90" s="4">
        <f t="shared" si="542"/>
        <v>0</v>
      </c>
      <c r="BU90" s="4">
        <f t="shared" si="542"/>
        <v>0</v>
      </c>
    </row>
    <row r="91" spans="1:107" ht="15.75" customHeight="1" x14ac:dyDescent="0.25">
      <c r="A91" s="1" t="b">
        <v>1</v>
      </c>
      <c r="B91" s="3">
        <v>46166.365081018521</v>
      </c>
      <c r="C91" s="1" t="s">
        <v>633</v>
      </c>
      <c r="D91" s="1" t="s">
        <v>4</v>
      </c>
      <c r="E91" s="4">
        <f t="shared" ref="E91:K91" si="543">IF(ISNUMBER(SEARCH(E$1,$D91)), SEARCH(E$1,$D91), 0)</f>
        <v>1</v>
      </c>
      <c r="F91" s="4">
        <f t="shared" si="543"/>
        <v>0</v>
      </c>
      <c r="G91" s="4">
        <f t="shared" si="543"/>
        <v>0</v>
      </c>
      <c r="H91" s="4">
        <f t="shared" si="543"/>
        <v>0</v>
      </c>
      <c r="I91" s="4">
        <f t="shared" si="543"/>
        <v>0</v>
      </c>
      <c r="J91" s="4">
        <f t="shared" si="543"/>
        <v>0</v>
      </c>
      <c r="K91" s="4">
        <f t="shared" si="543"/>
        <v>0</v>
      </c>
      <c r="L91" s="4">
        <f t="shared" si="1"/>
        <v>1</v>
      </c>
      <c r="N91" s="1" t="s">
        <v>634</v>
      </c>
      <c r="O91" s="4">
        <f t="shared" ref="O91:T91" si="544">IF(ISNUMBER(SEARCH(O$1,$N91)), 1, 0)</f>
        <v>0</v>
      </c>
      <c r="P91" s="4">
        <f t="shared" si="544"/>
        <v>1</v>
      </c>
      <c r="Q91" s="4">
        <f t="shared" si="544"/>
        <v>1</v>
      </c>
      <c r="R91" s="4">
        <f t="shared" si="544"/>
        <v>1</v>
      </c>
      <c r="S91" s="4">
        <f t="shared" si="544"/>
        <v>0</v>
      </c>
      <c r="T91" s="4">
        <f t="shared" si="544"/>
        <v>0</v>
      </c>
      <c r="V91" s="1" t="s">
        <v>25</v>
      </c>
      <c r="W91" s="1" t="str">
        <f t="shared" si="496"/>
        <v>False</v>
      </c>
      <c r="X91" s="1" t="str">
        <f t="shared" si="496"/>
        <v>False</v>
      </c>
      <c r="Y91" s="1" t="str">
        <f t="shared" si="496"/>
        <v>False</v>
      </c>
      <c r="Z91" s="1" t="str">
        <f t="shared" si="496"/>
        <v>True</v>
      </c>
      <c r="AA91" s="1" t="str">
        <f t="shared" si="496"/>
        <v>False</v>
      </c>
      <c r="AB91" s="1" t="s">
        <v>487</v>
      </c>
      <c r="AC91" s="4">
        <f t="shared" ref="AC91:AH91" si="545">IF(ISNUMBER(SEARCH(AC$1,$AB91)), 1, 0)</f>
        <v>0</v>
      </c>
      <c r="AD91" s="4">
        <f t="shared" si="545"/>
        <v>0</v>
      </c>
      <c r="AE91" s="4">
        <f t="shared" si="545"/>
        <v>0</v>
      </c>
      <c r="AF91" s="4">
        <f t="shared" si="545"/>
        <v>1</v>
      </c>
      <c r="AG91" s="4">
        <f t="shared" si="545"/>
        <v>0</v>
      </c>
      <c r="AH91" s="4">
        <f t="shared" si="545"/>
        <v>1</v>
      </c>
      <c r="AI91" s="1">
        <f t="shared" si="5"/>
        <v>2</v>
      </c>
      <c r="AK91" s="1" t="s">
        <v>246</v>
      </c>
      <c r="AL91" s="4">
        <f t="shared" ref="AL91:AS91" si="546">IF(ISNUMBER(SEARCH(AL$1,$AK91)), 1, 0)</f>
        <v>1</v>
      </c>
      <c r="AM91" s="4">
        <f t="shared" si="546"/>
        <v>1</v>
      </c>
      <c r="AN91" s="4">
        <f t="shared" si="546"/>
        <v>0</v>
      </c>
      <c r="AO91" s="4">
        <f t="shared" si="546"/>
        <v>1</v>
      </c>
      <c r="AP91" s="4">
        <f t="shared" si="546"/>
        <v>0</v>
      </c>
      <c r="AQ91" s="4">
        <f t="shared" si="546"/>
        <v>1</v>
      </c>
      <c r="AR91" s="4">
        <f t="shared" si="546"/>
        <v>0</v>
      </c>
      <c r="AS91" s="4">
        <f t="shared" si="546"/>
        <v>0</v>
      </c>
      <c r="AU91" s="1" t="s">
        <v>48</v>
      </c>
      <c r="AV91" s="1">
        <f t="shared" si="7"/>
        <v>0</v>
      </c>
      <c r="AW91" s="1">
        <f t="shared" si="8"/>
        <v>1</v>
      </c>
      <c r="AX91" s="1">
        <f t="shared" si="9"/>
        <v>0</v>
      </c>
      <c r="AY91" s="1" t="s">
        <v>47</v>
      </c>
      <c r="AZ91" s="1" t="s">
        <v>48</v>
      </c>
      <c r="BA91" s="1" t="s">
        <v>61</v>
      </c>
      <c r="BB91" s="4">
        <f t="shared" ref="BB91:BJ91" si="547">IF(ISNUMBER(SEARCH(BB$1,$BA91)), 1, 0)</f>
        <v>0</v>
      </c>
      <c r="BC91" s="4">
        <f t="shared" si="547"/>
        <v>0</v>
      </c>
      <c r="BD91" s="4">
        <f t="shared" si="547"/>
        <v>0</v>
      </c>
      <c r="BE91" s="4">
        <f t="shared" si="547"/>
        <v>0</v>
      </c>
      <c r="BF91" s="4">
        <f t="shared" si="547"/>
        <v>0</v>
      </c>
      <c r="BG91" s="4">
        <f t="shared" si="547"/>
        <v>0</v>
      </c>
      <c r="BH91" s="4">
        <f t="shared" si="547"/>
        <v>0</v>
      </c>
      <c r="BI91" s="4">
        <f t="shared" si="547"/>
        <v>0</v>
      </c>
      <c r="BJ91" s="4">
        <f t="shared" si="547"/>
        <v>1</v>
      </c>
      <c r="BK91" s="4">
        <f t="shared" si="11"/>
        <v>1</v>
      </c>
      <c r="BO91" s="4">
        <f t="shared" ref="BO91:BU91" si="548">IF(ISNUMBER(SEARCH(BO$1,$BN91)), 1, 0)</f>
        <v>0</v>
      </c>
      <c r="BP91" s="4">
        <f t="shared" si="548"/>
        <v>0</v>
      </c>
      <c r="BQ91" s="4">
        <f t="shared" si="548"/>
        <v>0</v>
      </c>
      <c r="BR91" s="4">
        <f t="shared" si="548"/>
        <v>0</v>
      </c>
      <c r="BS91" s="4">
        <f t="shared" si="548"/>
        <v>0</v>
      </c>
      <c r="BT91" s="4">
        <f t="shared" si="548"/>
        <v>0</v>
      </c>
      <c r="BU91" s="4">
        <f t="shared" si="548"/>
        <v>0</v>
      </c>
      <c r="BW91" s="1" t="s">
        <v>212</v>
      </c>
      <c r="DC91" s="1" t="s">
        <v>180</v>
      </c>
    </row>
    <row r="92" spans="1:107" ht="15.75" customHeight="1" x14ac:dyDescent="0.25">
      <c r="A92" s="1" t="b">
        <v>1</v>
      </c>
      <c r="B92" s="3">
        <v>46166.38758101852</v>
      </c>
      <c r="C92" s="1" t="s">
        <v>635</v>
      </c>
      <c r="D92" s="1" t="s">
        <v>207</v>
      </c>
      <c r="E92" s="4">
        <f t="shared" ref="E92:K92" si="549">IF(ISNUMBER(SEARCH(E$1,$D92)), SEARCH(E$1,$D92), 0)</f>
        <v>1</v>
      </c>
      <c r="F92" s="4">
        <f t="shared" si="549"/>
        <v>30</v>
      </c>
      <c r="G92" s="4">
        <f t="shared" si="549"/>
        <v>0</v>
      </c>
      <c r="H92" s="4">
        <f t="shared" si="549"/>
        <v>0</v>
      </c>
      <c r="I92" s="4">
        <f t="shared" si="549"/>
        <v>0</v>
      </c>
      <c r="J92" s="4">
        <f t="shared" si="549"/>
        <v>0</v>
      </c>
      <c r="K92" s="4">
        <f t="shared" si="549"/>
        <v>0</v>
      </c>
      <c r="L92" s="4">
        <f t="shared" si="1"/>
        <v>30</v>
      </c>
      <c r="N92" s="1" t="s">
        <v>244</v>
      </c>
      <c r="O92" s="4">
        <f t="shared" ref="O92:T92" si="550">IF(ISNUMBER(SEARCH(O$1,$N92)), 1, 0)</f>
        <v>1</v>
      </c>
      <c r="P92" s="4">
        <f t="shared" si="550"/>
        <v>0</v>
      </c>
      <c r="Q92" s="4">
        <f t="shared" si="550"/>
        <v>1</v>
      </c>
      <c r="R92" s="4">
        <f t="shared" si="550"/>
        <v>1</v>
      </c>
      <c r="S92" s="4">
        <f t="shared" si="550"/>
        <v>0</v>
      </c>
      <c r="T92" s="4">
        <f t="shared" si="550"/>
        <v>0</v>
      </c>
      <c r="V92" s="1" t="s">
        <v>24</v>
      </c>
      <c r="W92" s="1" t="str">
        <f t="shared" si="496"/>
        <v>False</v>
      </c>
      <c r="X92" s="1" t="str">
        <f t="shared" si="496"/>
        <v>False</v>
      </c>
      <c r="Y92" s="1" t="str">
        <f t="shared" si="496"/>
        <v>True</v>
      </c>
      <c r="Z92" s="1" t="str">
        <f t="shared" si="496"/>
        <v>False</v>
      </c>
      <c r="AA92" s="1" t="str">
        <f t="shared" si="496"/>
        <v>False</v>
      </c>
      <c r="AB92" s="1" t="s">
        <v>357</v>
      </c>
      <c r="AC92" s="4">
        <f t="shared" ref="AC92:AH92" si="551">IF(ISNUMBER(SEARCH(AC$1,$AB92)), 1, 0)</f>
        <v>1</v>
      </c>
      <c r="AD92" s="4">
        <f t="shared" si="551"/>
        <v>0</v>
      </c>
      <c r="AE92" s="4">
        <f t="shared" si="551"/>
        <v>0</v>
      </c>
      <c r="AF92" s="4">
        <f t="shared" si="551"/>
        <v>0</v>
      </c>
      <c r="AG92" s="4">
        <f t="shared" si="551"/>
        <v>0</v>
      </c>
      <c r="AH92" s="4">
        <f t="shared" si="551"/>
        <v>1</v>
      </c>
      <c r="AI92" s="1">
        <f t="shared" si="5"/>
        <v>2</v>
      </c>
      <c r="AK92" s="1" t="s">
        <v>259</v>
      </c>
      <c r="AL92" s="4">
        <f t="shared" ref="AL92:AS92" si="552">IF(ISNUMBER(SEARCH(AL$1,$AK92)), 1, 0)</f>
        <v>1</v>
      </c>
      <c r="AM92" s="4">
        <f t="shared" si="552"/>
        <v>1</v>
      </c>
      <c r="AN92" s="4">
        <f t="shared" si="552"/>
        <v>0</v>
      </c>
      <c r="AO92" s="4">
        <f t="shared" si="552"/>
        <v>1</v>
      </c>
      <c r="AP92" s="4">
        <f t="shared" si="552"/>
        <v>0</v>
      </c>
      <c r="AQ92" s="4">
        <f t="shared" si="552"/>
        <v>0</v>
      </c>
      <c r="AR92" s="4">
        <f t="shared" si="552"/>
        <v>0</v>
      </c>
      <c r="AS92" s="4">
        <f t="shared" si="552"/>
        <v>0</v>
      </c>
      <c r="AU92" s="1" t="s">
        <v>47</v>
      </c>
      <c r="AV92" s="1">
        <f t="shared" si="7"/>
        <v>1</v>
      </c>
      <c r="AW92" s="1">
        <f t="shared" si="8"/>
        <v>0</v>
      </c>
      <c r="AX92" s="1">
        <f t="shared" si="9"/>
        <v>0</v>
      </c>
      <c r="AY92" s="1" t="s">
        <v>48</v>
      </c>
      <c r="BA92" s="1" t="s">
        <v>318</v>
      </c>
      <c r="BB92" s="4">
        <f t="shared" ref="BB92:BJ92" si="553">IF(ISNUMBER(SEARCH(BB$1,$BA92)), 1, 0)</f>
        <v>0</v>
      </c>
      <c r="BC92" s="4">
        <f t="shared" si="553"/>
        <v>0</v>
      </c>
      <c r="BD92" s="4">
        <f t="shared" si="553"/>
        <v>1</v>
      </c>
      <c r="BE92" s="4">
        <f t="shared" si="553"/>
        <v>1</v>
      </c>
      <c r="BF92" s="4">
        <f t="shared" si="553"/>
        <v>1</v>
      </c>
      <c r="BG92" s="4">
        <f t="shared" si="553"/>
        <v>1</v>
      </c>
      <c r="BH92" s="4">
        <f t="shared" si="553"/>
        <v>0</v>
      </c>
      <c r="BI92" s="4">
        <f t="shared" si="553"/>
        <v>0</v>
      </c>
      <c r="BJ92" s="4">
        <f t="shared" si="553"/>
        <v>1</v>
      </c>
      <c r="BK92" s="4">
        <f t="shared" si="11"/>
        <v>5</v>
      </c>
      <c r="BM92" s="1" t="s">
        <v>232</v>
      </c>
      <c r="BN92" s="1" t="s">
        <v>340</v>
      </c>
      <c r="BO92" s="4">
        <f t="shared" ref="BO92:BU92" si="554">IF(ISNUMBER(SEARCH(BO$1,$BN92)), 1, 0)</f>
        <v>1</v>
      </c>
      <c r="BP92" s="4">
        <f t="shared" si="554"/>
        <v>1</v>
      </c>
      <c r="BQ92" s="4">
        <f t="shared" si="554"/>
        <v>0</v>
      </c>
      <c r="BR92" s="4">
        <f t="shared" si="554"/>
        <v>0</v>
      </c>
      <c r="BS92" s="4">
        <f t="shared" si="554"/>
        <v>0</v>
      </c>
      <c r="BT92" s="4">
        <f t="shared" si="554"/>
        <v>0</v>
      </c>
      <c r="BU92" s="4">
        <f t="shared" si="554"/>
        <v>0</v>
      </c>
      <c r="CX92" s="1" t="s">
        <v>636</v>
      </c>
      <c r="CZ92" s="1" t="s">
        <v>637</v>
      </c>
      <c r="DB92" s="1" t="s">
        <v>638</v>
      </c>
      <c r="DC92" s="1" t="s">
        <v>180</v>
      </c>
    </row>
    <row r="93" spans="1:107" ht="15.75" customHeight="1" x14ac:dyDescent="0.25">
      <c r="A93" s="1" t="b">
        <v>1</v>
      </c>
      <c r="B93" s="3">
        <v>46166.415347222224</v>
      </c>
      <c r="C93" s="1" t="s">
        <v>639</v>
      </c>
      <c r="D93" s="1" t="s">
        <v>439</v>
      </c>
      <c r="E93" s="4">
        <f t="shared" ref="E93:K93" si="555">IF(ISNUMBER(SEARCH(E$1,$D93)), SEARCH(E$1,$D93), 0)</f>
        <v>1</v>
      </c>
      <c r="F93" s="4">
        <f t="shared" si="555"/>
        <v>30</v>
      </c>
      <c r="G93" s="4">
        <f t="shared" si="555"/>
        <v>0</v>
      </c>
      <c r="H93" s="4">
        <f t="shared" si="555"/>
        <v>0</v>
      </c>
      <c r="I93" s="4">
        <f t="shared" si="555"/>
        <v>105</v>
      </c>
      <c r="J93" s="4">
        <f t="shared" si="555"/>
        <v>0</v>
      </c>
      <c r="K93" s="4">
        <f t="shared" si="555"/>
        <v>0</v>
      </c>
      <c r="L93" s="4">
        <f t="shared" si="1"/>
        <v>105</v>
      </c>
      <c r="N93" s="1" t="s">
        <v>272</v>
      </c>
      <c r="O93" s="4">
        <f t="shared" ref="O93:T93" si="556">IF(ISNUMBER(SEARCH(O$1,$N93)), 1, 0)</f>
        <v>1</v>
      </c>
      <c r="P93" s="4">
        <f t="shared" si="556"/>
        <v>1</v>
      </c>
      <c r="Q93" s="4">
        <f t="shared" si="556"/>
        <v>1</v>
      </c>
      <c r="R93" s="4">
        <f t="shared" si="556"/>
        <v>1</v>
      </c>
      <c r="S93" s="4">
        <f t="shared" si="556"/>
        <v>1</v>
      </c>
      <c r="T93" s="4">
        <f t="shared" si="556"/>
        <v>0</v>
      </c>
      <c r="V93" s="1" t="s">
        <v>26</v>
      </c>
      <c r="W93" s="1" t="str">
        <f t="shared" ref="W93:AA102" si="557">IF(W$1=$V93, "True", "False")</f>
        <v>False</v>
      </c>
      <c r="X93" s="1" t="str">
        <f t="shared" si="557"/>
        <v>False</v>
      </c>
      <c r="Y93" s="1" t="str">
        <f t="shared" si="557"/>
        <v>False</v>
      </c>
      <c r="Z93" s="1" t="str">
        <f t="shared" si="557"/>
        <v>False</v>
      </c>
      <c r="AA93" s="1" t="str">
        <f t="shared" si="557"/>
        <v>True</v>
      </c>
      <c r="AB93" s="1" t="s">
        <v>568</v>
      </c>
      <c r="AC93" s="4">
        <f t="shared" ref="AC93:AH93" si="558">IF(ISNUMBER(SEARCH(AC$1,$AB93)), 1, 0)</f>
        <v>1</v>
      </c>
      <c r="AD93" s="4">
        <f t="shared" si="558"/>
        <v>0</v>
      </c>
      <c r="AE93" s="4">
        <f t="shared" si="558"/>
        <v>0</v>
      </c>
      <c r="AF93" s="4">
        <f t="shared" si="558"/>
        <v>1</v>
      </c>
      <c r="AG93" s="4">
        <f t="shared" si="558"/>
        <v>0</v>
      </c>
      <c r="AH93" s="4">
        <f t="shared" si="558"/>
        <v>1</v>
      </c>
      <c r="AI93" s="1">
        <f t="shared" si="5"/>
        <v>3</v>
      </c>
      <c r="AK93" s="1" t="s">
        <v>470</v>
      </c>
      <c r="AL93" s="4">
        <f t="shared" ref="AL93:AS93" si="559">IF(ISNUMBER(SEARCH(AL$1,$AK93)), 1, 0)</f>
        <v>0</v>
      </c>
      <c r="AM93" s="4">
        <f t="shared" si="559"/>
        <v>1</v>
      </c>
      <c r="AN93" s="4">
        <f t="shared" si="559"/>
        <v>0</v>
      </c>
      <c r="AO93" s="4">
        <f t="shared" si="559"/>
        <v>1</v>
      </c>
      <c r="AP93" s="4">
        <f t="shared" si="559"/>
        <v>0</v>
      </c>
      <c r="AQ93" s="4">
        <f t="shared" si="559"/>
        <v>1</v>
      </c>
      <c r="AR93" s="4">
        <f t="shared" si="559"/>
        <v>0</v>
      </c>
      <c r="AS93" s="4">
        <f t="shared" si="559"/>
        <v>0</v>
      </c>
      <c r="AU93" s="1" t="s">
        <v>49</v>
      </c>
      <c r="AV93" s="1">
        <f t="shared" si="7"/>
        <v>0</v>
      </c>
      <c r="AW93" s="1">
        <f t="shared" si="8"/>
        <v>0</v>
      </c>
      <c r="AX93" s="1">
        <f t="shared" si="9"/>
        <v>1</v>
      </c>
      <c r="AY93" s="1" t="s">
        <v>48</v>
      </c>
      <c r="BA93" s="1" t="s">
        <v>253</v>
      </c>
      <c r="BB93" s="4">
        <f t="shared" ref="BB93:BJ93" si="560">IF(ISNUMBER(SEARCH(BB$1,$BA93)), 1, 0)</f>
        <v>1</v>
      </c>
      <c r="BC93" s="4">
        <f t="shared" si="560"/>
        <v>1</v>
      </c>
      <c r="BD93" s="4">
        <f t="shared" si="560"/>
        <v>1</v>
      </c>
      <c r="BE93" s="4">
        <f t="shared" si="560"/>
        <v>1</v>
      </c>
      <c r="BF93" s="4">
        <f t="shared" si="560"/>
        <v>1</v>
      </c>
      <c r="BG93" s="4">
        <f t="shared" si="560"/>
        <v>0</v>
      </c>
      <c r="BH93" s="4">
        <f t="shared" si="560"/>
        <v>0</v>
      </c>
      <c r="BI93" s="4">
        <f t="shared" si="560"/>
        <v>0</v>
      </c>
      <c r="BJ93" s="4">
        <f t="shared" si="560"/>
        <v>1</v>
      </c>
      <c r="BK93" s="4">
        <f t="shared" si="11"/>
        <v>6</v>
      </c>
      <c r="BM93" s="1" t="s">
        <v>166</v>
      </c>
      <c r="BN93" s="1" t="s">
        <v>219</v>
      </c>
      <c r="BO93" s="4">
        <f t="shared" ref="BO93:BU93" si="561">IF(ISNUMBER(SEARCH(BO$1,$BN93)), 1, 0)</f>
        <v>1</v>
      </c>
      <c r="BP93" s="4">
        <f t="shared" si="561"/>
        <v>0</v>
      </c>
      <c r="BQ93" s="4">
        <f t="shared" si="561"/>
        <v>0</v>
      </c>
      <c r="BR93" s="4">
        <f t="shared" si="561"/>
        <v>0</v>
      </c>
      <c r="BS93" s="4">
        <f t="shared" si="561"/>
        <v>0</v>
      </c>
      <c r="BT93" s="4">
        <f t="shared" si="561"/>
        <v>1</v>
      </c>
      <c r="BU93" s="4">
        <f t="shared" si="561"/>
        <v>0</v>
      </c>
      <c r="CH93" s="1" t="s">
        <v>640</v>
      </c>
      <c r="CI93" s="1" t="s">
        <v>641</v>
      </c>
      <c r="CJ93" s="1" t="s">
        <v>642</v>
      </c>
      <c r="CL93" s="1" t="s">
        <v>177</v>
      </c>
      <c r="CX93" s="1" t="s">
        <v>643</v>
      </c>
      <c r="CZ93" s="1" t="s">
        <v>644</v>
      </c>
      <c r="DB93" s="1" t="s">
        <v>645</v>
      </c>
    </row>
    <row r="94" spans="1:107" ht="15.75" customHeight="1" x14ac:dyDescent="0.25">
      <c r="A94" s="1" t="b">
        <v>1</v>
      </c>
      <c r="B94" s="3">
        <v>46166.580659722225</v>
      </c>
      <c r="C94" s="1" t="s">
        <v>646</v>
      </c>
      <c r="D94" s="1" t="s">
        <v>4</v>
      </c>
      <c r="E94" s="4">
        <f t="shared" ref="E94:K94" si="562">IF(ISNUMBER(SEARCH(E$1,$D94)), SEARCH(E$1,$D94), 0)</f>
        <v>1</v>
      </c>
      <c r="F94" s="4">
        <f t="shared" si="562"/>
        <v>0</v>
      </c>
      <c r="G94" s="4">
        <f t="shared" si="562"/>
        <v>0</v>
      </c>
      <c r="H94" s="4">
        <f t="shared" si="562"/>
        <v>0</v>
      </c>
      <c r="I94" s="4">
        <f t="shared" si="562"/>
        <v>0</v>
      </c>
      <c r="J94" s="4">
        <f t="shared" si="562"/>
        <v>0</v>
      </c>
      <c r="K94" s="4">
        <f t="shared" si="562"/>
        <v>0</v>
      </c>
      <c r="L94" s="4">
        <f t="shared" si="1"/>
        <v>1</v>
      </c>
      <c r="N94" s="1" t="s">
        <v>208</v>
      </c>
      <c r="O94" s="4">
        <f t="shared" ref="O94:T94" si="563">IF(ISNUMBER(SEARCH(O$1,$N94)), 1, 0)</f>
        <v>1</v>
      </c>
      <c r="P94" s="4">
        <f t="shared" si="563"/>
        <v>1</v>
      </c>
      <c r="Q94" s="4">
        <f t="shared" si="563"/>
        <v>0</v>
      </c>
      <c r="R94" s="4">
        <f t="shared" si="563"/>
        <v>1</v>
      </c>
      <c r="S94" s="4">
        <f t="shared" si="563"/>
        <v>0</v>
      </c>
      <c r="T94" s="4">
        <f t="shared" si="563"/>
        <v>0</v>
      </c>
      <c r="V94" s="1" t="s">
        <v>23</v>
      </c>
      <c r="W94" s="1" t="str">
        <f t="shared" si="557"/>
        <v>False</v>
      </c>
      <c r="X94" s="1" t="str">
        <f t="shared" si="557"/>
        <v>True</v>
      </c>
      <c r="Y94" s="1" t="str">
        <f t="shared" si="557"/>
        <v>False</v>
      </c>
      <c r="Z94" s="1" t="str">
        <f t="shared" si="557"/>
        <v>False</v>
      </c>
      <c r="AA94" s="1" t="str">
        <f t="shared" si="557"/>
        <v>False</v>
      </c>
      <c r="AB94" s="1" t="s">
        <v>357</v>
      </c>
      <c r="AC94" s="4">
        <f t="shared" ref="AC94:AH94" si="564">IF(ISNUMBER(SEARCH(AC$1,$AB94)), 1, 0)</f>
        <v>1</v>
      </c>
      <c r="AD94" s="4">
        <f t="shared" si="564"/>
        <v>0</v>
      </c>
      <c r="AE94" s="4">
        <f t="shared" si="564"/>
        <v>0</v>
      </c>
      <c r="AF94" s="4">
        <f t="shared" si="564"/>
        <v>0</v>
      </c>
      <c r="AG94" s="4">
        <f t="shared" si="564"/>
        <v>0</v>
      </c>
      <c r="AH94" s="4">
        <f t="shared" si="564"/>
        <v>1</v>
      </c>
      <c r="AI94" s="1">
        <f t="shared" si="5"/>
        <v>2</v>
      </c>
      <c r="AK94" s="1" t="s">
        <v>481</v>
      </c>
      <c r="AL94" s="4">
        <f t="shared" ref="AL94:AS94" si="565">IF(ISNUMBER(SEARCH(AL$1,$AK94)), 1, 0)</f>
        <v>0</v>
      </c>
      <c r="AM94" s="4">
        <f t="shared" si="565"/>
        <v>0</v>
      </c>
      <c r="AN94" s="4">
        <f t="shared" si="565"/>
        <v>0</v>
      </c>
      <c r="AO94" s="4">
        <f t="shared" si="565"/>
        <v>1</v>
      </c>
      <c r="AP94" s="4">
        <f t="shared" si="565"/>
        <v>0</v>
      </c>
      <c r="AQ94" s="4">
        <f t="shared" si="565"/>
        <v>1</v>
      </c>
      <c r="AR94" s="4">
        <f t="shared" si="565"/>
        <v>0</v>
      </c>
      <c r="AS94" s="4">
        <f t="shared" si="565"/>
        <v>0</v>
      </c>
      <c r="AU94" s="1" t="s">
        <v>48</v>
      </c>
      <c r="AV94" s="1">
        <f t="shared" si="7"/>
        <v>0</v>
      </c>
      <c r="AW94" s="1">
        <f t="shared" si="8"/>
        <v>1</v>
      </c>
      <c r="AX94" s="1">
        <f t="shared" si="9"/>
        <v>0</v>
      </c>
      <c r="AY94" s="1" t="s">
        <v>48</v>
      </c>
      <c r="BA94" s="1" t="s">
        <v>61</v>
      </c>
      <c r="BB94" s="4">
        <f t="shared" ref="BB94:BJ94" si="566">IF(ISNUMBER(SEARCH(BB$1,$BA94)), 1, 0)</f>
        <v>0</v>
      </c>
      <c r="BC94" s="4">
        <f t="shared" si="566"/>
        <v>0</v>
      </c>
      <c r="BD94" s="4">
        <f t="shared" si="566"/>
        <v>0</v>
      </c>
      <c r="BE94" s="4">
        <f t="shared" si="566"/>
        <v>0</v>
      </c>
      <c r="BF94" s="4">
        <f t="shared" si="566"/>
        <v>0</v>
      </c>
      <c r="BG94" s="4">
        <f t="shared" si="566"/>
        <v>0</v>
      </c>
      <c r="BH94" s="4">
        <f t="shared" si="566"/>
        <v>0</v>
      </c>
      <c r="BI94" s="4">
        <f t="shared" si="566"/>
        <v>0</v>
      </c>
      <c r="BJ94" s="4">
        <f t="shared" si="566"/>
        <v>1</v>
      </c>
      <c r="BK94" s="4">
        <f t="shared" si="11"/>
        <v>1</v>
      </c>
      <c r="BM94" s="1" t="s">
        <v>166</v>
      </c>
      <c r="BN94" s="1" t="s">
        <v>72</v>
      </c>
      <c r="BO94" s="4">
        <f t="shared" ref="BO94:BU94" si="567">IF(ISNUMBER(SEARCH(BO$1,$BN94)), 1, 0)</f>
        <v>0</v>
      </c>
      <c r="BP94" s="4">
        <f t="shared" si="567"/>
        <v>0</v>
      </c>
      <c r="BQ94" s="4">
        <f t="shared" si="567"/>
        <v>0</v>
      </c>
      <c r="BR94" s="4">
        <f t="shared" si="567"/>
        <v>0</v>
      </c>
      <c r="BS94" s="4">
        <f t="shared" si="567"/>
        <v>0</v>
      </c>
      <c r="BT94" s="4">
        <f t="shared" si="567"/>
        <v>0</v>
      </c>
      <c r="BU94" s="4">
        <f t="shared" si="567"/>
        <v>1</v>
      </c>
      <c r="BW94" s="1" t="s">
        <v>255</v>
      </c>
      <c r="DC94" s="1" t="s">
        <v>180</v>
      </c>
    </row>
    <row r="95" spans="1:107" ht="15.75" customHeight="1" x14ac:dyDescent="0.25">
      <c r="A95" s="1" t="b">
        <v>1</v>
      </c>
      <c r="B95" s="3">
        <v>46166.618159722224</v>
      </c>
      <c r="C95" s="1" t="s">
        <v>647</v>
      </c>
      <c r="D95" s="1" t="s">
        <v>9</v>
      </c>
      <c r="E95" s="4">
        <f t="shared" ref="E95:K95" si="568">IF(ISNUMBER(SEARCH(E$1,$D95)), SEARCH(E$1,$D95), 0)</f>
        <v>0</v>
      </c>
      <c r="F95" s="4">
        <f t="shared" si="568"/>
        <v>0</v>
      </c>
      <c r="G95" s="4">
        <f t="shared" si="568"/>
        <v>0</v>
      </c>
      <c r="H95" s="4">
        <f t="shared" si="568"/>
        <v>0</v>
      </c>
      <c r="I95" s="4">
        <f t="shared" si="568"/>
        <v>0</v>
      </c>
      <c r="J95" s="4">
        <f t="shared" si="568"/>
        <v>1</v>
      </c>
      <c r="K95" s="4">
        <f t="shared" si="568"/>
        <v>0</v>
      </c>
      <c r="L95" s="4">
        <f t="shared" si="1"/>
        <v>1</v>
      </c>
      <c r="N95" s="1" t="s">
        <v>18</v>
      </c>
      <c r="O95" s="4">
        <f t="shared" ref="O95:T95" si="569">IF(ISNUMBER(SEARCH(O$1,$N95)), 1, 0)</f>
        <v>0</v>
      </c>
      <c r="P95" s="4">
        <f t="shared" si="569"/>
        <v>0</v>
      </c>
      <c r="Q95" s="4">
        <f t="shared" si="569"/>
        <v>0</v>
      </c>
      <c r="R95" s="4">
        <f t="shared" si="569"/>
        <v>0</v>
      </c>
      <c r="S95" s="4">
        <f t="shared" si="569"/>
        <v>1</v>
      </c>
      <c r="T95" s="4">
        <f t="shared" si="569"/>
        <v>0</v>
      </c>
      <c r="W95" s="1" t="str">
        <f t="shared" si="557"/>
        <v>False</v>
      </c>
      <c r="X95" s="1" t="str">
        <f t="shared" si="557"/>
        <v>False</v>
      </c>
      <c r="Y95" s="1" t="str">
        <f t="shared" si="557"/>
        <v>False</v>
      </c>
      <c r="Z95" s="1" t="str">
        <f t="shared" si="557"/>
        <v>False</v>
      </c>
      <c r="AA95" s="1" t="str">
        <f t="shared" si="557"/>
        <v>False</v>
      </c>
      <c r="AB95" s="1" t="s">
        <v>31</v>
      </c>
      <c r="AC95" s="4">
        <f t="shared" ref="AC95:AH95" si="570">IF(ISNUMBER(SEARCH(AC$1,$AB95)), 1, 0)</f>
        <v>0</v>
      </c>
      <c r="AD95" s="4">
        <f t="shared" si="570"/>
        <v>0</v>
      </c>
      <c r="AE95" s="4">
        <f t="shared" si="570"/>
        <v>0</v>
      </c>
      <c r="AF95" s="4">
        <f t="shared" si="570"/>
        <v>1</v>
      </c>
      <c r="AG95" s="4">
        <f t="shared" si="570"/>
        <v>0</v>
      </c>
      <c r="AH95" s="4">
        <f t="shared" si="570"/>
        <v>0</v>
      </c>
      <c r="AI95" s="1">
        <f t="shared" si="5"/>
        <v>1</v>
      </c>
      <c r="AK95" s="1" t="s">
        <v>44</v>
      </c>
      <c r="AL95" s="4">
        <f t="shared" ref="AL95:AS95" si="571">IF(ISNUMBER(SEARCH(AL$1,$AK95)), 1, 0)</f>
        <v>0</v>
      </c>
      <c r="AM95" s="4">
        <f t="shared" si="571"/>
        <v>0</v>
      </c>
      <c r="AN95" s="4">
        <f t="shared" si="571"/>
        <v>0</v>
      </c>
      <c r="AO95" s="4">
        <f t="shared" si="571"/>
        <v>0</v>
      </c>
      <c r="AP95" s="4">
        <f t="shared" si="571"/>
        <v>0</v>
      </c>
      <c r="AQ95" s="4">
        <f t="shared" si="571"/>
        <v>0</v>
      </c>
      <c r="AR95" s="4">
        <f t="shared" si="571"/>
        <v>0</v>
      </c>
      <c r="AS95" s="4">
        <f t="shared" si="571"/>
        <v>1</v>
      </c>
      <c r="AU95" s="1" t="s">
        <v>47</v>
      </c>
      <c r="AV95" s="1">
        <f t="shared" si="7"/>
        <v>1</v>
      </c>
      <c r="AW95" s="1">
        <f t="shared" si="8"/>
        <v>0</v>
      </c>
      <c r="AX95" s="1">
        <f t="shared" si="9"/>
        <v>0</v>
      </c>
      <c r="AY95" s="1" t="s">
        <v>47</v>
      </c>
      <c r="AZ95" s="1" t="s">
        <v>48</v>
      </c>
      <c r="BA95" s="1" t="s">
        <v>61</v>
      </c>
      <c r="BB95" s="4">
        <f t="shared" ref="BB95:BJ95" si="572">IF(ISNUMBER(SEARCH(BB$1,$BA95)), 1, 0)</f>
        <v>0</v>
      </c>
      <c r="BC95" s="4">
        <f t="shared" si="572"/>
        <v>0</v>
      </c>
      <c r="BD95" s="4">
        <f t="shared" si="572"/>
        <v>0</v>
      </c>
      <c r="BE95" s="4">
        <f t="shared" si="572"/>
        <v>0</v>
      </c>
      <c r="BF95" s="4">
        <f t="shared" si="572"/>
        <v>0</v>
      </c>
      <c r="BG95" s="4">
        <f t="shared" si="572"/>
        <v>0</v>
      </c>
      <c r="BH95" s="4">
        <f t="shared" si="572"/>
        <v>0</v>
      </c>
      <c r="BI95" s="4">
        <f t="shared" si="572"/>
        <v>0</v>
      </c>
      <c r="BJ95" s="4">
        <f t="shared" si="572"/>
        <v>1</v>
      </c>
      <c r="BK95" s="4">
        <f t="shared" si="11"/>
        <v>1</v>
      </c>
      <c r="BO95" s="4">
        <f t="shared" ref="BO95:BU95" si="573">IF(ISNUMBER(SEARCH(BO$1,$BN95)), 1, 0)</f>
        <v>0</v>
      </c>
      <c r="BP95" s="4">
        <f t="shared" si="573"/>
        <v>0</v>
      </c>
      <c r="BQ95" s="4">
        <f t="shared" si="573"/>
        <v>0</v>
      </c>
      <c r="BR95" s="4">
        <f t="shared" si="573"/>
        <v>0</v>
      </c>
      <c r="BS95" s="4">
        <f t="shared" si="573"/>
        <v>0</v>
      </c>
      <c r="BT95" s="4">
        <f t="shared" si="573"/>
        <v>0</v>
      </c>
      <c r="BU95" s="4">
        <f t="shared" si="573"/>
        <v>0</v>
      </c>
      <c r="CR95" s="1" t="s">
        <v>648</v>
      </c>
      <c r="CT95" s="1" t="s">
        <v>649</v>
      </c>
      <c r="DC95" s="1" t="s">
        <v>180</v>
      </c>
    </row>
    <row r="96" spans="1:107" ht="15.75" customHeight="1" x14ac:dyDescent="0.25">
      <c r="A96" s="1" t="b">
        <v>1</v>
      </c>
      <c r="B96" s="3">
        <v>46166.708773148152</v>
      </c>
      <c r="C96" s="1" t="s">
        <v>650</v>
      </c>
      <c r="D96" s="1" t="s">
        <v>207</v>
      </c>
      <c r="E96" s="4">
        <f t="shared" ref="E96:K96" si="574">IF(ISNUMBER(SEARCH(E$1,$D96)), SEARCH(E$1,$D96), 0)</f>
        <v>1</v>
      </c>
      <c r="F96" s="4">
        <f t="shared" si="574"/>
        <v>30</v>
      </c>
      <c r="G96" s="4">
        <f t="shared" si="574"/>
        <v>0</v>
      </c>
      <c r="H96" s="4">
        <f t="shared" si="574"/>
        <v>0</v>
      </c>
      <c r="I96" s="4">
        <f t="shared" si="574"/>
        <v>0</v>
      </c>
      <c r="J96" s="4">
        <f t="shared" si="574"/>
        <v>0</v>
      </c>
      <c r="K96" s="4">
        <f t="shared" si="574"/>
        <v>0</v>
      </c>
      <c r="L96" s="4">
        <f t="shared" si="1"/>
        <v>30</v>
      </c>
      <c r="N96" s="1" t="s">
        <v>240</v>
      </c>
      <c r="O96" s="4">
        <f t="shared" ref="O96:T96" si="575">IF(ISNUMBER(SEARCH(O$1,$N96)), 1, 0)</f>
        <v>1</v>
      </c>
      <c r="P96" s="4">
        <f t="shared" si="575"/>
        <v>1</v>
      </c>
      <c r="Q96" s="4">
        <f t="shared" si="575"/>
        <v>1</v>
      </c>
      <c r="R96" s="4">
        <f t="shared" si="575"/>
        <v>1</v>
      </c>
      <c r="S96" s="4">
        <f t="shared" si="575"/>
        <v>0</v>
      </c>
      <c r="T96" s="4">
        <f t="shared" si="575"/>
        <v>0</v>
      </c>
      <c r="V96" s="1" t="s">
        <v>23</v>
      </c>
      <c r="W96" s="1" t="str">
        <f t="shared" si="557"/>
        <v>False</v>
      </c>
      <c r="X96" s="1" t="str">
        <f t="shared" si="557"/>
        <v>True</v>
      </c>
      <c r="Y96" s="1" t="str">
        <f t="shared" si="557"/>
        <v>False</v>
      </c>
      <c r="Z96" s="1" t="str">
        <f t="shared" si="557"/>
        <v>False</v>
      </c>
      <c r="AA96" s="1" t="str">
        <f t="shared" si="557"/>
        <v>False</v>
      </c>
      <c r="AC96" s="4">
        <f t="shared" ref="AC96:AH96" si="576">IF(ISNUMBER(SEARCH(AC$1,$AB96)), 1, 0)</f>
        <v>0</v>
      </c>
      <c r="AD96" s="4">
        <f t="shared" si="576"/>
        <v>0</v>
      </c>
      <c r="AE96" s="4">
        <f t="shared" si="576"/>
        <v>0</v>
      </c>
      <c r="AF96" s="4">
        <f t="shared" si="576"/>
        <v>0</v>
      </c>
      <c r="AG96" s="4">
        <f t="shared" si="576"/>
        <v>0</v>
      </c>
      <c r="AH96" s="4">
        <f t="shared" si="576"/>
        <v>0</v>
      </c>
      <c r="AI96" s="1">
        <f t="shared" si="5"/>
        <v>0</v>
      </c>
      <c r="AK96" s="1" t="s">
        <v>288</v>
      </c>
      <c r="AL96" s="4">
        <f t="shared" ref="AL96:AS96" si="577">IF(ISNUMBER(SEARCH(AL$1,$AK96)), 1, 0)</f>
        <v>0</v>
      </c>
      <c r="AM96" s="4">
        <f t="shared" si="577"/>
        <v>1</v>
      </c>
      <c r="AN96" s="4">
        <f t="shared" si="577"/>
        <v>0</v>
      </c>
      <c r="AO96" s="4">
        <f t="shared" si="577"/>
        <v>1</v>
      </c>
      <c r="AP96" s="4">
        <f t="shared" si="577"/>
        <v>0</v>
      </c>
      <c r="AQ96" s="4">
        <f t="shared" si="577"/>
        <v>0</v>
      </c>
      <c r="AR96" s="4">
        <f t="shared" si="577"/>
        <v>0</v>
      </c>
      <c r="AS96" s="4">
        <f t="shared" si="577"/>
        <v>0</v>
      </c>
      <c r="AU96" s="1" t="s">
        <v>47</v>
      </c>
      <c r="AV96" s="1">
        <f t="shared" si="7"/>
        <v>1</v>
      </c>
      <c r="AW96" s="1">
        <f t="shared" si="8"/>
        <v>0</v>
      </c>
      <c r="AX96" s="1">
        <f t="shared" si="9"/>
        <v>0</v>
      </c>
      <c r="AY96" s="1" t="s">
        <v>48</v>
      </c>
      <c r="BA96" s="1" t="s">
        <v>411</v>
      </c>
      <c r="BB96" s="4">
        <f t="shared" ref="BB96:BJ96" si="578">IF(ISNUMBER(SEARCH(BB$1,$BA96)), 1, 0)</f>
        <v>0</v>
      </c>
      <c r="BC96" s="4">
        <f t="shared" si="578"/>
        <v>1</v>
      </c>
      <c r="BD96" s="4">
        <f t="shared" si="578"/>
        <v>0</v>
      </c>
      <c r="BE96" s="4">
        <f t="shared" si="578"/>
        <v>0</v>
      </c>
      <c r="BF96" s="4">
        <f t="shared" si="578"/>
        <v>1</v>
      </c>
      <c r="BG96" s="4">
        <f t="shared" si="578"/>
        <v>0</v>
      </c>
      <c r="BH96" s="4">
        <f t="shared" si="578"/>
        <v>0</v>
      </c>
      <c r="BI96" s="4">
        <f t="shared" si="578"/>
        <v>0</v>
      </c>
      <c r="BJ96" s="4">
        <f t="shared" si="578"/>
        <v>1</v>
      </c>
      <c r="BK96" s="4">
        <f t="shared" si="11"/>
        <v>3</v>
      </c>
      <c r="BM96" s="1" t="s">
        <v>232</v>
      </c>
      <c r="BN96" s="1" t="s">
        <v>340</v>
      </c>
      <c r="BO96" s="4">
        <f t="shared" ref="BO96:BU96" si="579">IF(ISNUMBER(SEARCH(BO$1,$BN96)), 1, 0)</f>
        <v>1</v>
      </c>
      <c r="BP96" s="4">
        <f t="shared" si="579"/>
        <v>1</v>
      </c>
      <c r="BQ96" s="4">
        <f t="shared" si="579"/>
        <v>0</v>
      </c>
      <c r="BR96" s="4">
        <f t="shared" si="579"/>
        <v>0</v>
      </c>
      <c r="BS96" s="4">
        <f t="shared" si="579"/>
        <v>0</v>
      </c>
      <c r="BT96" s="4">
        <f t="shared" si="579"/>
        <v>0</v>
      </c>
      <c r="BU96" s="4">
        <f t="shared" si="579"/>
        <v>0</v>
      </c>
      <c r="CX96" s="1" t="s">
        <v>643</v>
      </c>
      <c r="CZ96" s="1" t="s">
        <v>651</v>
      </c>
      <c r="DA96" s="1" t="s">
        <v>652</v>
      </c>
      <c r="DB96" s="1" t="s">
        <v>653</v>
      </c>
      <c r="DC96" s="1" t="s">
        <v>180</v>
      </c>
    </row>
    <row r="97" spans="1:107" ht="15.75" customHeight="1" x14ac:dyDescent="0.25">
      <c r="A97" s="1" t="b">
        <v>1</v>
      </c>
      <c r="B97" s="3">
        <v>46166.881261574075</v>
      </c>
      <c r="C97" s="1" t="s">
        <v>654</v>
      </c>
      <c r="D97" s="1" t="s">
        <v>4</v>
      </c>
      <c r="E97" s="4">
        <f t="shared" ref="E97:K97" si="580">IF(ISNUMBER(SEARCH(E$1,$D97)), SEARCH(E$1,$D97), 0)</f>
        <v>1</v>
      </c>
      <c r="F97" s="4">
        <f t="shared" si="580"/>
        <v>0</v>
      </c>
      <c r="G97" s="4">
        <f t="shared" si="580"/>
        <v>0</v>
      </c>
      <c r="H97" s="4">
        <f t="shared" si="580"/>
        <v>0</v>
      </c>
      <c r="I97" s="4">
        <f t="shared" si="580"/>
        <v>0</v>
      </c>
      <c r="J97" s="4">
        <f t="shared" si="580"/>
        <v>0</v>
      </c>
      <c r="K97" s="4">
        <f t="shared" si="580"/>
        <v>0</v>
      </c>
      <c r="L97" s="4">
        <f t="shared" si="1"/>
        <v>1</v>
      </c>
      <c r="N97" s="1" t="s">
        <v>328</v>
      </c>
      <c r="O97" s="4">
        <f t="shared" ref="O97:T97" si="581">IF(ISNUMBER(SEARCH(O$1,$N97)), 1, 0)</f>
        <v>1</v>
      </c>
      <c r="P97" s="4">
        <f t="shared" si="581"/>
        <v>1</v>
      </c>
      <c r="Q97" s="4">
        <f t="shared" si="581"/>
        <v>1</v>
      </c>
      <c r="R97" s="4">
        <f t="shared" si="581"/>
        <v>0</v>
      </c>
      <c r="S97" s="4">
        <f t="shared" si="581"/>
        <v>0</v>
      </c>
      <c r="T97" s="4">
        <f t="shared" si="581"/>
        <v>0</v>
      </c>
      <c r="V97" s="1" t="s">
        <v>22</v>
      </c>
      <c r="W97" s="1" t="str">
        <f t="shared" si="557"/>
        <v>True</v>
      </c>
      <c r="X97" s="1" t="str">
        <f t="shared" si="557"/>
        <v>False</v>
      </c>
      <c r="Y97" s="1" t="str">
        <f t="shared" si="557"/>
        <v>False</v>
      </c>
      <c r="Z97" s="1" t="str">
        <f t="shared" si="557"/>
        <v>False</v>
      </c>
      <c r="AA97" s="1" t="str">
        <f t="shared" si="557"/>
        <v>False</v>
      </c>
      <c r="AB97" s="1" t="s">
        <v>28</v>
      </c>
      <c r="AC97" s="4">
        <f t="shared" ref="AC97:AH97" si="582">IF(ISNUMBER(SEARCH(AC$1,$AB97)), 1, 0)</f>
        <v>1</v>
      </c>
      <c r="AD97" s="4">
        <f t="shared" si="582"/>
        <v>0</v>
      </c>
      <c r="AE97" s="4">
        <f t="shared" si="582"/>
        <v>0</v>
      </c>
      <c r="AF97" s="4">
        <f t="shared" si="582"/>
        <v>0</v>
      </c>
      <c r="AG97" s="4">
        <f t="shared" si="582"/>
        <v>0</v>
      </c>
      <c r="AH97" s="4">
        <f t="shared" si="582"/>
        <v>0</v>
      </c>
      <c r="AI97" s="1">
        <f t="shared" si="5"/>
        <v>1</v>
      </c>
      <c r="AK97" s="1" t="s">
        <v>655</v>
      </c>
      <c r="AL97" s="4">
        <f t="shared" ref="AL97:AS97" si="583">IF(ISNUMBER(SEARCH(AL$1,$AK97)), 1, 0)</f>
        <v>0</v>
      </c>
      <c r="AM97" s="4">
        <f t="shared" si="583"/>
        <v>1</v>
      </c>
      <c r="AN97" s="4">
        <f t="shared" si="583"/>
        <v>1</v>
      </c>
      <c r="AO97" s="4">
        <f t="shared" si="583"/>
        <v>0</v>
      </c>
      <c r="AP97" s="4">
        <f t="shared" si="583"/>
        <v>0</v>
      </c>
      <c r="AQ97" s="4">
        <f t="shared" si="583"/>
        <v>0</v>
      </c>
      <c r="AR97" s="4">
        <f t="shared" si="583"/>
        <v>1</v>
      </c>
      <c r="AS97" s="4">
        <f t="shared" si="583"/>
        <v>0</v>
      </c>
      <c r="AU97" s="1" t="s">
        <v>47</v>
      </c>
      <c r="AV97" s="1">
        <f t="shared" si="7"/>
        <v>1</v>
      </c>
      <c r="AW97" s="1">
        <f t="shared" si="8"/>
        <v>0</v>
      </c>
      <c r="AX97" s="1">
        <f t="shared" si="9"/>
        <v>0</v>
      </c>
      <c r="AY97" s="1" t="s">
        <v>48</v>
      </c>
      <c r="BA97" s="1" t="s">
        <v>656</v>
      </c>
      <c r="BB97" s="4">
        <f t="shared" ref="BB97:BJ97" si="584">IF(ISNUMBER(SEARCH(BB$1,$BA97)), 1, 0)</f>
        <v>0</v>
      </c>
      <c r="BC97" s="4">
        <f t="shared" si="584"/>
        <v>1</v>
      </c>
      <c r="BD97" s="4">
        <f t="shared" si="584"/>
        <v>0</v>
      </c>
      <c r="BE97" s="4">
        <f t="shared" si="584"/>
        <v>0</v>
      </c>
      <c r="BF97" s="4">
        <f t="shared" si="584"/>
        <v>1</v>
      </c>
      <c r="BG97" s="4">
        <f t="shared" si="584"/>
        <v>1</v>
      </c>
      <c r="BH97" s="4">
        <f t="shared" si="584"/>
        <v>0</v>
      </c>
      <c r="BI97" s="4">
        <f t="shared" si="584"/>
        <v>0</v>
      </c>
      <c r="BJ97" s="4">
        <f t="shared" si="584"/>
        <v>1</v>
      </c>
      <c r="BK97" s="4">
        <f t="shared" si="11"/>
        <v>4</v>
      </c>
      <c r="BM97" s="1" t="s">
        <v>166</v>
      </c>
      <c r="BN97" s="1" t="s">
        <v>657</v>
      </c>
      <c r="BO97" s="4">
        <f t="shared" ref="BO97:BU97" si="585">IF(ISNUMBER(SEARCH(BO$1,$BN97)), 1, 0)</f>
        <v>1</v>
      </c>
      <c r="BP97" s="4">
        <f t="shared" si="585"/>
        <v>1</v>
      </c>
      <c r="BQ97" s="4">
        <f t="shared" si="585"/>
        <v>1</v>
      </c>
      <c r="BR97" s="4">
        <f t="shared" si="585"/>
        <v>1</v>
      </c>
      <c r="BS97" s="4">
        <f t="shared" si="585"/>
        <v>0</v>
      </c>
      <c r="BT97" s="4">
        <f t="shared" si="585"/>
        <v>0</v>
      </c>
      <c r="BU97" s="4">
        <f t="shared" si="585"/>
        <v>0</v>
      </c>
      <c r="DC97" s="1" t="s">
        <v>180</v>
      </c>
    </row>
    <row r="98" spans="1:107" ht="15.75" customHeight="1" x14ac:dyDescent="0.25">
      <c r="A98" s="1" t="b">
        <v>1</v>
      </c>
      <c r="B98" s="3">
        <v>46166.92827546296</v>
      </c>
      <c r="C98" s="1" t="s">
        <v>658</v>
      </c>
      <c r="D98" s="1" t="s">
        <v>4</v>
      </c>
      <c r="E98" s="4">
        <f t="shared" ref="E98:K98" si="586">IF(ISNUMBER(SEARCH(E$1,$D98)), SEARCH(E$1,$D98), 0)</f>
        <v>1</v>
      </c>
      <c r="F98" s="4">
        <f t="shared" si="586"/>
        <v>0</v>
      </c>
      <c r="G98" s="4">
        <f t="shared" si="586"/>
        <v>0</v>
      </c>
      <c r="H98" s="4">
        <f t="shared" si="586"/>
        <v>0</v>
      </c>
      <c r="I98" s="4">
        <f t="shared" si="586"/>
        <v>0</v>
      </c>
      <c r="J98" s="4">
        <f t="shared" si="586"/>
        <v>0</v>
      </c>
      <c r="K98" s="4">
        <f t="shared" si="586"/>
        <v>0</v>
      </c>
      <c r="L98" s="4">
        <f t="shared" si="1"/>
        <v>1</v>
      </c>
      <c r="N98" s="1" t="s">
        <v>659</v>
      </c>
      <c r="O98" s="4">
        <f t="shared" ref="O98:T98" si="587">IF(ISNUMBER(SEARCH(O$1,$N98)), 1, 0)</f>
        <v>1</v>
      </c>
      <c r="P98" s="4">
        <f t="shared" si="587"/>
        <v>1</v>
      </c>
      <c r="Q98" s="4">
        <f t="shared" si="587"/>
        <v>1</v>
      </c>
      <c r="R98" s="4">
        <f t="shared" si="587"/>
        <v>0</v>
      </c>
      <c r="S98" s="4">
        <f t="shared" si="587"/>
        <v>1</v>
      </c>
      <c r="T98" s="4">
        <f t="shared" si="587"/>
        <v>0</v>
      </c>
      <c r="V98" s="1" t="s">
        <v>22</v>
      </c>
      <c r="W98" s="1" t="str">
        <f t="shared" si="557"/>
        <v>True</v>
      </c>
      <c r="X98" s="1" t="str">
        <f t="shared" si="557"/>
        <v>False</v>
      </c>
      <c r="Y98" s="1" t="str">
        <f t="shared" si="557"/>
        <v>False</v>
      </c>
      <c r="Z98" s="1" t="str">
        <f t="shared" si="557"/>
        <v>False</v>
      </c>
      <c r="AA98" s="1" t="str">
        <f t="shared" si="557"/>
        <v>False</v>
      </c>
      <c r="AB98" s="1" t="s">
        <v>33</v>
      </c>
      <c r="AC98" s="4">
        <f t="shared" ref="AC98:AH98" si="588">IF(ISNUMBER(SEARCH(AC$1,$AB98)), 1, 0)</f>
        <v>0</v>
      </c>
      <c r="AD98" s="4">
        <f t="shared" si="588"/>
        <v>0</v>
      </c>
      <c r="AE98" s="4">
        <f t="shared" si="588"/>
        <v>0</v>
      </c>
      <c r="AF98" s="4">
        <f t="shared" si="588"/>
        <v>0</v>
      </c>
      <c r="AG98" s="4">
        <f t="shared" si="588"/>
        <v>0</v>
      </c>
      <c r="AH98" s="4">
        <f t="shared" si="588"/>
        <v>1</v>
      </c>
      <c r="AI98" s="1">
        <f t="shared" si="5"/>
        <v>1</v>
      </c>
      <c r="AK98" s="1" t="s">
        <v>423</v>
      </c>
      <c r="AL98" s="4">
        <f t="shared" ref="AL98:AS98" si="589">IF(ISNUMBER(SEARCH(AL$1,$AK98)), 1, 0)</f>
        <v>0</v>
      </c>
      <c r="AM98" s="4">
        <f t="shared" si="589"/>
        <v>1</v>
      </c>
      <c r="AN98" s="4">
        <f t="shared" si="589"/>
        <v>1</v>
      </c>
      <c r="AO98" s="4">
        <f t="shared" si="589"/>
        <v>1</v>
      </c>
      <c r="AP98" s="4">
        <f t="shared" si="589"/>
        <v>0</v>
      </c>
      <c r="AQ98" s="4">
        <f t="shared" si="589"/>
        <v>1</v>
      </c>
      <c r="AR98" s="4">
        <f t="shared" si="589"/>
        <v>0</v>
      </c>
      <c r="AS98" s="4">
        <f t="shared" si="589"/>
        <v>0</v>
      </c>
      <c r="AU98" s="1" t="s">
        <v>49</v>
      </c>
      <c r="AV98" s="1">
        <f t="shared" si="7"/>
        <v>0</v>
      </c>
      <c r="AW98" s="1">
        <f t="shared" si="8"/>
        <v>0</v>
      </c>
      <c r="AX98" s="1">
        <f t="shared" si="9"/>
        <v>1</v>
      </c>
      <c r="AY98" s="1" t="s">
        <v>48</v>
      </c>
      <c r="BA98" s="1" t="s">
        <v>656</v>
      </c>
      <c r="BB98" s="4">
        <f t="shared" ref="BB98:BJ98" si="590">IF(ISNUMBER(SEARCH(BB$1,$BA98)), 1, 0)</f>
        <v>0</v>
      </c>
      <c r="BC98" s="4">
        <f t="shared" si="590"/>
        <v>1</v>
      </c>
      <c r="BD98" s="4">
        <f t="shared" si="590"/>
        <v>0</v>
      </c>
      <c r="BE98" s="4">
        <f t="shared" si="590"/>
        <v>0</v>
      </c>
      <c r="BF98" s="4">
        <f t="shared" si="590"/>
        <v>1</v>
      </c>
      <c r="BG98" s="4">
        <f t="shared" si="590"/>
        <v>1</v>
      </c>
      <c r="BH98" s="4">
        <f t="shared" si="590"/>
        <v>0</v>
      </c>
      <c r="BI98" s="4">
        <f t="shared" si="590"/>
        <v>0</v>
      </c>
      <c r="BJ98" s="4">
        <f t="shared" si="590"/>
        <v>1</v>
      </c>
      <c r="BK98" s="4">
        <f t="shared" si="11"/>
        <v>4</v>
      </c>
      <c r="BM98" s="1" t="s">
        <v>190</v>
      </c>
      <c r="BN98" s="1" t="s">
        <v>290</v>
      </c>
      <c r="BO98" s="4">
        <f t="shared" ref="BO98:BU98" si="591">IF(ISNUMBER(SEARCH(BO$1,$BN98)), 1, 0)</f>
        <v>0</v>
      </c>
      <c r="BP98" s="4">
        <f t="shared" si="591"/>
        <v>0</v>
      </c>
      <c r="BQ98" s="4">
        <f t="shared" si="591"/>
        <v>0</v>
      </c>
      <c r="BR98" s="4">
        <f t="shared" si="591"/>
        <v>1</v>
      </c>
      <c r="BS98" s="4">
        <f t="shared" si="591"/>
        <v>0</v>
      </c>
      <c r="BT98" s="4">
        <f t="shared" si="591"/>
        <v>1</v>
      </c>
      <c r="BU98" s="4">
        <f t="shared" si="591"/>
        <v>0</v>
      </c>
      <c r="DC98" s="1" t="s">
        <v>238</v>
      </c>
    </row>
    <row r="99" spans="1:107" ht="15.75" customHeight="1" x14ac:dyDescent="0.25">
      <c r="A99" s="1" t="b">
        <v>1</v>
      </c>
      <c r="B99" s="3">
        <v>46167.011469907404</v>
      </c>
      <c r="C99" s="1" t="s">
        <v>660</v>
      </c>
      <c r="D99" s="1" t="s">
        <v>4</v>
      </c>
      <c r="E99" s="4">
        <f t="shared" ref="E99:K99" si="592">IF(ISNUMBER(SEARCH(E$1,$D99)), SEARCH(E$1,$D99), 0)</f>
        <v>1</v>
      </c>
      <c r="F99" s="4">
        <f t="shared" si="592"/>
        <v>0</v>
      </c>
      <c r="G99" s="4">
        <f t="shared" si="592"/>
        <v>0</v>
      </c>
      <c r="H99" s="4">
        <f t="shared" si="592"/>
        <v>0</v>
      </c>
      <c r="I99" s="4">
        <f t="shared" si="592"/>
        <v>0</v>
      </c>
      <c r="J99" s="4">
        <f t="shared" si="592"/>
        <v>0</v>
      </c>
      <c r="K99" s="4">
        <f t="shared" si="592"/>
        <v>0</v>
      </c>
      <c r="L99" s="4">
        <f t="shared" si="1"/>
        <v>1</v>
      </c>
      <c r="N99" s="1" t="s">
        <v>634</v>
      </c>
      <c r="O99" s="4">
        <f t="shared" ref="O99:T99" si="593">IF(ISNUMBER(SEARCH(O$1,$N99)), 1, 0)</f>
        <v>0</v>
      </c>
      <c r="P99" s="4">
        <f t="shared" si="593"/>
        <v>1</v>
      </c>
      <c r="Q99" s="4">
        <f t="shared" si="593"/>
        <v>1</v>
      </c>
      <c r="R99" s="4">
        <f t="shared" si="593"/>
        <v>1</v>
      </c>
      <c r="S99" s="4">
        <f t="shared" si="593"/>
        <v>0</v>
      </c>
      <c r="T99" s="4">
        <f t="shared" si="593"/>
        <v>0</v>
      </c>
      <c r="V99" s="1" t="s">
        <v>25</v>
      </c>
      <c r="W99" s="1" t="str">
        <f t="shared" si="557"/>
        <v>False</v>
      </c>
      <c r="X99" s="1" t="str">
        <f t="shared" si="557"/>
        <v>False</v>
      </c>
      <c r="Y99" s="1" t="str">
        <f t="shared" si="557"/>
        <v>False</v>
      </c>
      <c r="Z99" s="1" t="str">
        <f t="shared" si="557"/>
        <v>True</v>
      </c>
      <c r="AA99" s="1" t="str">
        <f t="shared" si="557"/>
        <v>False</v>
      </c>
      <c r="AB99" s="1" t="s">
        <v>661</v>
      </c>
      <c r="AC99" s="4">
        <f t="shared" ref="AC99:AH99" si="594">IF(ISNUMBER(SEARCH(AC$1,$AB99)), 1, 0)</f>
        <v>1</v>
      </c>
      <c r="AD99" s="4">
        <f t="shared" si="594"/>
        <v>0</v>
      </c>
      <c r="AE99" s="4">
        <f t="shared" si="594"/>
        <v>0</v>
      </c>
      <c r="AF99" s="4">
        <f t="shared" si="594"/>
        <v>0</v>
      </c>
      <c r="AG99" s="4">
        <f t="shared" si="594"/>
        <v>0</v>
      </c>
      <c r="AH99" s="4">
        <f t="shared" si="594"/>
        <v>1</v>
      </c>
      <c r="AI99" s="1">
        <f t="shared" si="5"/>
        <v>2</v>
      </c>
      <c r="AJ99" s="1" t="s">
        <v>662</v>
      </c>
      <c r="AK99" s="1" t="s">
        <v>663</v>
      </c>
      <c r="AL99" s="4">
        <f t="shared" ref="AL99:AS99" si="595">IF(ISNUMBER(SEARCH(AL$1,$AK99)), 1, 0)</f>
        <v>1</v>
      </c>
      <c r="AM99" s="4">
        <f t="shared" si="595"/>
        <v>1</v>
      </c>
      <c r="AN99" s="4">
        <f t="shared" si="595"/>
        <v>0</v>
      </c>
      <c r="AO99" s="4">
        <f t="shared" si="595"/>
        <v>0</v>
      </c>
      <c r="AP99" s="4">
        <f t="shared" si="595"/>
        <v>0</v>
      </c>
      <c r="AQ99" s="4">
        <f t="shared" si="595"/>
        <v>1</v>
      </c>
      <c r="AR99" s="4">
        <f t="shared" si="595"/>
        <v>0</v>
      </c>
      <c r="AS99" s="4">
        <f t="shared" si="595"/>
        <v>0</v>
      </c>
      <c r="AU99" s="1" t="s">
        <v>48</v>
      </c>
      <c r="AV99" s="1">
        <f t="shared" si="7"/>
        <v>0</v>
      </c>
      <c r="AW99" s="1">
        <f t="shared" si="8"/>
        <v>1</v>
      </c>
      <c r="AX99" s="1">
        <f t="shared" si="9"/>
        <v>0</v>
      </c>
      <c r="AY99" s="1" t="s">
        <v>47</v>
      </c>
      <c r="AZ99" s="1" t="s">
        <v>47</v>
      </c>
      <c r="BA99" s="1" t="s">
        <v>61</v>
      </c>
      <c r="BB99" s="4">
        <f t="shared" ref="BB99:BJ99" si="596">IF(ISNUMBER(SEARCH(BB$1,$BA99)), 1, 0)</f>
        <v>0</v>
      </c>
      <c r="BC99" s="4">
        <f t="shared" si="596"/>
        <v>0</v>
      </c>
      <c r="BD99" s="4">
        <f t="shared" si="596"/>
        <v>0</v>
      </c>
      <c r="BE99" s="4">
        <f t="shared" si="596"/>
        <v>0</v>
      </c>
      <c r="BF99" s="4">
        <f t="shared" si="596"/>
        <v>0</v>
      </c>
      <c r="BG99" s="4">
        <f t="shared" si="596"/>
        <v>0</v>
      </c>
      <c r="BH99" s="4">
        <f t="shared" si="596"/>
        <v>0</v>
      </c>
      <c r="BI99" s="4">
        <f t="shared" si="596"/>
        <v>0</v>
      </c>
      <c r="BJ99" s="4">
        <f t="shared" si="596"/>
        <v>1</v>
      </c>
      <c r="BK99" s="4">
        <f t="shared" si="11"/>
        <v>1</v>
      </c>
      <c r="BO99" s="4">
        <f t="shared" ref="BO99:BU99" si="597">IF(ISNUMBER(SEARCH(BO$1,$BN99)), 1, 0)</f>
        <v>0</v>
      </c>
      <c r="BP99" s="4">
        <f t="shared" si="597"/>
        <v>0</v>
      </c>
      <c r="BQ99" s="4">
        <f t="shared" si="597"/>
        <v>0</v>
      </c>
      <c r="BR99" s="4">
        <f t="shared" si="597"/>
        <v>0</v>
      </c>
      <c r="BS99" s="4">
        <f t="shared" si="597"/>
        <v>0</v>
      </c>
      <c r="BT99" s="4">
        <f t="shared" si="597"/>
        <v>0</v>
      </c>
      <c r="BU99" s="4">
        <f t="shared" si="597"/>
        <v>0</v>
      </c>
      <c r="BW99" s="1" t="s">
        <v>516</v>
      </c>
      <c r="BZ99" s="1" t="s">
        <v>516</v>
      </c>
      <c r="DC99" s="1" t="s">
        <v>238</v>
      </c>
    </row>
    <row r="100" spans="1:107" ht="15.75" customHeight="1" x14ac:dyDescent="0.25">
      <c r="A100" s="1" t="b">
        <v>1</v>
      </c>
      <c r="B100" s="3">
        <v>46167.016828703701</v>
      </c>
      <c r="C100" s="1" t="s">
        <v>664</v>
      </c>
      <c r="D100" s="1" t="s">
        <v>159</v>
      </c>
      <c r="E100" s="4">
        <f t="shared" ref="E100:K100" si="598">IF(ISNUMBER(SEARCH(E$1,$D100)), SEARCH(E$1,$D100), 0)</f>
        <v>1</v>
      </c>
      <c r="F100" s="4">
        <f t="shared" si="598"/>
        <v>0</v>
      </c>
      <c r="G100" s="4">
        <f t="shared" si="598"/>
        <v>0</v>
      </c>
      <c r="H100" s="4">
        <f t="shared" si="598"/>
        <v>0</v>
      </c>
      <c r="I100" s="4">
        <f t="shared" si="598"/>
        <v>30</v>
      </c>
      <c r="J100" s="4">
        <f t="shared" si="598"/>
        <v>62</v>
      </c>
      <c r="K100" s="4">
        <f t="shared" si="598"/>
        <v>0</v>
      </c>
      <c r="L100" s="4">
        <f t="shared" si="1"/>
        <v>62</v>
      </c>
      <c r="N100" s="1" t="s">
        <v>328</v>
      </c>
      <c r="O100" s="4">
        <f t="shared" ref="O100:T100" si="599">IF(ISNUMBER(SEARCH(O$1,$N100)), 1, 0)</f>
        <v>1</v>
      </c>
      <c r="P100" s="4">
        <f t="shared" si="599"/>
        <v>1</v>
      </c>
      <c r="Q100" s="4">
        <f t="shared" si="599"/>
        <v>1</v>
      </c>
      <c r="R100" s="4">
        <f t="shared" si="599"/>
        <v>0</v>
      </c>
      <c r="S100" s="4">
        <f t="shared" si="599"/>
        <v>0</v>
      </c>
      <c r="T100" s="4">
        <f t="shared" si="599"/>
        <v>0</v>
      </c>
      <c r="W100" s="1" t="str">
        <f t="shared" si="557"/>
        <v>False</v>
      </c>
      <c r="X100" s="1" t="str">
        <f t="shared" si="557"/>
        <v>False</v>
      </c>
      <c r="Y100" s="1" t="str">
        <f t="shared" si="557"/>
        <v>False</v>
      </c>
      <c r="Z100" s="1" t="str">
        <f t="shared" si="557"/>
        <v>False</v>
      </c>
      <c r="AA100" s="1" t="str">
        <f t="shared" si="557"/>
        <v>False</v>
      </c>
      <c r="AB100" s="1" t="s">
        <v>31</v>
      </c>
      <c r="AC100" s="4">
        <f t="shared" ref="AC100:AH100" si="600">IF(ISNUMBER(SEARCH(AC$1,$AB100)), 1, 0)</f>
        <v>0</v>
      </c>
      <c r="AD100" s="4">
        <f t="shared" si="600"/>
        <v>0</v>
      </c>
      <c r="AE100" s="4">
        <f t="shared" si="600"/>
        <v>0</v>
      </c>
      <c r="AF100" s="4">
        <f t="shared" si="600"/>
        <v>1</v>
      </c>
      <c r="AG100" s="4">
        <f t="shared" si="600"/>
        <v>0</v>
      </c>
      <c r="AH100" s="4">
        <f t="shared" si="600"/>
        <v>0</v>
      </c>
      <c r="AI100" s="1">
        <f t="shared" si="5"/>
        <v>1</v>
      </c>
      <c r="AK100" s="1" t="s">
        <v>288</v>
      </c>
      <c r="AL100" s="4">
        <f t="shared" ref="AL100:AS100" si="601">IF(ISNUMBER(SEARCH(AL$1,$AK100)), 1, 0)</f>
        <v>0</v>
      </c>
      <c r="AM100" s="4">
        <f t="shared" si="601"/>
        <v>1</v>
      </c>
      <c r="AN100" s="4">
        <f t="shared" si="601"/>
        <v>0</v>
      </c>
      <c r="AO100" s="4">
        <f t="shared" si="601"/>
        <v>1</v>
      </c>
      <c r="AP100" s="4">
        <f t="shared" si="601"/>
        <v>0</v>
      </c>
      <c r="AQ100" s="4">
        <f t="shared" si="601"/>
        <v>0</v>
      </c>
      <c r="AR100" s="4">
        <f t="shared" si="601"/>
        <v>0</v>
      </c>
      <c r="AS100" s="4">
        <f t="shared" si="601"/>
        <v>0</v>
      </c>
      <c r="AU100" s="1" t="s">
        <v>47</v>
      </c>
      <c r="AV100" s="1">
        <f t="shared" si="7"/>
        <v>1</v>
      </c>
      <c r="AW100" s="1">
        <f t="shared" si="8"/>
        <v>0</v>
      </c>
      <c r="AX100" s="1">
        <f t="shared" si="9"/>
        <v>0</v>
      </c>
      <c r="AY100" s="1" t="s">
        <v>48</v>
      </c>
      <c r="BA100" s="1" t="s">
        <v>665</v>
      </c>
      <c r="BB100" s="4">
        <f t="shared" ref="BB100:BJ100" si="602">IF(ISNUMBER(SEARCH(BB$1,$BA100)), 1, 0)</f>
        <v>0</v>
      </c>
      <c r="BC100" s="4">
        <f t="shared" si="602"/>
        <v>0</v>
      </c>
      <c r="BD100" s="4">
        <f t="shared" si="602"/>
        <v>0</v>
      </c>
      <c r="BE100" s="4">
        <f t="shared" si="602"/>
        <v>1</v>
      </c>
      <c r="BF100" s="4">
        <f t="shared" si="602"/>
        <v>0</v>
      </c>
      <c r="BG100" s="4">
        <f t="shared" si="602"/>
        <v>0</v>
      </c>
      <c r="BH100" s="4">
        <f t="shared" si="602"/>
        <v>0</v>
      </c>
      <c r="BI100" s="4">
        <f t="shared" si="602"/>
        <v>1</v>
      </c>
      <c r="BJ100" s="4">
        <f t="shared" si="602"/>
        <v>1</v>
      </c>
      <c r="BK100" s="4">
        <f t="shared" si="11"/>
        <v>3</v>
      </c>
      <c r="BM100" s="1" t="s">
        <v>232</v>
      </c>
      <c r="BN100" s="1" t="s">
        <v>666</v>
      </c>
      <c r="BO100" s="4">
        <f t="shared" ref="BO100:BU100" si="603">IF(ISNUMBER(SEARCH(BO$1,$BN100)), 1, 0)</f>
        <v>0</v>
      </c>
      <c r="BP100" s="4">
        <f t="shared" si="603"/>
        <v>0</v>
      </c>
      <c r="BQ100" s="4">
        <f t="shared" si="603"/>
        <v>0</v>
      </c>
      <c r="BR100" s="4">
        <f t="shared" si="603"/>
        <v>1</v>
      </c>
      <c r="BS100" s="4">
        <f t="shared" si="603"/>
        <v>1</v>
      </c>
      <c r="BT100" s="4">
        <f t="shared" si="603"/>
        <v>0</v>
      </c>
      <c r="BU100" s="4">
        <f t="shared" si="603"/>
        <v>1</v>
      </c>
      <c r="CH100" s="1" t="s">
        <v>667</v>
      </c>
      <c r="CJ100" s="1" t="s">
        <v>668</v>
      </c>
      <c r="CL100" s="1" t="s">
        <v>352</v>
      </c>
      <c r="CR100" s="1" t="s">
        <v>250</v>
      </c>
      <c r="DC100" s="1" t="s">
        <v>238</v>
      </c>
    </row>
    <row r="101" spans="1:107" ht="15.75" customHeight="1" x14ac:dyDescent="0.25">
      <c r="A101" s="1" t="b">
        <v>1</v>
      </c>
      <c r="B101" s="3">
        <v>46167.020335648151</v>
      </c>
      <c r="C101" s="1" t="s">
        <v>669</v>
      </c>
      <c r="D101" s="1" t="s">
        <v>5</v>
      </c>
      <c r="E101" s="4">
        <f t="shared" ref="E101:K101" si="604">IF(ISNUMBER(SEARCH(E$1,$D101)), SEARCH(E$1,$D101), 0)</f>
        <v>0</v>
      </c>
      <c r="F101" s="4">
        <f t="shared" si="604"/>
        <v>1</v>
      </c>
      <c r="G101" s="4">
        <f t="shared" si="604"/>
        <v>0</v>
      </c>
      <c r="H101" s="4">
        <f t="shared" si="604"/>
        <v>0</v>
      </c>
      <c r="I101" s="4">
        <f t="shared" si="604"/>
        <v>0</v>
      </c>
      <c r="J101" s="4">
        <f t="shared" si="604"/>
        <v>0</v>
      </c>
      <c r="K101" s="4">
        <f t="shared" si="604"/>
        <v>0</v>
      </c>
      <c r="L101" s="4">
        <f t="shared" si="1"/>
        <v>1</v>
      </c>
      <c r="N101" s="1" t="s">
        <v>187</v>
      </c>
      <c r="O101" s="4">
        <f t="shared" ref="O101:T101" si="605">IF(ISNUMBER(SEARCH(O$1,$N101)), 1, 0)</f>
        <v>1</v>
      </c>
      <c r="P101" s="4">
        <f t="shared" si="605"/>
        <v>1</v>
      </c>
      <c r="Q101" s="4">
        <f t="shared" si="605"/>
        <v>1</v>
      </c>
      <c r="R101" s="4">
        <f t="shared" si="605"/>
        <v>1</v>
      </c>
      <c r="S101" s="4">
        <f t="shared" si="605"/>
        <v>1</v>
      </c>
      <c r="T101" s="4">
        <f t="shared" si="605"/>
        <v>1</v>
      </c>
      <c r="V101" s="1" t="s">
        <v>25</v>
      </c>
      <c r="W101" s="1" t="str">
        <f t="shared" si="557"/>
        <v>False</v>
      </c>
      <c r="X101" s="1" t="str">
        <f t="shared" si="557"/>
        <v>False</v>
      </c>
      <c r="Y101" s="1" t="str">
        <f t="shared" si="557"/>
        <v>False</v>
      </c>
      <c r="Z101" s="1" t="str">
        <f t="shared" si="557"/>
        <v>True</v>
      </c>
      <c r="AA101" s="1" t="str">
        <f t="shared" si="557"/>
        <v>False</v>
      </c>
      <c r="AB101" s="1" t="s">
        <v>560</v>
      </c>
      <c r="AC101" s="4">
        <f t="shared" ref="AC101:AH101" si="606">IF(ISNUMBER(SEARCH(AC$1,$AB101)), 1, 0)</f>
        <v>1</v>
      </c>
      <c r="AD101" s="4">
        <f t="shared" si="606"/>
        <v>0</v>
      </c>
      <c r="AE101" s="4">
        <f t="shared" si="606"/>
        <v>1</v>
      </c>
      <c r="AF101" s="4">
        <f t="shared" si="606"/>
        <v>0</v>
      </c>
      <c r="AG101" s="4">
        <f t="shared" si="606"/>
        <v>0</v>
      </c>
      <c r="AH101" s="4">
        <f t="shared" si="606"/>
        <v>1</v>
      </c>
      <c r="AI101" s="1">
        <f t="shared" si="5"/>
        <v>3</v>
      </c>
      <c r="AK101" s="1" t="s">
        <v>288</v>
      </c>
      <c r="AL101" s="4">
        <f t="shared" ref="AL101:AS101" si="607">IF(ISNUMBER(SEARCH(AL$1,$AK101)), 1, 0)</f>
        <v>0</v>
      </c>
      <c r="AM101" s="4">
        <f t="shared" si="607"/>
        <v>1</v>
      </c>
      <c r="AN101" s="4">
        <f t="shared" si="607"/>
        <v>0</v>
      </c>
      <c r="AO101" s="4">
        <f t="shared" si="607"/>
        <v>1</v>
      </c>
      <c r="AP101" s="4">
        <f t="shared" si="607"/>
        <v>0</v>
      </c>
      <c r="AQ101" s="4">
        <f t="shared" si="607"/>
        <v>0</v>
      </c>
      <c r="AR101" s="4">
        <f t="shared" si="607"/>
        <v>0</v>
      </c>
      <c r="AS101" s="4">
        <f t="shared" si="607"/>
        <v>0</v>
      </c>
      <c r="AU101" s="1" t="s">
        <v>48</v>
      </c>
      <c r="AV101" s="1">
        <f t="shared" si="7"/>
        <v>0</v>
      </c>
      <c r="AW101" s="1">
        <f t="shared" si="8"/>
        <v>1</v>
      </c>
      <c r="AX101" s="1">
        <f t="shared" si="9"/>
        <v>0</v>
      </c>
      <c r="AY101" s="1" t="s">
        <v>48</v>
      </c>
      <c r="BA101" s="1" t="s">
        <v>231</v>
      </c>
      <c r="BB101" s="4">
        <f t="shared" ref="BB101:BJ101" si="608">IF(ISNUMBER(SEARCH(BB$1,$BA101)), 1, 0)</f>
        <v>1</v>
      </c>
      <c r="BC101" s="4">
        <f t="shared" si="608"/>
        <v>1</v>
      </c>
      <c r="BD101" s="4">
        <f t="shared" si="608"/>
        <v>1</v>
      </c>
      <c r="BE101" s="4">
        <f t="shared" si="608"/>
        <v>1</v>
      </c>
      <c r="BF101" s="4">
        <f t="shared" si="608"/>
        <v>1</v>
      </c>
      <c r="BG101" s="4">
        <f t="shared" si="608"/>
        <v>1</v>
      </c>
      <c r="BH101" s="4">
        <f t="shared" si="608"/>
        <v>0</v>
      </c>
      <c r="BI101" s="4">
        <f t="shared" si="608"/>
        <v>0</v>
      </c>
      <c r="BJ101" s="4">
        <f t="shared" si="608"/>
        <v>1</v>
      </c>
      <c r="BK101" s="4">
        <f t="shared" si="11"/>
        <v>7</v>
      </c>
      <c r="BM101" s="1" t="s">
        <v>166</v>
      </c>
      <c r="BN101" s="1" t="s">
        <v>404</v>
      </c>
      <c r="BO101" s="4">
        <f t="shared" ref="BO101:BU101" si="609">IF(ISNUMBER(SEARCH(BO$1,$BN101)), 1, 0)</f>
        <v>0</v>
      </c>
      <c r="BP101" s="4">
        <f t="shared" si="609"/>
        <v>0</v>
      </c>
      <c r="BQ101" s="4">
        <f t="shared" si="609"/>
        <v>0</v>
      </c>
      <c r="BR101" s="4">
        <f t="shared" si="609"/>
        <v>0</v>
      </c>
      <c r="BS101" s="4">
        <f t="shared" si="609"/>
        <v>0</v>
      </c>
      <c r="BT101" s="4">
        <f t="shared" si="609"/>
        <v>0</v>
      </c>
      <c r="BU101" s="4">
        <f t="shared" si="609"/>
        <v>0</v>
      </c>
      <c r="BV101" s="1" t="s">
        <v>670</v>
      </c>
      <c r="BW101" s="1" t="s">
        <v>212</v>
      </c>
      <c r="CX101" s="1" t="s">
        <v>671</v>
      </c>
      <c r="CY101" s="1" t="s">
        <v>672</v>
      </c>
      <c r="CZ101" s="1" t="s">
        <v>250</v>
      </c>
      <c r="DB101" s="1" t="s">
        <v>673</v>
      </c>
      <c r="DC101" s="1" t="s">
        <v>180</v>
      </c>
    </row>
    <row r="102" spans="1:107" ht="15.75" customHeight="1" x14ac:dyDescent="0.25">
      <c r="A102" s="1" t="b">
        <v>1</v>
      </c>
      <c r="B102" s="3">
        <v>46167.119490740741</v>
      </c>
      <c r="C102" s="1" t="s">
        <v>674</v>
      </c>
      <c r="D102" s="1" t="s">
        <v>4</v>
      </c>
      <c r="E102" s="4">
        <f t="shared" ref="E102:K102" si="610">IF(ISNUMBER(SEARCH(E$1,$D102)), SEARCH(E$1,$D102), 0)</f>
        <v>1</v>
      </c>
      <c r="F102" s="4">
        <f t="shared" si="610"/>
        <v>0</v>
      </c>
      <c r="G102" s="4">
        <f t="shared" si="610"/>
        <v>0</v>
      </c>
      <c r="H102" s="4">
        <f t="shared" si="610"/>
        <v>0</v>
      </c>
      <c r="I102" s="4">
        <f t="shared" si="610"/>
        <v>0</v>
      </c>
      <c r="J102" s="4">
        <f t="shared" si="610"/>
        <v>0</v>
      </c>
      <c r="K102" s="4">
        <f t="shared" si="610"/>
        <v>0</v>
      </c>
      <c r="L102" s="4">
        <f t="shared" si="1"/>
        <v>1</v>
      </c>
      <c r="N102" s="1" t="s">
        <v>14</v>
      </c>
      <c r="O102" s="4">
        <f t="shared" ref="O102:T102" si="611">IF(ISNUMBER(SEARCH(O$1,$N102)), 1, 0)</f>
        <v>1</v>
      </c>
      <c r="P102" s="4">
        <f t="shared" si="611"/>
        <v>0</v>
      </c>
      <c r="Q102" s="4">
        <f t="shared" si="611"/>
        <v>0</v>
      </c>
      <c r="R102" s="4">
        <f t="shared" si="611"/>
        <v>0</v>
      </c>
      <c r="S102" s="4">
        <f t="shared" si="611"/>
        <v>0</v>
      </c>
      <c r="T102" s="4">
        <f t="shared" si="611"/>
        <v>0</v>
      </c>
      <c r="W102" s="1" t="str">
        <f t="shared" si="557"/>
        <v>False</v>
      </c>
      <c r="X102" s="1" t="str">
        <f t="shared" si="557"/>
        <v>False</v>
      </c>
      <c r="Y102" s="1" t="str">
        <f t="shared" si="557"/>
        <v>False</v>
      </c>
      <c r="Z102" s="1" t="str">
        <f t="shared" si="557"/>
        <v>False</v>
      </c>
      <c r="AA102" s="1" t="str">
        <f t="shared" si="557"/>
        <v>False</v>
      </c>
      <c r="AB102" s="1" t="s">
        <v>31</v>
      </c>
      <c r="AC102" s="4">
        <f t="shared" ref="AC102:AH102" si="612">IF(ISNUMBER(SEARCH(AC$1,$AB102)), 1, 0)</f>
        <v>0</v>
      </c>
      <c r="AD102" s="4">
        <f t="shared" si="612"/>
        <v>0</v>
      </c>
      <c r="AE102" s="4">
        <f t="shared" si="612"/>
        <v>0</v>
      </c>
      <c r="AF102" s="4">
        <f t="shared" si="612"/>
        <v>1</v>
      </c>
      <c r="AG102" s="4">
        <f t="shared" si="612"/>
        <v>0</v>
      </c>
      <c r="AH102" s="4">
        <f t="shared" si="612"/>
        <v>0</v>
      </c>
      <c r="AI102" s="1">
        <f t="shared" si="5"/>
        <v>1</v>
      </c>
      <c r="AK102" s="1" t="s">
        <v>38</v>
      </c>
      <c r="AL102" s="4">
        <f t="shared" ref="AL102:AS102" si="613">IF(ISNUMBER(SEARCH(AL$1,$AK102)), 1, 0)</f>
        <v>0</v>
      </c>
      <c r="AM102" s="4">
        <f t="shared" si="613"/>
        <v>1</v>
      </c>
      <c r="AN102" s="4">
        <f t="shared" si="613"/>
        <v>0</v>
      </c>
      <c r="AO102" s="4">
        <f t="shared" si="613"/>
        <v>0</v>
      </c>
      <c r="AP102" s="4">
        <f t="shared" si="613"/>
        <v>0</v>
      </c>
      <c r="AQ102" s="4">
        <f t="shared" si="613"/>
        <v>0</v>
      </c>
      <c r="AR102" s="4">
        <f t="shared" si="613"/>
        <v>0</v>
      </c>
      <c r="AS102" s="4">
        <f t="shared" si="613"/>
        <v>0</v>
      </c>
      <c r="AU102" s="1" t="s">
        <v>47</v>
      </c>
      <c r="AV102" s="1">
        <f t="shared" si="7"/>
        <v>1</v>
      </c>
      <c r="AW102" s="1">
        <f t="shared" si="8"/>
        <v>0</v>
      </c>
      <c r="AX102" s="1">
        <f t="shared" si="9"/>
        <v>0</v>
      </c>
      <c r="AY102" s="1" t="s">
        <v>48</v>
      </c>
      <c r="BA102" s="1" t="s">
        <v>61</v>
      </c>
      <c r="BB102" s="4">
        <f t="shared" ref="BB102:BJ102" si="614">IF(ISNUMBER(SEARCH(BB$1,$BA102)), 1, 0)</f>
        <v>0</v>
      </c>
      <c r="BC102" s="4">
        <f t="shared" si="614"/>
        <v>0</v>
      </c>
      <c r="BD102" s="4">
        <f t="shared" si="614"/>
        <v>0</v>
      </c>
      <c r="BE102" s="4">
        <f t="shared" si="614"/>
        <v>0</v>
      </c>
      <c r="BF102" s="4">
        <f t="shared" si="614"/>
        <v>0</v>
      </c>
      <c r="BG102" s="4">
        <f t="shared" si="614"/>
        <v>0</v>
      </c>
      <c r="BH102" s="4">
        <f t="shared" si="614"/>
        <v>0</v>
      </c>
      <c r="BI102" s="4">
        <f t="shared" si="614"/>
        <v>0</v>
      </c>
      <c r="BJ102" s="4">
        <f t="shared" si="614"/>
        <v>1</v>
      </c>
      <c r="BK102" s="4">
        <f t="shared" si="11"/>
        <v>1</v>
      </c>
      <c r="BM102" s="1" t="s">
        <v>232</v>
      </c>
      <c r="BN102" s="1" t="s">
        <v>72</v>
      </c>
      <c r="BO102" s="4">
        <f t="shared" ref="BO102:BU102" si="615">IF(ISNUMBER(SEARCH(BO$1,$BN102)), 1, 0)</f>
        <v>0</v>
      </c>
      <c r="BP102" s="4">
        <f t="shared" si="615"/>
        <v>0</v>
      </c>
      <c r="BQ102" s="4">
        <f t="shared" si="615"/>
        <v>0</v>
      </c>
      <c r="BR102" s="4">
        <f t="shared" si="615"/>
        <v>0</v>
      </c>
      <c r="BS102" s="4">
        <f t="shared" si="615"/>
        <v>0</v>
      </c>
      <c r="BT102" s="4">
        <f t="shared" si="615"/>
        <v>0</v>
      </c>
      <c r="BU102" s="4">
        <f t="shared" si="615"/>
        <v>1</v>
      </c>
      <c r="DC102" s="1" t="s">
        <v>180</v>
      </c>
    </row>
    <row r="103" spans="1:107" ht="15.75" customHeight="1" x14ac:dyDescent="0.25">
      <c r="A103" s="1" t="b">
        <v>1</v>
      </c>
      <c r="B103" s="3">
        <v>46167.296018518522</v>
      </c>
      <c r="C103" s="1" t="s">
        <v>675</v>
      </c>
      <c r="D103" s="1" t="s">
        <v>207</v>
      </c>
      <c r="E103" s="4">
        <f t="shared" ref="E103:K103" si="616">IF(ISNUMBER(SEARCH(E$1,$D103)), SEARCH(E$1,$D103), 0)</f>
        <v>1</v>
      </c>
      <c r="F103" s="4">
        <f t="shared" si="616"/>
        <v>30</v>
      </c>
      <c r="G103" s="4">
        <f t="shared" si="616"/>
        <v>0</v>
      </c>
      <c r="H103" s="4">
        <f t="shared" si="616"/>
        <v>0</v>
      </c>
      <c r="I103" s="4">
        <f t="shared" si="616"/>
        <v>0</v>
      </c>
      <c r="J103" s="4">
        <f t="shared" si="616"/>
        <v>0</v>
      </c>
      <c r="K103" s="4">
        <f t="shared" si="616"/>
        <v>0</v>
      </c>
      <c r="L103" s="4">
        <f t="shared" si="1"/>
        <v>30</v>
      </c>
      <c r="N103" s="1" t="s">
        <v>240</v>
      </c>
      <c r="O103" s="4">
        <f t="shared" ref="O103:T103" si="617">IF(ISNUMBER(SEARCH(O$1,$N103)), 1, 0)</f>
        <v>1</v>
      </c>
      <c r="P103" s="4">
        <f t="shared" si="617"/>
        <v>1</v>
      </c>
      <c r="Q103" s="4">
        <f t="shared" si="617"/>
        <v>1</v>
      </c>
      <c r="R103" s="4">
        <f t="shared" si="617"/>
        <v>1</v>
      </c>
      <c r="S103" s="4">
        <f t="shared" si="617"/>
        <v>0</v>
      </c>
      <c r="T103" s="4">
        <f t="shared" si="617"/>
        <v>0</v>
      </c>
      <c r="W103" s="1" t="str">
        <f t="shared" ref="W103:AA112" si="618">IF(W$1=$V103, "True", "False")</f>
        <v>False</v>
      </c>
      <c r="X103" s="1" t="str">
        <f t="shared" si="618"/>
        <v>False</v>
      </c>
      <c r="Y103" s="1" t="str">
        <f t="shared" si="618"/>
        <v>False</v>
      </c>
      <c r="Z103" s="1" t="str">
        <f t="shared" si="618"/>
        <v>False</v>
      </c>
      <c r="AA103" s="1" t="str">
        <f t="shared" si="618"/>
        <v>False</v>
      </c>
      <c r="AB103" s="1" t="s">
        <v>31</v>
      </c>
      <c r="AC103" s="4">
        <f t="shared" ref="AC103:AH103" si="619">IF(ISNUMBER(SEARCH(AC$1,$AB103)), 1, 0)</f>
        <v>0</v>
      </c>
      <c r="AD103" s="4">
        <f t="shared" si="619"/>
        <v>0</v>
      </c>
      <c r="AE103" s="4">
        <f t="shared" si="619"/>
        <v>0</v>
      </c>
      <c r="AF103" s="4">
        <f t="shared" si="619"/>
        <v>1</v>
      </c>
      <c r="AG103" s="4">
        <f t="shared" si="619"/>
        <v>0</v>
      </c>
      <c r="AH103" s="4">
        <f t="shared" si="619"/>
        <v>0</v>
      </c>
      <c r="AI103" s="1">
        <f t="shared" si="5"/>
        <v>1</v>
      </c>
      <c r="AK103" s="1" t="s">
        <v>611</v>
      </c>
      <c r="AL103" s="4">
        <f t="shared" ref="AL103:AS103" si="620">IF(ISNUMBER(SEARCH(AL$1,$AK103)), 1, 0)</f>
        <v>0</v>
      </c>
      <c r="AM103" s="4">
        <f t="shared" si="620"/>
        <v>1</v>
      </c>
      <c r="AN103" s="4">
        <f t="shared" si="620"/>
        <v>1</v>
      </c>
      <c r="AO103" s="4">
        <f t="shared" si="620"/>
        <v>1</v>
      </c>
      <c r="AP103" s="4">
        <f t="shared" si="620"/>
        <v>1</v>
      </c>
      <c r="AQ103" s="4">
        <f t="shared" si="620"/>
        <v>1</v>
      </c>
      <c r="AR103" s="4">
        <f t="shared" si="620"/>
        <v>1</v>
      </c>
      <c r="AS103" s="4">
        <f t="shared" si="620"/>
        <v>0</v>
      </c>
      <c r="AU103" s="1" t="s">
        <v>47</v>
      </c>
      <c r="AV103" s="1">
        <f t="shared" si="7"/>
        <v>1</v>
      </c>
      <c r="AW103" s="1">
        <f t="shared" si="8"/>
        <v>0</v>
      </c>
      <c r="AX103" s="1">
        <f t="shared" si="9"/>
        <v>0</v>
      </c>
      <c r="AY103" s="1" t="s">
        <v>48</v>
      </c>
      <c r="BA103" s="1" t="s">
        <v>676</v>
      </c>
      <c r="BB103" s="4">
        <f t="shared" ref="BB103:BJ103" si="621">IF(ISNUMBER(SEARCH(BB$1,$BA103)), 1, 0)</f>
        <v>0</v>
      </c>
      <c r="BC103" s="4">
        <f t="shared" si="621"/>
        <v>0</v>
      </c>
      <c r="BD103" s="4">
        <f t="shared" si="621"/>
        <v>1</v>
      </c>
      <c r="BE103" s="4">
        <f t="shared" si="621"/>
        <v>1</v>
      </c>
      <c r="BF103" s="4">
        <f t="shared" si="621"/>
        <v>0</v>
      </c>
      <c r="BG103" s="4">
        <f t="shared" si="621"/>
        <v>0</v>
      </c>
      <c r="BH103" s="4">
        <f t="shared" si="621"/>
        <v>0</v>
      </c>
      <c r="BI103" s="4">
        <f t="shared" si="621"/>
        <v>0</v>
      </c>
      <c r="BJ103" s="4">
        <f t="shared" si="621"/>
        <v>0</v>
      </c>
      <c r="BK103" s="4">
        <f t="shared" si="11"/>
        <v>2</v>
      </c>
      <c r="BM103" s="1" t="s">
        <v>190</v>
      </c>
      <c r="BN103" s="1" t="s">
        <v>677</v>
      </c>
      <c r="BO103" s="4">
        <f t="shared" ref="BO103:BU103" si="622">IF(ISNUMBER(SEARCH(BO$1,$BN103)), 1, 0)</f>
        <v>0</v>
      </c>
      <c r="BP103" s="4">
        <f t="shared" si="622"/>
        <v>1</v>
      </c>
      <c r="BQ103" s="4">
        <f t="shared" si="622"/>
        <v>1</v>
      </c>
      <c r="BR103" s="4">
        <f t="shared" si="622"/>
        <v>0</v>
      </c>
      <c r="BS103" s="4">
        <f t="shared" si="622"/>
        <v>0</v>
      </c>
      <c r="BT103" s="4">
        <f t="shared" si="622"/>
        <v>1</v>
      </c>
      <c r="BU103" s="4">
        <f t="shared" si="622"/>
        <v>0</v>
      </c>
      <c r="CX103" s="1" t="s">
        <v>678</v>
      </c>
      <c r="CZ103" s="1" t="s">
        <v>679</v>
      </c>
      <c r="DC103" s="1" t="s">
        <v>180</v>
      </c>
    </row>
    <row r="104" spans="1:107" ht="15.75" customHeight="1" x14ac:dyDescent="0.25">
      <c r="A104" s="1" t="b">
        <v>0</v>
      </c>
      <c r="B104" s="3">
        <v>46167.317615740743</v>
      </c>
      <c r="C104" s="1" t="s">
        <v>680</v>
      </c>
      <c r="D104" s="1" t="s">
        <v>207</v>
      </c>
      <c r="E104" s="4">
        <f t="shared" ref="E104:K104" si="623">IF(ISNUMBER(SEARCH(E$1,$D104)), SEARCH(E$1,$D104), 0)</f>
        <v>1</v>
      </c>
      <c r="F104" s="4">
        <f t="shared" si="623"/>
        <v>30</v>
      </c>
      <c r="G104" s="4">
        <f t="shared" si="623"/>
        <v>0</v>
      </c>
      <c r="H104" s="4">
        <f t="shared" si="623"/>
        <v>0</v>
      </c>
      <c r="I104" s="4">
        <f t="shared" si="623"/>
        <v>0</v>
      </c>
      <c r="J104" s="4">
        <f t="shared" si="623"/>
        <v>0</v>
      </c>
      <c r="K104" s="4">
        <f t="shared" si="623"/>
        <v>0</v>
      </c>
      <c r="L104" s="4">
        <f t="shared" si="1"/>
        <v>30</v>
      </c>
      <c r="N104" s="1" t="s">
        <v>208</v>
      </c>
      <c r="O104" s="4">
        <f t="shared" ref="O104:T104" si="624">IF(ISNUMBER(SEARCH(O$1,$N104)), 1, 0)</f>
        <v>1</v>
      </c>
      <c r="P104" s="4">
        <f t="shared" si="624"/>
        <v>1</v>
      </c>
      <c r="Q104" s="4">
        <f t="shared" si="624"/>
        <v>0</v>
      </c>
      <c r="R104" s="4">
        <f t="shared" si="624"/>
        <v>1</v>
      </c>
      <c r="S104" s="4">
        <f t="shared" si="624"/>
        <v>0</v>
      </c>
      <c r="T104" s="4">
        <f t="shared" si="624"/>
        <v>0</v>
      </c>
      <c r="V104" s="1" t="s">
        <v>24</v>
      </c>
      <c r="W104" s="1" t="str">
        <f t="shared" si="618"/>
        <v>False</v>
      </c>
      <c r="X104" s="1" t="str">
        <f t="shared" si="618"/>
        <v>False</v>
      </c>
      <c r="Y104" s="1" t="str">
        <f t="shared" si="618"/>
        <v>True</v>
      </c>
      <c r="Z104" s="1" t="str">
        <f t="shared" si="618"/>
        <v>False</v>
      </c>
      <c r="AA104" s="1" t="str">
        <f t="shared" si="618"/>
        <v>False</v>
      </c>
      <c r="AB104" s="1" t="s">
        <v>487</v>
      </c>
      <c r="AC104" s="4">
        <f t="shared" ref="AC104:AH104" si="625">IF(ISNUMBER(SEARCH(AC$1,$AB104)), 1, 0)</f>
        <v>0</v>
      </c>
      <c r="AD104" s="4">
        <f t="shared" si="625"/>
        <v>0</v>
      </c>
      <c r="AE104" s="4">
        <f t="shared" si="625"/>
        <v>0</v>
      </c>
      <c r="AF104" s="4">
        <f t="shared" si="625"/>
        <v>1</v>
      </c>
      <c r="AG104" s="4">
        <f t="shared" si="625"/>
        <v>0</v>
      </c>
      <c r="AH104" s="4">
        <f t="shared" si="625"/>
        <v>1</v>
      </c>
      <c r="AI104" s="1">
        <f t="shared" si="5"/>
        <v>2</v>
      </c>
      <c r="AK104" s="1" t="s">
        <v>317</v>
      </c>
      <c r="AL104" s="4">
        <f t="shared" ref="AL104:AS104" si="626">IF(ISNUMBER(SEARCH(AL$1,$AK104)), 1, 0)</f>
        <v>0</v>
      </c>
      <c r="AM104" s="4">
        <f t="shared" si="626"/>
        <v>1</v>
      </c>
      <c r="AN104" s="4">
        <f t="shared" si="626"/>
        <v>0</v>
      </c>
      <c r="AO104" s="4">
        <f t="shared" si="626"/>
        <v>1</v>
      </c>
      <c r="AP104" s="4">
        <f t="shared" si="626"/>
        <v>1</v>
      </c>
      <c r="AQ104" s="4">
        <f t="shared" si="626"/>
        <v>1</v>
      </c>
      <c r="AR104" s="4">
        <f t="shared" si="626"/>
        <v>0</v>
      </c>
      <c r="AS104" s="4">
        <f t="shared" si="626"/>
        <v>0</v>
      </c>
      <c r="AU104" s="1" t="s">
        <v>47</v>
      </c>
      <c r="AV104" s="1">
        <f t="shared" si="7"/>
        <v>1</v>
      </c>
      <c r="AW104" s="1">
        <f t="shared" si="8"/>
        <v>0</v>
      </c>
      <c r="AX104" s="1">
        <f t="shared" si="9"/>
        <v>0</v>
      </c>
      <c r="AY104" s="1" t="s">
        <v>48</v>
      </c>
      <c r="BA104" s="1" t="s">
        <v>231</v>
      </c>
      <c r="BB104" s="4">
        <f t="shared" ref="BB104:BJ104" si="627">IF(ISNUMBER(SEARCH(BB$1,$BA104)), 1, 0)</f>
        <v>1</v>
      </c>
      <c r="BC104" s="4">
        <f t="shared" si="627"/>
        <v>1</v>
      </c>
      <c r="BD104" s="4">
        <f t="shared" si="627"/>
        <v>1</v>
      </c>
      <c r="BE104" s="4">
        <f t="shared" si="627"/>
        <v>1</v>
      </c>
      <c r="BF104" s="4">
        <f t="shared" si="627"/>
        <v>1</v>
      </c>
      <c r="BG104" s="4">
        <f t="shared" si="627"/>
        <v>1</v>
      </c>
      <c r="BH104" s="4">
        <f t="shared" si="627"/>
        <v>0</v>
      </c>
      <c r="BI104" s="4">
        <f t="shared" si="627"/>
        <v>0</v>
      </c>
      <c r="BJ104" s="4">
        <f t="shared" si="627"/>
        <v>1</v>
      </c>
      <c r="BK104" s="4">
        <f t="shared" si="11"/>
        <v>7</v>
      </c>
      <c r="BM104" s="1" t="s">
        <v>190</v>
      </c>
      <c r="BN104" s="1" t="s">
        <v>677</v>
      </c>
      <c r="BO104" s="4">
        <f t="shared" ref="BO104:BU104" si="628">IF(ISNUMBER(SEARCH(BO$1,$BN104)), 1, 0)</f>
        <v>0</v>
      </c>
      <c r="BP104" s="4">
        <f t="shared" si="628"/>
        <v>1</v>
      </c>
      <c r="BQ104" s="4">
        <f t="shared" si="628"/>
        <v>1</v>
      </c>
      <c r="BR104" s="4">
        <f t="shared" si="628"/>
        <v>0</v>
      </c>
      <c r="BS104" s="4">
        <f t="shared" si="628"/>
        <v>0</v>
      </c>
      <c r="BT104" s="4">
        <f t="shared" si="628"/>
        <v>1</v>
      </c>
      <c r="BU104" s="4">
        <f t="shared" si="628"/>
        <v>0</v>
      </c>
    </row>
    <row r="105" spans="1:107" ht="15.75" customHeight="1" x14ac:dyDescent="0.25">
      <c r="A105" s="1" t="b">
        <v>1</v>
      </c>
      <c r="B105" s="3">
        <v>46167.369560185187</v>
      </c>
      <c r="C105" s="1" t="s">
        <v>681</v>
      </c>
      <c r="D105" s="1" t="s">
        <v>8</v>
      </c>
      <c r="E105" s="4">
        <f t="shared" ref="E105:K105" si="629">IF(ISNUMBER(SEARCH(E$1,$D105)), SEARCH(E$1,$D105), 0)</f>
        <v>0</v>
      </c>
      <c r="F105" s="4">
        <f t="shared" si="629"/>
        <v>0</v>
      </c>
      <c r="G105" s="4">
        <f t="shared" si="629"/>
        <v>0</v>
      </c>
      <c r="H105" s="4">
        <f t="shared" si="629"/>
        <v>0</v>
      </c>
      <c r="I105" s="4">
        <f t="shared" si="629"/>
        <v>1</v>
      </c>
      <c r="J105" s="4">
        <f t="shared" si="629"/>
        <v>0</v>
      </c>
      <c r="K105" s="4">
        <f t="shared" si="629"/>
        <v>0</v>
      </c>
      <c r="L105" s="4">
        <f t="shared" si="1"/>
        <v>1</v>
      </c>
      <c r="N105" s="1" t="s">
        <v>328</v>
      </c>
      <c r="O105" s="4">
        <f t="shared" ref="O105:T105" si="630">IF(ISNUMBER(SEARCH(O$1,$N105)), 1, 0)</f>
        <v>1</v>
      </c>
      <c r="P105" s="4">
        <f t="shared" si="630"/>
        <v>1</v>
      </c>
      <c r="Q105" s="4">
        <f t="shared" si="630"/>
        <v>1</v>
      </c>
      <c r="R105" s="4">
        <f t="shared" si="630"/>
        <v>0</v>
      </c>
      <c r="S105" s="4">
        <f t="shared" si="630"/>
        <v>0</v>
      </c>
      <c r="T105" s="4">
        <f t="shared" si="630"/>
        <v>0</v>
      </c>
      <c r="V105" s="1" t="s">
        <v>24</v>
      </c>
      <c r="W105" s="1" t="str">
        <f t="shared" si="618"/>
        <v>False</v>
      </c>
      <c r="X105" s="1" t="str">
        <f t="shared" si="618"/>
        <v>False</v>
      </c>
      <c r="Y105" s="1" t="str">
        <f t="shared" si="618"/>
        <v>True</v>
      </c>
      <c r="Z105" s="1" t="str">
        <f t="shared" si="618"/>
        <v>False</v>
      </c>
      <c r="AA105" s="1" t="str">
        <f t="shared" si="618"/>
        <v>False</v>
      </c>
      <c r="AB105" s="1" t="s">
        <v>357</v>
      </c>
      <c r="AC105" s="4">
        <f t="shared" ref="AC105:AH105" si="631">IF(ISNUMBER(SEARCH(AC$1,$AB105)), 1, 0)</f>
        <v>1</v>
      </c>
      <c r="AD105" s="4">
        <f t="shared" si="631"/>
        <v>0</v>
      </c>
      <c r="AE105" s="4">
        <f t="shared" si="631"/>
        <v>0</v>
      </c>
      <c r="AF105" s="4">
        <f t="shared" si="631"/>
        <v>0</v>
      </c>
      <c r="AG105" s="4">
        <f t="shared" si="631"/>
        <v>0</v>
      </c>
      <c r="AH105" s="4">
        <f t="shared" si="631"/>
        <v>1</v>
      </c>
      <c r="AI105" s="1">
        <f t="shared" si="5"/>
        <v>2</v>
      </c>
      <c r="AK105" s="1" t="s">
        <v>288</v>
      </c>
      <c r="AL105" s="4">
        <f t="shared" ref="AL105:AS105" si="632">IF(ISNUMBER(SEARCH(AL$1,$AK105)), 1, 0)</f>
        <v>0</v>
      </c>
      <c r="AM105" s="4">
        <f t="shared" si="632"/>
        <v>1</v>
      </c>
      <c r="AN105" s="4">
        <f t="shared" si="632"/>
        <v>0</v>
      </c>
      <c r="AO105" s="4">
        <f t="shared" si="632"/>
        <v>1</v>
      </c>
      <c r="AP105" s="4">
        <f t="shared" si="632"/>
        <v>0</v>
      </c>
      <c r="AQ105" s="4">
        <f t="shared" si="632"/>
        <v>0</v>
      </c>
      <c r="AR105" s="4">
        <f t="shared" si="632"/>
        <v>0</v>
      </c>
      <c r="AS105" s="4">
        <f t="shared" si="632"/>
        <v>0</v>
      </c>
      <c r="AU105" s="1" t="s">
        <v>49</v>
      </c>
      <c r="AV105" s="1">
        <f t="shared" si="7"/>
        <v>0</v>
      </c>
      <c r="AW105" s="1">
        <f t="shared" si="8"/>
        <v>0</v>
      </c>
      <c r="AX105" s="1">
        <f t="shared" si="9"/>
        <v>1</v>
      </c>
      <c r="AY105" s="1" t="s">
        <v>48</v>
      </c>
      <c r="BA105" s="1" t="s">
        <v>371</v>
      </c>
      <c r="BB105" s="4">
        <f t="shared" ref="BB105:BJ105" si="633">IF(ISNUMBER(SEARCH(BB$1,$BA105)), 1, 0)</f>
        <v>1</v>
      </c>
      <c r="BC105" s="4">
        <f t="shared" si="633"/>
        <v>1</v>
      </c>
      <c r="BD105" s="4">
        <f t="shared" si="633"/>
        <v>1</v>
      </c>
      <c r="BE105" s="4">
        <f t="shared" si="633"/>
        <v>0</v>
      </c>
      <c r="BF105" s="4">
        <f t="shared" si="633"/>
        <v>1</v>
      </c>
      <c r="BG105" s="4">
        <f t="shared" si="633"/>
        <v>1</v>
      </c>
      <c r="BH105" s="4">
        <f t="shared" si="633"/>
        <v>0</v>
      </c>
      <c r="BI105" s="4">
        <f t="shared" si="633"/>
        <v>0</v>
      </c>
      <c r="BJ105" s="4">
        <f t="shared" si="633"/>
        <v>1</v>
      </c>
      <c r="BK105" s="4">
        <f t="shared" si="11"/>
        <v>6</v>
      </c>
      <c r="BM105" s="1" t="s">
        <v>232</v>
      </c>
      <c r="BN105" s="1" t="s">
        <v>557</v>
      </c>
      <c r="BO105" s="4">
        <f t="shared" ref="BO105:BU105" si="634">IF(ISNUMBER(SEARCH(BO$1,$BN105)), 1, 0)</f>
        <v>0</v>
      </c>
      <c r="BP105" s="4">
        <f t="shared" si="634"/>
        <v>0</v>
      </c>
      <c r="BQ105" s="4">
        <f t="shared" si="634"/>
        <v>0</v>
      </c>
      <c r="BR105" s="4">
        <f t="shared" si="634"/>
        <v>1</v>
      </c>
      <c r="BS105" s="4">
        <f t="shared" si="634"/>
        <v>1</v>
      </c>
      <c r="BT105" s="4">
        <f t="shared" si="634"/>
        <v>0</v>
      </c>
      <c r="BU105" s="4">
        <f t="shared" si="634"/>
        <v>0</v>
      </c>
      <c r="CH105" s="1" t="s">
        <v>173</v>
      </c>
      <c r="CI105" s="1" t="s">
        <v>682</v>
      </c>
      <c r="CJ105" s="1" t="s">
        <v>683</v>
      </c>
      <c r="CL105" s="1" t="s">
        <v>177</v>
      </c>
      <c r="DC105" s="1" t="s">
        <v>238</v>
      </c>
    </row>
    <row r="106" spans="1:107" ht="15.75" customHeight="1" x14ac:dyDescent="0.25">
      <c r="A106" s="1" t="b">
        <v>1</v>
      </c>
      <c r="B106" s="3">
        <v>46167.40320601852</v>
      </c>
      <c r="C106" s="1" t="s">
        <v>684</v>
      </c>
      <c r="D106" s="1" t="s">
        <v>5</v>
      </c>
      <c r="E106" s="4">
        <f t="shared" ref="E106:K106" si="635">IF(ISNUMBER(SEARCH(E$1,$D106)), SEARCH(E$1,$D106), 0)</f>
        <v>0</v>
      </c>
      <c r="F106" s="4">
        <f t="shared" si="635"/>
        <v>1</v>
      </c>
      <c r="G106" s="4">
        <f t="shared" si="635"/>
        <v>0</v>
      </c>
      <c r="H106" s="4">
        <f t="shared" si="635"/>
        <v>0</v>
      </c>
      <c r="I106" s="4">
        <f t="shared" si="635"/>
        <v>0</v>
      </c>
      <c r="J106" s="4">
        <f t="shared" si="635"/>
        <v>0</v>
      </c>
      <c r="K106" s="4">
        <f t="shared" si="635"/>
        <v>0</v>
      </c>
      <c r="L106" s="4">
        <f t="shared" si="1"/>
        <v>1</v>
      </c>
      <c r="N106" s="1" t="s">
        <v>323</v>
      </c>
      <c r="O106" s="4">
        <f t="shared" ref="O106:T106" si="636">IF(ISNUMBER(SEARCH(O$1,$N106)), 1, 0)</f>
        <v>1</v>
      </c>
      <c r="P106" s="4">
        <f t="shared" si="636"/>
        <v>1</v>
      </c>
      <c r="Q106" s="4">
        <f t="shared" si="636"/>
        <v>1</v>
      </c>
      <c r="R106" s="4">
        <f t="shared" si="636"/>
        <v>1</v>
      </c>
      <c r="S106" s="4">
        <f t="shared" si="636"/>
        <v>0</v>
      </c>
      <c r="T106" s="4">
        <f t="shared" si="636"/>
        <v>1</v>
      </c>
      <c r="V106" s="1" t="s">
        <v>24</v>
      </c>
      <c r="W106" s="1" t="str">
        <f t="shared" si="618"/>
        <v>False</v>
      </c>
      <c r="X106" s="1" t="str">
        <f t="shared" si="618"/>
        <v>False</v>
      </c>
      <c r="Y106" s="1" t="str">
        <f t="shared" si="618"/>
        <v>True</v>
      </c>
      <c r="Z106" s="1" t="str">
        <f t="shared" si="618"/>
        <v>False</v>
      </c>
      <c r="AA106" s="1" t="str">
        <f t="shared" si="618"/>
        <v>False</v>
      </c>
      <c r="AB106" s="1" t="s">
        <v>685</v>
      </c>
      <c r="AC106" s="4">
        <f t="shared" ref="AC106:AH106" si="637">IF(ISNUMBER(SEARCH(AC$1,$AB106)), 1, 0)</f>
        <v>0</v>
      </c>
      <c r="AD106" s="4">
        <f t="shared" si="637"/>
        <v>0</v>
      </c>
      <c r="AE106" s="4">
        <f t="shared" si="637"/>
        <v>0</v>
      </c>
      <c r="AF106" s="4">
        <f t="shared" si="637"/>
        <v>1</v>
      </c>
      <c r="AG106" s="4">
        <f t="shared" si="637"/>
        <v>1</v>
      </c>
      <c r="AH106" s="4">
        <f t="shared" si="637"/>
        <v>1</v>
      </c>
      <c r="AI106" s="1">
        <f t="shared" si="5"/>
        <v>3</v>
      </c>
      <c r="AK106" s="1" t="s">
        <v>317</v>
      </c>
      <c r="AL106" s="4">
        <f t="shared" ref="AL106:AS106" si="638">IF(ISNUMBER(SEARCH(AL$1,$AK106)), 1, 0)</f>
        <v>0</v>
      </c>
      <c r="AM106" s="4">
        <f t="shared" si="638"/>
        <v>1</v>
      </c>
      <c r="AN106" s="4">
        <f t="shared" si="638"/>
        <v>0</v>
      </c>
      <c r="AO106" s="4">
        <f t="shared" si="638"/>
        <v>1</v>
      </c>
      <c r="AP106" s="4">
        <f t="shared" si="638"/>
        <v>1</v>
      </c>
      <c r="AQ106" s="4">
        <f t="shared" si="638"/>
        <v>1</v>
      </c>
      <c r="AR106" s="4">
        <f t="shared" si="638"/>
        <v>0</v>
      </c>
      <c r="AS106" s="4">
        <f t="shared" si="638"/>
        <v>0</v>
      </c>
      <c r="AU106" s="1" t="s">
        <v>48</v>
      </c>
      <c r="AV106" s="1">
        <f t="shared" si="7"/>
        <v>0</v>
      </c>
      <c r="AW106" s="1">
        <f t="shared" si="8"/>
        <v>1</v>
      </c>
      <c r="AX106" s="1">
        <f t="shared" si="9"/>
        <v>0</v>
      </c>
      <c r="AY106" s="1" t="s">
        <v>48</v>
      </c>
      <c r="BA106" s="1" t="s">
        <v>225</v>
      </c>
      <c r="BB106" s="4">
        <f t="shared" ref="BB106:BJ106" si="639">IF(ISNUMBER(SEARCH(BB$1,$BA106)), 1, 0)</f>
        <v>0</v>
      </c>
      <c r="BC106" s="4">
        <f t="shared" si="639"/>
        <v>0</v>
      </c>
      <c r="BD106" s="4">
        <f t="shared" si="639"/>
        <v>0</v>
      </c>
      <c r="BE106" s="4">
        <f t="shared" si="639"/>
        <v>1</v>
      </c>
      <c r="BF106" s="4">
        <f t="shared" si="639"/>
        <v>0</v>
      </c>
      <c r="BG106" s="4">
        <f t="shared" si="639"/>
        <v>0</v>
      </c>
      <c r="BH106" s="4">
        <f t="shared" si="639"/>
        <v>0</v>
      </c>
      <c r="BI106" s="4">
        <f t="shared" si="639"/>
        <v>0</v>
      </c>
      <c r="BJ106" s="4">
        <f t="shared" si="639"/>
        <v>1</v>
      </c>
      <c r="BK106" s="4">
        <f t="shared" si="11"/>
        <v>2</v>
      </c>
      <c r="BM106" s="1" t="s">
        <v>190</v>
      </c>
      <c r="BN106" s="1" t="s">
        <v>72</v>
      </c>
      <c r="BO106" s="4">
        <f t="shared" ref="BO106:BU106" si="640">IF(ISNUMBER(SEARCH(BO$1,$BN106)), 1, 0)</f>
        <v>0</v>
      </c>
      <c r="BP106" s="4">
        <f t="shared" si="640"/>
        <v>0</v>
      </c>
      <c r="BQ106" s="4">
        <f t="shared" si="640"/>
        <v>0</v>
      </c>
      <c r="BR106" s="4">
        <f t="shared" si="640"/>
        <v>0</v>
      </c>
      <c r="BS106" s="4">
        <f t="shared" si="640"/>
        <v>0</v>
      </c>
      <c r="BT106" s="4">
        <f t="shared" si="640"/>
        <v>0</v>
      </c>
      <c r="BU106" s="4">
        <f t="shared" si="640"/>
        <v>1</v>
      </c>
      <c r="BW106" s="1" t="s">
        <v>220</v>
      </c>
      <c r="BZ106" s="1" t="s">
        <v>278</v>
      </c>
      <c r="CX106" s="1" t="s">
        <v>686</v>
      </c>
      <c r="CZ106" s="1" t="s">
        <v>333</v>
      </c>
      <c r="DA106" s="1" t="s">
        <v>687</v>
      </c>
      <c r="DB106" s="1" t="s">
        <v>688</v>
      </c>
      <c r="DC106" s="1" t="s">
        <v>180</v>
      </c>
    </row>
    <row r="107" spans="1:107" ht="15.75" customHeight="1" x14ac:dyDescent="0.25">
      <c r="A107" s="1" t="b">
        <v>1</v>
      </c>
      <c r="B107" s="3">
        <v>46167.497002314813</v>
      </c>
      <c r="C107" s="1" t="s">
        <v>689</v>
      </c>
      <c r="D107" s="1" t="s">
        <v>207</v>
      </c>
      <c r="E107" s="4">
        <f t="shared" ref="E107:K107" si="641">IF(ISNUMBER(SEARCH(E$1,$D107)), SEARCH(E$1,$D107), 0)</f>
        <v>1</v>
      </c>
      <c r="F107" s="4">
        <f t="shared" si="641"/>
        <v>30</v>
      </c>
      <c r="G107" s="4">
        <f t="shared" si="641"/>
        <v>0</v>
      </c>
      <c r="H107" s="4">
        <f t="shared" si="641"/>
        <v>0</v>
      </c>
      <c r="I107" s="4">
        <f t="shared" si="641"/>
        <v>0</v>
      </c>
      <c r="J107" s="4">
        <f t="shared" si="641"/>
        <v>0</v>
      </c>
      <c r="K107" s="4">
        <f t="shared" si="641"/>
        <v>0</v>
      </c>
      <c r="L107" s="4">
        <f t="shared" si="1"/>
        <v>30</v>
      </c>
      <c r="N107" s="1" t="s">
        <v>160</v>
      </c>
      <c r="O107" s="4">
        <f t="shared" ref="O107:T107" si="642">IF(ISNUMBER(SEARCH(O$1,$N107)), 1, 0)</f>
        <v>1</v>
      </c>
      <c r="P107" s="4">
        <f t="shared" si="642"/>
        <v>1</v>
      </c>
      <c r="Q107" s="4">
        <f t="shared" si="642"/>
        <v>1</v>
      </c>
      <c r="R107" s="4">
        <f t="shared" si="642"/>
        <v>1</v>
      </c>
      <c r="S107" s="4">
        <f t="shared" si="642"/>
        <v>1</v>
      </c>
      <c r="T107" s="4">
        <f t="shared" si="642"/>
        <v>1</v>
      </c>
      <c r="U107" s="1" t="s">
        <v>690</v>
      </c>
      <c r="V107" s="1" t="s">
        <v>23</v>
      </c>
      <c r="W107" s="1" t="str">
        <f t="shared" si="618"/>
        <v>False</v>
      </c>
      <c r="X107" s="1" t="str">
        <f t="shared" si="618"/>
        <v>True</v>
      </c>
      <c r="Y107" s="1" t="str">
        <f t="shared" si="618"/>
        <v>False</v>
      </c>
      <c r="Z107" s="1" t="str">
        <f t="shared" si="618"/>
        <v>False</v>
      </c>
      <c r="AA107" s="1" t="str">
        <f t="shared" si="618"/>
        <v>False</v>
      </c>
      <c r="AB107" s="1" t="s">
        <v>691</v>
      </c>
      <c r="AC107" s="4">
        <f t="shared" ref="AC107:AH107" si="643">IF(ISNUMBER(SEARCH(AC$1,$AB107)), 1, 0)</f>
        <v>1</v>
      </c>
      <c r="AD107" s="4">
        <f t="shared" si="643"/>
        <v>1</v>
      </c>
      <c r="AE107" s="4">
        <f t="shared" si="643"/>
        <v>1</v>
      </c>
      <c r="AF107" s="4">
        <f t="shared" si="643"/>
        <v>1</v>
      </c>
      <c r="AG107" s="4">
        <f t="shared" si="643"/>
        <v>1</v>
      </c>
      <c r="AH107" s="4">
        <f t="shared" si="643"/>
        <v>1</v>
      </c>
      <c r="AI107" s="1">
        <f t="shared" si="5"/>
        <v>6</v>
      </c>
      <c r="AJ107" s="1" t="s">
        <v>690</v>
      </c>
      <c r="AK107" s="1" t="s">
        <v>604</v>
      </c>
      <c r="AL107" s="4">
        <f t="shared" ref="AL107:AS107" si="644">IF(ISNUMBER(SEARCH(AL$1,$AK107)), 1, 0)</f>
        <v>1</v>
      </c>
      <c r="AM107" s="4">
        <f t="shared" si="644"/>
        <v>1</v>
      </c>
      <c r="AN107" s="4">
        <f t="shared" si="644"/>
        <v>1</v>
      </c>
      <c r="AO107" s="4">
        <f t="shared" si="644"/>
        <v>1</v>
      </c>
      <c r="AP107" s="4">
        <f t="shared" si="644"/>
        <v>1</v>
      </c>
      <c r="AQ107" s="4">
        <f t="shared" si="644"/>
        <v>1</v>
      </c>
      <c r="AR107" s="4">
        <f t="shared" si="644"/>
        <v>1</v>
      </c>
      <c r="AS107" s="4">
        <f t="shared" si="644"/>
        <v>1</v>
      </c>
      <c r="AT107" s="1" t="s">
        <v>690</v>
      </c>
      <c r="AU107" s="1" t="s">
        <v>47</v>
      </c>
      <c r="AV107" s="1">
        <f t="shared" si="7"/>
        <v>1</v>
      </c>
      <c r="AW107" s="1">
        <f t="shared" si="8"/>
        <v>0</v>
      </c>
      <c r="AX107" s="1">
        <f t="shared" si="9"/>
        <v>0</v>
      </c>
      <c r="AY107" s="1" t="s">
        <v>48</v>
      </c>
      <c r="BA107" s="1" t="s">
        <v>692</v>
      </c>
      <c r="BB107" s="4">
        <f t="shared" ref="BB107:BJ107" si="645">IF(ISNUMBER(SEARCH(BB$1,$BA107)), 1, 0)</f>
        <v>1</v>
      </c>
      <c r="BC107" s="4">
        <f t="shared" si="645"/>
        <v>1</v>
      </c>
      <c r="BD107" s="4">
        <f t="shared" si="645"/>
        <v>0</v>
      </c>
      <c r="BE107" s="4">
        <f t="shared" si="645"/>
        <v>1</v>
      </c>
      <c r="BF107" s="4">
        <f t="shared" si="645"/>
        <v>1</v>
      </c>
      <c r="BG107" s="4">
        <f t="shared" si="645"/>
        <v>1</v>
      </c>
      <c r="BH107" s="4">
        <f t="shared" si="645"/>
        <v>1</v>
      </c>
      <c r="BI107" s="4">
        <f t="shared" si="645"/>
        <v>1</v>
      </c>
      <c r="BJ107" s="4">
        <f t="shared" si="645"/>
        <v>1</v>
      </c>
      <c r="BK107" s="4">
        <f t="shared" si="11"/>
        <v>8</v>
      </c>
      <c r="BM107" s="1" t="s">
        <v>190</v>
      </c>
      <c r="BN107" s="1" t="s">
        <v>693</v>
      </c>
      <c r="BO107" s="4">
        <f t="shared" ref="BO107:BU107" si="646">IF(ISNUMBER(SEARCH(BO$1,$BN107)), 1, 0)</f>
        <v>1</v>
      </c>
      <c r="BP107" s="4">
        <f t="shared" si="646"/>
        <v>1</v>
      </c>
      <c r="BQ107" s="4">
        <f t="shared" si="646"/>
        <v>1</v>
      </c>
      <c r="BR107" s="4">
        <f t="shared" si="646"/>
        <v>1</v>
      </c>
      <c r="BS107" s="4">
        <f t="shared" si="646"/>
        <v>1</v>
      </c>
      <c r="BT107" s="4">
        <f t="shared" si="646"/>
        <v>1</v>
      </c>
      <c r="BU107" s="4">
        <f t="shared" si="646"/>
        <v>1</v>
      </c>
      <c r="CX107" s="1" t="s">
        <v>694</v>
      </c>
      <c r="CZ107" s="1" t="s">
        <v>178</v>
      </c>
      <c r="DC107" s="1" t="s">
        <v>180</v>
      </c>
    </row>
    <row r="108" spans="1:107" ht="15.75" customHeight="1" x14ac:dyDescent="0.25">
      <c r="A108" s="1" t="b">
        <v>1</v>
      </c>
      <c r="B108" s="3">
        <v>46167.564583333333</v>
      </c>
      <c r="C108" s="1" t="s">
        <v>695</v>
      </c>
      <c r="D108" s="1" t="s">
        <v>207</v>
      </c>
      <c r="E108" s="4">
        <f t="shared" ref="E108:K108" si="647">IF(ISNUMBER(SEARCH(E$1,$D108)), SEARCH(E$1,$D108), 0)</f>
        <v>1</v>
      </c>
      <c r="F108" s="4">
        <f t="shared" si="647"/>
        <v>30</v>
      </c>
      <c r="G108" s="4">
        <f t="shared" si="647"/>
        <v>0</v>
      </c>
      <c r="H108" s="4">
        <f t="shared" si="647"/>
        <v>0</v>
      </c>
      <c r="I108" s="4">
        <f t="shared" si="647"/>
        <v>0</v>
      </c>
      <c r="J108" s="4">
        <f t="shared" si="647"/>
        <v>0</v>
      </c>
      <c r="K108" s="4">
        <f t="shared" si="647"/>
        <v>0</v>
      </c>
      <c r="L108" s="4">
        <f t="shared" si="1"/>
        <v>30</v>
      </c>
      <c r="N108" s="1" t="s">
        <v>240</v>
      </c>
      <c r="O108" s="4">
        <f t="shared" ref="O108:T108" si="648">IF(ISNUMBER(SEARCH(O$1,$N108)), 1, 0)</f>
        <v>1</v>
      </c>
      <c r="P108" s="4">
        <f t="shared" si="648"/>
        <v>1</v>
      </c>
      <c r="Q108" s="4">
        <f t="shared" si="648"/>
        <v>1</v>
      </c>
      <c r="R108" s="4">
        <f t="shared" si="648"/>
        <v>1</v>
      </c>
      <c r="S108" s="4">
        <f t="shared" si="648"/>
        <v>0</v>
      </c>
      <c r="T108" s="4">
        <f t="shared" si="648"/>
        <v>0</v>
      </c>
      <c r="V108" s="1" t="s">
        <v>26</v>
      </c>
      <c r="W108" s="1" t="str">
        <f t="shared" si="618"/>
        <v>False</v>
      </c>
      <c r="X108" s="1" t="str">
        <f t="shared" si="618"/>
        <v>False</v>
      </c>
      <c r="Y108" s="1" t="str">
        <f t="shared" si="618"/>
        <v>False</v>
      </c>
      <c r="Z108" s="1" t="str">
        <f t="shared" si="618"/>
        <v>False</v>
      </c>
      <c r="AA108" s="1" t="str">
        <f t="shared" si="618"/>
        <v>True</v>
      </c>
      <c r="AB108" s="1" t="s">
        <v>696</v>
      </c>
      <c r="AC108" s="4">
        <f t="shared" ref="AC108:AH108" si="649">IF(ISNUMBER(SEARCH(AC$1,$AB108)), 1, 0)</f>
        <v>0</v>
      </c>
      <c r="AD108" s="4">
        <f t="shared" si="649"/>
        <v>1</v>
      </c>
      <c r="AE108" s="4">
        <f t="shared" si="649"/>
        <v>0</v>
      </c>
      <c r="AF108" s="4">
        <f t="shared" si="649"/>
        <v>0</v>
      </c>
      <c r="AG108" s="4">
        <f t="shared" si="649"/>
        <v>0</v>
      </c>
      <c r="AH108" s="4">
        <f t="shared" si="649"/>
        <v>1</v>
      </c>
      <c r="AI108" s="1">
        <f t="shared" si="5"/>
        <v>2</v>
      </c>
      <c r="AK108" s="1" t="s">
        <v>470</v>
      </c>
      <c r="AL108" s="4">
        <f t="shared" ref="AL108:AS108" si="650">IF(ISNUMBER(SEARCH(AL$1,$AK108)), 1, 0)</f>
        <v>0</v>
      </c>
      <c r="AM108" s="4">
        <f t="shared" si="650"/>
        <v>1</v>
      </c>
      <c r="AN108" s="4">
        <f t="shared" si="650"/>
        <v>0</v>
      </c>
      <c r="AO108" s="4">
        <f t="shared" si="650"/>
        <v>1</v>
      </c>
      <c r="AP108" s="4">
        <f t="shared" si="650"/>
        <v>0</v>
      </c>
      <c r="AQ108" s="4">
        <f t="shared" si="650"/>
        <v>1</v>
      </c>
      <c r="AR108" s="4">
        <f t="shared" si="650"/>
        <v>0</v>
      </c>
      <c r="AS108" s="4">
        <f t="shared" si="650"/>
        <v>0</v>
      </c>
      <c r="AU108" s="1" t="s">
        <v>47</v>
      </c>
      <c r="AV108" s="1">
        <f t="shared" si="7"/>
        <v>1</v>
      </c>
      <c r="AW108" s="1">
        <f t="shared" si="8"/>
        <v>0</v>
      </c>
      <c r="AX108" s="1">
        <f t="shared" si="9"/>
        <v>0</v>
      </c>
      <c r="AY108" s="1" t="s">
        <v>48</v>
      </c>
      <c r="BA108" s="1" t="s">
        <v>318</v>
      </c>
      <c r="BB108" s="4">
        <f t="shared" ref="BB108:BJ108" si="651">IF(ISNUMBER(SEARCH(BB$1,$BA108)), 1, 0)</f>
        <v>0</v>
      </c>
      <c r="BC108" s="4">
        <f t="shared" si="651"/>
        <v>0</v>
      </c>
      <c r="BD108" s="4">
        <f t="shared" si="651"/>
        <v>1</v>
      </c>
      <c r="BE108" s="4">
        <f t="shared" si="651"/>
        <v>1</v>
      </c>
      <c r="BF108" s="4">
        <f t="shared" si="651"/>
        <v>1</v>
      </c>
      <c r="BG108" s="4">
        <f t="shared" si="651"/>
        <v>1</v>
      </c>
      <c r="BH108" s="4">
        <f t="shared" si="651"/>
        <v>0</v>
      </c>
      <c r="BI108" s="4">
        <f t="shared" si="651"/>
        <v>0</v>
      </c>
      <c r="BJ108" s="4">
        <f t="shared" si="651"/>
        <v>1</v>
      </c>
      <c r="BK108" s="4">
        <f t="shared" si="11"/>
        <v>5</v>
      </c>
      <c r="BM108" s="1" t="s">
        <v>166</v>
      </c>
      <c r="BN108" s="1" t="s">
        <v>697</v>
      </c>
      <c r="BO108" s="4">
        <f t="shared" ref="BO108:BU108" si="652">IF(ISNUMBER(SEARCH(BO$1,$BN108)), 1, 0)</f>
        <v>1</v>
      </c>
      <c r="BP108" s="4">
        <f t="shared" si="652"/>
        <v>0</v>
      </c>
      <c r="BQ108" s="4">
        <f t="shared" si="652"/>
        <v>0</v>
      </c>
      <c r="BR108" s="4">
        <f t="shared" si="652"/>
        <v>1</v>
      </c>
      <c r="BS108" s="4">
        <f t="shared" si="652"/>
        <v>0</v>
      </c>
      <c r="BT108" s="4">
        <f t="shared" si="652"/>
        <v>0</v>
      </c>
      <c r="BU108" s="4">
        <f t="shared" si="652"/>
        <v>0</v>
      </c>
      <c r="BV108" s="1" t="s">
        <v>698</v>
      </c>
      <c r="CX108" s="1" t="s">
        <v>643</v>
      </c>
      <c r="CZ108" s="1" t="s">
        <v>178</v>
      </c>
      <c r="DB108" s="1" t="s">
        <v>699</v>
      </c>
      <c r="DC108" s="1" t="s">
        <v>180</v>
      </c>
    </row>
    <row r="109" spans="1:107" ht="15.75" customHeight="1" x14ac:dyDescent="0.25">
      <c r="A109" s="1" t="b">
        <v>0</v>
      </c>
      <c r="B109" s="3">
        <v>46167.585266203707</v>
      </c>
      <c r="C109" s="1" t="s">
        <v>700</v>
      </c>
      <c r="D109" s="1" t="s">
        <v>9</v>
      </c>
      <c r="E109" s="4">
        <f t="shared" ref="E109:K109" si="653">IF(ISNUMBER(SEARCH(E$1,$D109)), SEARCH(E$1,$D109), 0)</f>
        <v>0</v>
      </c>
      <c r="F109" s="4">
        <f t="shared" si="653"/>
        <v>0</v>
      </c>
      <c r="G109" s="4">
        <f t="shared" si="653"/>
        <v>0</v>
      </c>
      <c r="H109" s="4">
        <f t="shared" si="653"/>
        <v>0</v>
      </c>
      <c r="I109" s="4">
        <f t="shared" si="653"/>
        <v>0</v>
      </c>
      <c r="J109" s="4">
        <f t="shared" si="653"/>
        <v>1</v>
      </c>
      <c r="K109" s="4">
        <f t="shared" si="653"/>
        <v>0</v>
      </c>
      <c r="L109" s="4">
        <f t="shared" si="1"/>
        <v>1</v>
      </c>
      <c r="N109" s="1" t="s">
        <v>294</v>
      </c>
      <c r="O109" s="4">
        <f t="shared" ref="O109:T109" si="654">IF(ISNUMBER(SEARCH(O$1,$N109)), 1, 0)</f>
        <v>1</v>
      </c>
      <c r="P109" s="4">
        <f t="shared" si="654"/>
        <v>1</v>
      </c>
      <c r="Q109" s="4">
        <f t="shared" si="654"/>
        <v>0</v>
      </c>
      <c r="R109" s="4">
        <f t="shared" si="654"/>
        <v>0</v>
      </c>
      <c r="S109" s="4">
        <f t="shared" si="654"/>
        <v>0</v>
      </c>
      <c r="T109" s="4">
        <f t="shared" si="654"/>
        <v>0</v>
      </c>
      <c r="W109" s="1" t="str">
        <f t="shared" si="618"/>
        <v>False</v>
      </c>
      <c r="X109" s="1" t="str">
        <f t="shared" si="618"/>
        <v>False</v>
      </c>
      <c r="Y109" s="1" t="str">
        <f t="shared" si="618"/>
        <v>False</v>
      </c>
      <c r="Z109" s="1" t="str">
        <f t="shared" si="618"/>
        <v>False</v>
      </c>
      <c r="AA109" s="1" t="str">
        <f t="shared" si="618"/>
        <v>False</v>
      </c>
      <c r="AC109" s="4">
        <f t="shared" ref="AC109:AH109" si="655">IF(ISNUMBER(SEARCH(AC$1,$AB109)), 1, 0)</f>
        <v>0</v>
      </c>
      <c r="AD109" s="4">
        <f t="shared" si="655"/>
        <v>0</v>
      </c>
      <c r="AE109" s="4">
        <f t="shared" si="655"/>
        <v>0</v>
      </c>
      <c r="AF109" s="4">
        <f t="shared" si="655"/>
        <v>0</v>
      </c>
      <c r="AG109" s="4">
        <f t="shared" si="655"/>
        <v>0</v>
      </c>
      <c r="AH109" s="4">
        <f t="shared" si="655"/>
        <v>0</v>
      </c>
      <c r="AI109" s="1">
        <f t="shared" si="5"/>
        <v>0</v>
      </c>
      <c r="AL109" s="4">
        <f t="shared" ref="AL109:AS109" si="656">IF(ISNUMBER(SEARCH(AL$1,$AK109)), 1, 0)</f>
        <v>0</v>
      </c>
      <c r="AM109" s="4">
        <f t="shared" si="656"/>
        <v>0</v>
      </c>
      <c r="AN109" s="4">
        <f t="shared" si="656"/>
        <v>0</v>
      </c>
      <c r="AO109" s="4">
        <f t="shared" si="656"/>
        <v>0</v>
      </c>
      <c r="AP109" s="4">
        <f t="shared" si="656"/>
        <v>0</v>
      </c>
      <c r="AQ109" s="4">
        <f t="shared" si="656"/>
        <v>0</v>
      </c>
      <c r="AR109" s="4">
        <f t="shared" si="656"/>
        <v>0</v>
      </c>
      <c r="AS109" s="4">
        <f t="shared" si="656"/>
        <v>0</v>
      </c>
      <c r="AV109" s="1">
        <f t="shared" si="7"/>
        <v>0</v>
      </c>
      <c r="AW109" s="1">
        <f t="shared" si="8"/>
        <v>0</v>
      </c>
      <c r="AX109" s="1">
        <f t="shared" si="9"/>
        <v>0</v>
      </c>
      <c r="BB109" s="4">
        <f t="shared" ref="BB109:BJ109" si="657">IF(ISNUMBER(SEARCH(BB$1,$BA109)), 1, 0)</f>
        <v>0</v>
      </c>
      <c r="BC109" s="4">
        <f t="shared" si="657"/>
        <v>0</v>
      </c>
      <c r="BD109" s="4">
        <f t="shared" si="657"/>
        <v>0</v>
      </c>
      <c r="BE109" s="4">
        <f t="shared" si="657"/>
        <v>0</v>
      </c>
      <c r="BF109" s="4">
        <f t="shared" si="657"/>
        <v>0</v>
      </c>
      <c r="BG109" s="4">
        <f t="shared" si="657"/>
        <v>0</v>
      </c>
      <c r="BH109" s="4">
        <f t="shared" si="657"/>
        <v>0</v>
      </c>
      <c r="BI109" s="4">
        <f t="shared" si="657"/>
        <v>0</v>
      </c>
      <c r="BJ109" s="4">
        <f t="shared" si="657"/>
        <v>0</v>
      </c>
      <c r="BK109" s="4">
        <f t="shared" si="11"/>
        <v>0</v>
      </c>
      <c r="BO109" s="4">
        <f t="shared" ref="BO109:BU109" si="658">IF(ISNUMBER(SEARCH(BO$1,$BN109)), 1, 0)</f>
        <v>0</v>
      </c>
      <c r="BP109" s="4">
        <f t="shared" si="658"/>
        <v>0</v>
      </c>
      <c r="BQ109" s="4">
        <f t="shared" si="658"/>
        <v>0</v>
      </c>
      <c r="BR109" s="4">
        <f t="shared" si="658"/>
        <v>0</v>
      </c>
      <c r="BS109" s="4">
        <f t="shared" si="658"/>
        <v>0</v>
      </c>
      <c r="BT109" s="4">
        <f t="shared" si="658"/>
        <v>0</v>
      </c>
      <c r="BU109" s="4">
        <f t="shared" si="658"/>
        <v>0</v>
      </c>
    </row>
    <row r="110" spans="1:107" ht="15.75" customHeight="1" x14ac:dyDescent="0.25">
      <c r="A110" s="1" t="b">
        <v>0</v>
      </c>
      <c r="B110" s="3">
        <v>46167.593252314815</v>
      </c>
      <c r="C110" s="1" t="s">
        <v>701</v>
      </c>
      <c r="D110" s="1" t="s">
        <v>702</v>
      </c>
      <c r="E110" s="4">
        <f t="shared" ref="E110:K110" si="659">IF(ISNUMBER(SEARCH(E$1,$D110)), SEARCH(E$1,$D110), 0)</f>
        <v>1</v>
      </c>
      <c r="F110" s="4">
        <f t="shared" si="659"/>
        <v>0</v>
      </c>
      <c r="G110" s="4">
        <f t="shared" si="659"/>
        <v>30</v>
      </c>
      <c r="H110" s="4">
        <f t="shared" si="659"/>
        <v>0</v>
      </c>
      <c r="I110" s="4">
        <f t="shared" si="659"/>
        <v>0</v>
      </c>
      <c r="J110" s="4">
        <f t="shared" si="659"/>
        <v>86</v>
      </c>
      <c r="K110" s="4">
        <f t="shared" si="659"/>
        <v>0</v>
      </c>
      <c r="L110" s="4">
        <f t="shared" si="1"/>
        <v>86</v>
      </c>
      <c r="N110" s="1" t="s">
        <v>316</v>
      </c>
      <c r="O110" s="4">
        <f t="shared" ref="O110:T110" si="660">IF(ISNUMBER(SEARCH(O$1,$N110)), 1, 0)</f>
        <v>1</v>
      </c>
      <c r="P110" s="4">
        <f t="shared" si="660"/>
        <v>0</v>
      </c>
      <c r="Q110" s="4">
        <f t="shared" si="660"/>
        <v>1</v>
      </c>
      <c r="R110" s="4">
        <f t="shared" si="660"/>
        <v>0</v>
      </c>
      <c r="S110" s="4">
        <f t="shared" si="660"/>
        <v>0</v>
      </c>
      <c r="T110" s="4">
        <f t="shared" si="660"/>
        <v>0</v>
      </c>
      <c r="W110" s="1" t="str">
        <f t="shared" si="618"/>
        <v>False</v>
      </c>
      <c r="X110" s="1" t="str">
        <f t="shared" si="618"/>
        <v>False</v>
      </c>
      <c r="Y110" s="1" t="str">
        <f t="shared" si="618"/>
        <v>False</v>
      </c>
      <c r="Z110" s="1" t="str">
        <f t="shared" si="618"/>
        <v>False</v>
      </c>
      <c r="AA110" s="1" t="str">
        <f t="shared" si="618"/>
        <v>False</v>
      </c>
      <c r="AC110" s="4">
        <f t="shared" ref="AC110:AH110" si="661">IF(ISNUMBER(SEARCH(AC$1,$AB110)), 1, 0)</f>
        <v>0</v>
      </c>
      <c r="AD110" s="4">
        <f t="shared" si="661"/>
        <v>0</v>
      </c>
      <c r="AE110" s="4">
        <f t="shared" si="661"/>
        <v>0</v>
      </c>
      <c r="AF110" s="4">
        <f t="shared" si="661"/>
        <v>0</v>
      </c>
      <c r="AG110" s="4">
        <f t="shared" si="661"/>
        <v>0</v>
      </c>
      <c r="AH110" s="4">
        <f t="shared" si="661"/>
        <v>0</v>
      </c>
      <c r="AI110" s="1">
        <f t="shared" si="5"/>
        <v>0</v>
      </c>
      <c r="AL110" s="4">
        <f t="shared" ref="AL110:AS110" si="662">IF(ISNUMBER(SEARCH(AL$1,$AK110)), 1, 0)</f>
        <v>0</v>
      </c>
      <c r="AM110" s="4">
        <f t="shared" si="662"/>
        <v>0</v>
      </c>
      <c r="AN110" s="4">
        <f t="shared" si="662"/>
        <v>0</v>
      </c>
      <c r="AO110" s="4">
        <f t="shared" si="662"/>
        <v>0</v>
      </c>
      <c r="AP110" s="4">
        <f t="shared" si="662"/>
        <v>0</v>
      </c>
      <c r="AQ110" s="4">
        <f t="shared" si="662"/>
        <v>0</v>
      </c>
      <c r="AR110" s="4">
        <f t="shared" si="662"/>
        <v>0</v>
      </c>
      <c r="AS110" s="4">
        <f t="shared" si="662"/>
        <v>0</v>
      </c>
      <c r="AV110" s="1">
        <f t="shared" si="7"/>
        <v>0</v>
      </c>
      <c r="AW110" s="1">
        <f t="shared" si="8"/>
        <v>0</v>
      </c>
      <c r="AX110" s="1">
        <f t="shared" si="9"/>
        <v>0</v>
      </c>
      <c r="BB110" s="4">
        <f t="shared" ref="BB110:BJ110" si="663">IF(ISNUMBER(SEARCH(BB$1,$BA110)), 1, 0)</f>
        <v>0</v>
      </c>
      <c r="BC110" s="4">
        <f t="shared" si="663"/>
        <v>0</v>
      </c>
      <c r="BD110" s="4">
        <f t="shared" si="663"/>
        <v>0</v>
      </c>
      <c r="BE110" s="4">
        <f t="shared" si="663"/>
        <v>0</v>
      </c>
      <c r="BF110" s="4">
        <f t="shared" si="663"/>
        <v>0</v>
      </c>
      <c r="BG110" s="4">
        <f t="shared" si="663"/>
        <v>0</v>
      </c>
      <c r="BH110" s="4">
        <f t="shared" si="663"/>
        <v>0</v>
      </c>
      <c r="BI110" s="4">
        <f t="shared" si="663"/>
        <v>0</v>
      </c>
      <c r="BJ110" s="4">
        <f t="shared" si="663"/>
        <v>0</v>
      </c>
      <c r="BK110" s="4">
        <f t="shared" si="11"/>
        <v>0</v>
      </c>
      <c r="BO110" s="4">
        <f t="shared" ref="BO110:BU110" si="664">IF(ISNUMBER(SEARCH(BO$1,$BN110)), 1, 0)</f>
        <v>0</v>
      </c>
      <c r="BP110" s="4">
        <f t="shared" si="664"/>
        <v>0</v>
      </c>
      <c r="BQ110" s="4">
        <f t="shared" si="664"/>
        <v>0</v>
      </c>
      <c r="BR110" s="4">
        <f t="shared" si="664"/>
        <v>0</v>
      </c>
      <c r="BS110" s="4">
        <f t="shared" si="664"/>
        <v>0</v>
      </c>
      <c r="BT110" s="4">
        <f t="shared" si="664"/>
        <v>0</v>
      </c>
      <c r="BU110" s="4">
        <f t="shared" si="664"/>
        <v>0</v>
      </c>
    </row>
    <row r="111" spans="1:107" ht="15.75" customHeight="1" x14ac:dyDescent="0.25">
      <c r="A111" s="1" t="b">
        <v>0</v>
      </c>
      <c r="B111" s="3">
        <v>46167.59337962963</v>
      </c>
      <c r="C111" s="1" t="s">
        <v>703</v>
      </c>
      <c r="D111" s="1" t="s">
        <v>192</v>
      </c>
      <c r="E111" s="4">
        <f t="shared" ref="E111:K111" si="665">IF(ISNUMBER(SEARCH(E$1,$D111)), SEARCH(E$1,$D111), 0)</f>
        <v>1</v>
      </c>
      <c r="F111" s="4">
        <f t="shared" si="665"/>
        <v>30</v>
      </c>
      <c r="G111" s="4">
        <f t="shared" si="665"/>
        <v>0</v>
      </c>
      <c r="H111" s="4">
        <f t="shared" si="665"/>
        <v>0</v>
      </c>
      <c r="I111" s="4">
        <f t="shared" si="665"/>
        <v>0</v>
      </c>
      <c r="J111" s="4">
        <f t="shared" si="665"/>
        <v>0</v>
      </c>
      <c r="K111" s="4">
        <f t="shared" si="665"/>
        <v>105</v>
      </c>
      <c r="L111" s="4">
        <f t="shared" si="1"/>
        <v>105</v>
      </c>
      <c r="N111" s="1" t="s">
        <v>240</v>
      </c>
      <c r="O111" s="4">
        <f t="shared" ref="O111:T111" si="666">IF(ISNUMBER(SEARCH(O$1,$N111)), 1, 0)</f>
        <v>1</v>
      </c>
      <c r="P111" s="4">
        <f t="shared" si="666"/>
        <v>1</v>
      </c>
      <c r="Q111" s="4">
        <f t="shared" si="666"/>
        <v>1</v>
      </c>
      <c r="R111" s="4">
        <f t="shared" si="666"/>
        <v>1</v>
      </c>
      <c r="S111" s="4">
        <f t="shared" si="666"/>
        <v>0</v>
      </c>
      <c r="T111" s="4">
        <f t="shared" si="666"/>
        <v>0</v>
      </c>
      <c r="W111" s="1" t="str">
        <f t="shared" si="618"/>
        <v>False</v>
      </c>
      <c r="X111" s="1" t="str">
        <f t="shared" si="618"/>
        <v>False</v>
      </c>
      <c r="Y111" s="1" t="str">
        <f t="shared" si="618"/>
        <v>False</v>
      </c>
      <c r="Z111" s="1" t="str">
        <f t="shared" si="618"/>
        <v>False</v>
      </c>
      <c r="AA111" s="1" t="str">
        <f t="shared" si="618"/>
        <v>False</v>
      </c>
      <c r="AB111" s="1" t="s">
        <v>31</v>
      </c>
      <c r="AC111" s="4">
        <f t="shared" ref="AC111:AH111" si="667">IF(ISNUMBER(SEARCH(AC$1,$AB111)), 1, 0)</f>
        <v>0</v>
      </c>
      <c r="AD111" s="4">
        <f t="shared" si="667"/>
        <v>0</v>
      </c>
      <c r="AE111" s="4">
        <f t="shared" si="667"/>
        <v>0</v>
      </c>
      <c r="AF111" s="4">
        <f t="shared" si="667"/>
        <v>1</v>
      </c>
      <c r="AG111" s="4">
        <f t="shared" si="667"/>
        <v>0</v>
      </c>
      <c r="AH111" s="4">
        <f t="shared" si="667"/>
        <v>0</v>
      </c>
      <c r="AI111" s="1">
        <f t="shared" si="5"/>
        <v>1</v>
      </c>
      <c r="AK111" s="1" t="s">
        <v>183</v>
      </c>
      <c r="AL111" s="4">
        <f t="shared" ref="AL111:AS111" si="668">IF(ISNUMBER(SEARCH(AL$1,$AK111)), 1, 0)</f>
        <v>0</v>
      </c>
      <c r="AM111" s="4">
        <f t="shared" si="668"/>
        <v>0</v>
      </c>
      <c r="AN111" s="4">
        <f t="shared" si="668"/>
        <v>0</v>
      </c>
      <c r="AO111" s="4">
        <f t="shared" si="668"/>
        <v>0</v>
      </c>
      <c r="AP111" s="4">
        <f t="shared" si="668"/>
        <v>0</v>
      </c>
      <c r="AQ111" s="4">
        <f t="shared" si="668"/>
        <v>0</v>
      </c>
      <c r="AR111" s="4">
        <f t="shared" si="668"/>
        <v>0</v>
      </c>
      <c r="AS111" s="4">
        <f t="shared" si="668"/>
        <v>0</v>
      </c>
      <c r="AT111" s="1" t="s">
        <v>704</v>
      </c>
      <c r="AU111" s="1" t="s">
        <v>47</v>
      </c>
      <c r="AV111" s="1">
        <f t="shared" si="7"/>
        <v>1</v>
      </c>
      <c r="AW111" s="1">
        <f t="shared" si="8"/>
        <v>0</v>
      </c>
      <c r="AX111" s="1">
        <f t="shared" si="9"/>
        <v>0</v>
      </c>
      <c r="AY111" s="1" t="s">
        <v>48</v>
      </c>
      <c r="BA111" s="1" t="s">
        <v>705</v>
      </c>
      <c r="BB111" s="4">
        <f t="shared" ref="BB111:BJ111" si="669">IF(ISNUMBER(SEARCH(BB$1,$BA111)), 1, 0)</f>
        <v>0</v>
      </c>
      <c r="BC111" s="4">
        <f t="shared" si="669"/>
        <v>1</v>
      </c>
      <c r="BD111" s="4">
        <f t="shared" si="669"/>
        <v>1</v>
      </c>
      <c r="BE111" s="4">
        <f t="shared" si="669"/>
        <v>0</v>
      </c>
      <c r="BF111" s="4">
        <f t="shared" si="669"/>
        <v>1</v>
      </c>
      <c r="BG111" s="4">
        <f t="shared" si="669"/>
        <v>1</v>
      </c>
      <c r="BH111" s="4">
        <f t="shared" si="669"/>
        <v>0</v>
      </c>
      <c r="BI111" s="4">
        <f t="shared" si="669"/>
        <v>0</v>
      </c>
      <c r="BJ111" s="4">
        <f t="shared" si="669"/>
        <v>1</v>
      </c>
      <c r="BK111" s="4">
        <f t="shared" si="11"/>
        <v>5</v>
      </c>
      <c r="BL111" s="1" t="s">
        <v>706</v>
      </c>
      <c r="BM111" s="1" t="s">
        <v>166</v>
      </c>
      <c r="BN111" s="1" t="s">
        <v>404</v>
      </c>
      <c r="BO111" s="4">
        <f t="shared" ref="BO111:BU111" si="670">IF(ISNUMBER(SEARCH(BO$1,$BN111)), 1, 0)</f>
        <v>0</v>
      </c>
      <c r="BP111" s="4">
        <f t="shared" si="670"/>
        <v>0</v>
      </c>
      <c r="BQ111" s="4">
        <f t="shared" si="670"/>
        <v>0</v>
      </c>
      <c r="BR111" s="4">
        <f t="shared" si="670"/>
        <v>0</v>
      </c>
      <c r="BS111" s="4">
        <f t="shared" si="670"/>
        <v>0</v>
      </c>
      <c r="BT111" s="4">
        <f t="shared" si="670"/>
        <v>0</v>
      </c>
      <c r="BU111" s="4">
        <f t="shared" si="670"/>
        <v>0</v>
      </c>
      <c r="BV111" s="1" t="s">
        <v>707</v>
      </c>
    </row>
    <row r="112" spans="1:107" ht="15.75" customHeight="1" x14ac:dyDescent="0.25">
      <c r="A112" s="1" t="b">
        <v>0</v>
      </c>
      <c r="B112" s="3">
        <v>46167.783055555556</v>
      </c>
      <c r="C112" s="1" t="s">
        <v>708</v>
      </c>
      <c r="D112" s="1" t="s">
        <v>207</v>
      </c>
      <c r="E112" s="4">
        <f t="shared" ref="E112:K112" si="671">IF(ISNUMBER(SEARCH(E$1,$D112)), SEARCH(E$1,$D112), 0)</f>
        <v>1</v>
      </c>
      <c r="F112" s="4">
        <f t="shared" si="671"/>
        <v>30</v>
      </c>
      <c r="G112" s="4">
        <f t="shared" si="671"/>
        <v>0</v>
      </c>
      <c r="H112" s="4">
        <f t="shared" si="671"/>
        <v>0</v>
      </c>
      <c r="I112" s="4">
        <f t="shared" si="671"/>
        <v>0</v>
      </c>
      <c r="J112" s="4">
        <f t="shared" si="671"/>
        <v>0</v>
      </c>
      <c r="K112" s="4">
        <f t="shared" si="671"/>
        <v>0</v>
      </c>
      <c r="L112" s="4">
        <f t="shared" si="1"/>
        <v>30</v>
      </c>
      <c r="N112" s="1" t="s">
        <v>14</v>
      </c>
      <c r="O112" s="4">
        <f t="shared" ref="O112:T112" si="672">IF(ISNUMBER(SEARCH(O$1,$N112)), 1, 0)</f>
        <v>1</v>
      </c>
      <c r="P112" s="4">
        <f t="shared" si="672"/>
        <v>0</v>
      </c>
      <c r="Q112" s="4">
        <f t="shared" si="672"/>
        <v>0</v>
      </c>
      <c r="R112" s="4">
        <f t="shared" si="672"/>
        <v>0</v>
      </c>
      <c r="S112" s="4">
        <f t="shared" si="672"/>
        <v>0</v>
      </c>
      <c r="T112" s="4">
        <f t="shared" si="672"/>
        <v>0</v>
      </c>
      <c r="V112" s="1" t="s">
        <v>25</v>
      </c>
      <c r="W112" s="1" t="str">
        <f t="shared" si="618"/>
        <v>False</v>
      </c>
      <c r="X112" s="1" t="str">
        <f t="shared" si="618"/>
        <v>False</v>
      </c>
      <c r="Y112" s="1" t="str">
        <f t="shared" si="618"/>
        <v>False</v>
      </c>
      <c r="Z112" s="1" t="str">
        <f t="shared" si="618"/>
        <v>True</v>
      </c>
      <c r="AA112" s="1" t="str">
        <f t="shared" si="618"/>
        <v>False</v>
      </c>
      <c r="AB112" s="1" t="s">
        <v>28</v>
      </c>
      <c r="AC112" s="4">
        <f t="shared" ref="AC112:AH112" si="673">IF(ISNUMBER(SEARCH(AC$1,$AB112)), 1, 0)</f>
        <v>1</v>
      </c>
      <c r="AD112" s="4">
        <f t="shared" si="673"/>
        <v>0</v>
      </c>
      <c r="AE112" s="4">
        <f t="shared" si="673"/>
        <v>0</v>
      </c>
      <c r="AF112" s="4">
        <f t="shared" si="673"/>
        <v>0</v>
      </c>
      <c r="AG112" s="4">
        <f t="shared" si="673"/>
        <v>0</v>
      </c>
      <c r="AH112" s="4">
        <f t="shared" si="673"/>
        <v>0</v>
      </c>
      <c r="AI112" s="1">
        <f t="shared" si="5"/>
        <v>1</v>
      </c>
      <c r="AK112" s="1" t="s">
        <v>470</v>
      </c>
      <c r="AL112" s="4">
        <f t="shared" ref="AL112:AS112" si="674">IF(ISNUMBER(SEARCH(AL$1,$AK112)), 1, 0)</f>
        <v>0</v>
      </c>
      <c r="AM112" s="4">
        <f t="shared" si="674"/>
        <v>1</v>
      </c>
      <c r="AN112" s="4">
        <f t="shared" si="674"/>
        <v>0</v>
      </c>
      <c r="AO112" s="4">
        <f t="shared" si="674"/>
        <v>1</v>
      </c>
      <c r="AP112" s="4">
        <f t="shared" si="674"/>
        <v>0</v>
      </c>
      <c r="AQ112" s="4">
        <f t="shared" si="674"/>
        <v>1</v>
      </c>
      <c r="AR112" s="4">
        <f t="shared" si="674"/>
        <v>0</v>
      </c>
      <c r="AS112" s="4">
        <f t="shared" si="674"/>
        <v>0</v>
      </c>
      <c r="AU112" s="1" t="s">
        <v>49</v>
      </c>
      <c r="AV112" s="1">
        <f t="shared" si="7"/>
        <v>0</v>
      </c>
      <c r="AW112" s="1">
        <f t="shared" si="8"/>
        <v>0</v>
      </c>
      <c r="AX112" s="1">
        <f t="shared" si="9"/>
        <v>1</v>
      </c>
      <c r="AY112" s="1" t="s">
        <v>48</v>
      </c>
      <c r="BA112" s="1" t="s">
        <v>581</v>
      </c>
      <c r="BB112" s="4">
        <f t="shared" ref="BB112:BJ112" si="675">IF(ISNUMBER(SEARCH(BB$1,$BA112)), 1, 0)</f>
        <v>0</v>
      </c>
      <c r="BC112" s="4">
        <f t="shared" si="675"/>
        <v>0</v>
      </c>
      <c r="BD112" s="4">
        <f t="shared" si="675"/>
        <v>0</v>
      </c>
      <c r="BE112" s="4">
        <f t="shared" si="675"/>
        <v>0</v>
      </c>
      <c r="BF112" s="4">
        <f t="shared" si="675"/>
        <v>0</v>
      </c>
      <c r="BG112" s="4">
        <f t="shared" si="675"/>
        <v>1</v>
      </c>
      <c r="BH112" s="4">
        <f t="shared" si="675"/>
        <v>0</v>
      </c>
      <c r="BI112" s="4">
        <f t="shared" si="675"/>
        <v>1</v>
      </c>
      <c r="BJ112" s="4">
        <f t="shared" si="675"/>
        <v>1</v>
      </c>
      <c r="BK112" s="4">
        <f t="shared" si="11"/>
        <v>3</v>
      </c>
      <c r="BM112" s="1" t="s">
        <v>218</v>
      </c>
      <c r="BN112" s="1" t="s">
        <v>72</v>
      </c>
      <c r="BO112" s="4">
        <f t="shared" ref="BO112:BU112" si="676">IF(ISNUMBER(SEARCH(BO$1,$BN112)), 1, 0)</f>
        <v>0</v>
      </c>
      <c r="BP112" s="4">
        <f t="shared" si="676"/>
        <v>0</v>
      </c>
      <c r="BQ112" s="4">
        <f t="shared" si="676"/>
        <v>0</v>
      </c>
      <c r="BR112" s="4">
        <f t="shared" si="676"/>
        <v>0</v>
      </c>
      <c r="BS112" s="4">
        <f t="shared" si="676"/>
        <v>0</v>
      </c>
      <c r="BT112" s="4">
        <f t="shared" si="676"/>
        <v>0</v>
      </c>
      <c r="BU112" s="4">
        <f t="shared" si="676"/>
        <v>1</v>
      </c>
    </row>
    <row r="113" spans="1:107" ht="15.75" customHeight="1" x14ac:dyDescent="0.25">
      <c r="A113" s="1" t="b">
        <v>1</v>
      </c>
      <c r="B113" s="3">
        <v>46168.539039351854</v>
      </c>
      <c r="C113" s="1" t="s">
        <v>709</v>
      </c>
      <c r="D113" s="1" t="s">
        <v>4</v>
      </c>
      <c r="E113" s="4">
        <f t="shared" ref="E113:K113" si="677">IF(ISNUMBER(SEARCH(E$1,$D113)), SEARCH(E$1,$D113), 0)</f>
        <v>1</v>
      </c>
      <c r="F113" s="4">
        <f t="shared" si="677"/>
        <v>0</v>
      </c>
      <c r="G113" s="4">
        <f t="shared" si="677"/>
        <v>0</v>
      </c>
      <c r="H113" s="4">
        <f t="shared" si="677"/>
        <v>0</v>
      </c>
      <c r="I113" s="4">
        <f t="shared" si="677"/>
        <v>0</v>
      </c>
      <c r="J113" s="4">
        <f t="shared" si="677"/>
        <v>0</v>
      </c>
      <c r="K113" s="4">
        <f t="shared" si="677"/>
        <v>0</v>
      </c>
      <c r="L113" s="4">
        <f t="shared" si="1"/>
        <v>1</v>
      </c>
      <c r="N113" s="1" t="s">
        <v>294</v>
      </c>
      <c r="O113" s="4">
        <f t="shared" ref="O113:T113" si="678">IF(ISNUMBER(SEARCH(O$1,$N113)), 1, 0)</f>
        <v>1</v>
      </c>
      <c r="P113" s="4">
        <f t="shared" si="678"/>
        <v>1</v>
      </c>
      <c r="Q113" s="4">
        <f t="shared" si="678"/>
        <v>0</v>
      </c>
      <c r="R113" s="4">
        <f t="shared" si="678"/>
        <v>0</v>
      </c>
      <c r="S113" s="4">
        <f t="shared" si="678"/>
        <v>0</v>
      </c>
      <c r="T113" s="4">
        <f t="shared" si="678"/>
        <v>0</v>
      </c>
      <c r="W113" s="1" t="str">
        <f t="shared" ref="W113:AA122" si="679">IF(W$1=$V113, "True", "False")</f>
        <v>False</v>
      </c>
      <c r="X113" s="1" t="str">
        <f t="shared" si="679"/>
        <v>False</v>
      </c>
      <c r="Y113" s="1" t="str">
        <f t="shared" si="679"/>
        <v>False</v>
      </c>
      <c r="Z113" s="1" t="str">
        <f t="shared" si="679"/>
        <v>False</v>
      </c>
      <c r="AA113" s="1" t="str">
        <f t="shared" si="679"/>
        <v>False</v>
      </c>
      <c r="AB113" s="1" t="s">
        <v>710</v>
      </c>
      <c r="AC113" s="4">
        <f t="shared" ref="AC113:AH113" si="680">IF(ISNUMBER(SEARCH(AC$1,$AB113)), 1, 0)</f>
        <v>0</v>
      </c>
      <c r="AD113" s="4">
        <f t="shared" si="680"/>
        <v>1</v>
      </c>
      <c r="AE113" s="4">
        <f t="shared" si="680"/>
        <v>0</v>
      </c>
      <c r="AF113" s="4">
        <f t="shared" si="680"/>
        <v>0</v>
      </c>
      <c r="AG113" s="4">
        <f t="shared" si="680"/>
        <v>0</v>
      </c>
      <c r="AH113" s="4">
        <f t="shared" si="680"/>
        <v>0</v>
      </c>
      <c r="AI113" s="1">
        <f t="shared" si="5"/>
        <v>1</v>
      </c>
      <c r="AJ113" s="1" t="s">
        <v>711</v>
      </c>
      <c r="AK113" s="1" t="s">
        <v>288</v>
      </c>
      <c r="AL113" s="4">
        <f t="shared" ref="AL113:AS113" si="681">IF(ISNUMBER(SEARCH(AL$1,$AK113)), 1, 0)</f>
        <v>0</v>
      </c>
      <c r="AM113" s="4">
        <f t="shared" si="681"/>
        <v>1</v>
      </c>
      <c r="AN113" s="4">
        <f t="shared" si="681"/>
        <v>0</v>
      </c>
      <c r="AO113" s="4">
        <f t="shared" si="681"/>
        <v>1</v>
      </c>
      <c r="AP113" s="4">
        <f t="shared" si="681"/>
        <v>0</v>
      </c>
      <c r="AQ113" s="4">
        <f t="shared" si="681"/>
        <v>0</v>
      </c>
      <c r="AR113" s="4">
        <f t="shared" si="681"/>
        <v>0</v>
      </c>
      <c r="AS113" s="4">
        <f t="shared" si="681"/>
        <v>0</v>
      </c>
      <c r="AU113" s="1" t="s">
        <v>47</v>
      </c>
      <c r="AV113" s="1">
        <f t="shared" si="7"/>
        <v>1</v>
      </c>
      <c r="AW113" s="1">
        <f t="shared" si="8"/>
        <v>0</v>
      </c>
      <c r="AX113" s="1">
        <f t="shared" si="9"/>
        <v>0</v>
      </c>
      <c r="AY113" s="1" t="s">
        <v>48</v>
      </c>
      <c r="BA113" s="1" t="s">
        <v>624</v>
      </c>
      <c r="BB113" s="4">
        <f t="shared" ref="BB113:BJ113" si="682">IF(ISNUMBER(SEARCH(BB$1,$BA113)), 1, 0)</f>
        <v>0</v>
      </c>
      <c r="BC113" s="4">
        <f t="shared" si="682"/>
        <v>0</v>
      </c>
      <c r="BD113" s="4">
        <f t="shared" si="682"/>
        <v>0</v>
      </c>
      <c r="BE113" s="4">
        <f t="shared" si="682"/>
        <v>1</v>
      </c>
      <c r="BF113" s="4">
        <f t="shared" si="682"/>
        <v>0</v>
      </c>
      <c r="BG113" s="4">
        <f t="shared" si="682"/>
        <v>1</v>
      </c>
      <c r="BH113" s="4">
        <f t="shared" si="682"/>
        <v>0</v>
      </c>
      <c r="BI113" s="4">
        <f t="shared" si="682"/>
        <v>0</v>
      </c>
      <c r="BJ113" s="4">
        <f t="shared" si="682"/>
        <v>1</v>
      </c>
      <c r="BK113" s="4">
        <f t="shared" si="11"/>
        <v>3</v>
      </c>
      <c r="BM113" s="1" t="s">
        <v>232</v>
      </c>
      <c r="BN113" s="1" t="s">
        <v>712</v>
      </c>
      <c r="BO113" s="4">
        <f t="shared" ref="BO113:BU113" si="683">IF(ISNUMBER(SEARCH(BO$1,$BN113)), 1, 0)</f>
        <v>0</v>
      </c>
      <c r="BP113" s="4">
        <f t="shared" si="683"/>
        <v>1</v>
      </c>
      <c r="BQ113" s="4">
        <f t="shared" si="683"/>
        <v>0</v>
      </c>
      <c r="BR113" s="4">
        <f t="shared" si="683"/>
        <v>0</v>
      </c>
      <c r="BS113" s="4">
        <f t="shared" si="683"/>
        <v>0</v>
      </c>
      <c r="BT113" s="4">
        <f t="shared" si="683"/>
        <v>0</v>
      </c>
      <c r="BU113" s="4">
        <f t="shared" si="683"/>
        <v>0</v>
      </c>
      <c r="BV113" s="1" t="s">
        <v>713</v>
      </c>
      <c r="DC113" s="1" t="s">
        <v>238</v>
      </c>
    </row>
    <row r="114" spans="1:107" ht="15.75" customHeight="1" x14ac:dyDescent="0.25">
      <c r="A114" s="1" t="b">
        <v>0</v>
      </c>
      <c r="B114" s="3">
        <v>46168.581724537034</v>
      </c>
      <c r="C114" s="1" t="s">
        <v>714</v>
      </c>
      <c r="D114" s="1" t="s">
        <v>243</v>
      </c>
      <c r="E114" s="4">
        <f t="shared" ref="E114:K114" si="684">IF(ISNUMBER(SEARCH(E$1,$D114)), SEARCH(E$1,$D114), 0)</f>
        <v>1</v>
      </c>
      <c r="F114" s="4">
        <f t="shared" si="684"/>
        <v>30</v>
      </c>
      <c r="G114" s="4">
        <f t="shared" si="684"/>
        <v>105</v>
      </c>
      <c r="H114" s="4">
        <f t="shared" si="684"/>
        <v>0</v>
      </c>
      <c r="I114" s="4">
        <f t="shared" si="684"/>
        <v>0</v>
      </c>
      <c r="J114" s="4">
        <f t="shared" si="684"/>
        <v>0</v>
      </c>
      <c r="K114" s="4">
        <f t="shared" si="684"/>
        <v>0</v>
      </c>
      <c r="L114" s="4">
        <f t="shared" si="1"/>
        <v>105</v>
      </c>
      <c r="N114" s="1" t="s">
        <v>208</v>
      </c>
      <c r="O114" s="4">
        <f t="shared" ref="O114:T114" si="685">IF(ISNUMBER(SEARCH(O$1,$N114)), 1, 0)</f>
        <v>1</v>
      </c>
      <c r="P114" s="4">
        <f t="shared" si="685"/>
        <v>1</v>
      </c>
      <c r="Q114" s="4">
        <f t="shared" si="685"/>
        <v>0</v>
      </c>
      <c r="R114" s="4">
        <f t="shared" si="685"/>
        <v>1</v>
      </c>
      <c r="S114" s="4">
        <f t="shared" si="685"/>
        <v>0</v>
      </c>
      <c r="T114" s="4">
        <f t="shared" si="685"/>
        <v>0</v>
      </c>
      <c r="W114" s="1" t="str">
        <f t="shared" si="679"/>
        <v>False</v>
      </c>
      <c r="X114" s="1" t="str">
        <f t="shared" si="679"/>
        <v>False</v>
      </c>
      <c r="Y114" s="1" t="str">
        <f t="shared" si="679"/>
        <v>False</v>
      </c>
      <c r="Z114" s="1" t="str">
        <f t="shared" si="679"/>
        <v>False</v>
      </c>
      <c r="AA114" s="1" t="str">
        <f t="shared" si="679"/>
        <v>False</v>
      </c>
      <c r="AB114" s="1" t="s">
        <v>710</v>
      </c>
      <c r="AC114" s="4">
        <f t="shared" ref="AC114:AH114" si="686">IF(ISNUMBER(SEARCH(AC$1,$AB114)), 1, 0)</f>
        <v>0</v>
      </c>
      <c r="AD114" s="4">
        <f t="shared" si="686"/>
        <v>1</v>
      </c>
      <c r="AE114" s="4">
        <f t="shared" si="686"/>
        <v>0</v>
      </c>
      <c r="AF114" s="4">
        <f t="shared" si="686"/>
        <v>0</v>
      </c>
      <c r="AG114" s="4">
        <f t="shared" si="686"/>
        <v>0</v>
      </c>
      <c r="AH114" s="4">
        <f t="shared" si="686"/>
        <v>0</v>
      </c>
      <c r="AI114" s="1">
        <f t="shared" si="5"/>
        <v>1</v>
      </c>
      <c r="AJ114" s="1" t="s">
        <v>715</v>
      </c>
      <c r="AK114" s="1" t="s">
        <v>38</v>
      </c>
      <c r="AL114" s="4">
        <f t="shared" ref="AL114:AS114" si="687">IF(ISNUMBER(SEARCH(AL$1,$AK114)), 1, 0)</f>
        <v>0</v>
      </c>
      <c r="AM114" s="4">
        <f t="shared" si="687"/>
        <v>1</v>
      </c>
      <c r="AN114" s="4">
        <f t="shared" si="687"/>
        <v>0</v>
      </c>
      <c r="AO114" s="4">
        <f t="shared" si="687"/>
        <v>0</v>
      </c>
      <c r="AP114" s="4">
        <f t="shared" si="687"/>
        <v>0</v>
      </c>
      <c r="AQ114" s="4">
        <f t="shared" si="687"/>
        <v>0</v>
      </c>
      <c r="AR114" s="4">
        <f t="shared" si="687"/>
        <v>0</v>
      </c>
      <c r="AS114" s="4">
        <f t="shared" si="687"/>
        <v>0</v>
      </c>
      <c r="AU114" s="1" t="s">
        <v>47</v>
      </c>
      <c r="AV114" s="1">
        <f t="shared" si="7"/>
        <v>1</v>
      </c>
      <c r="AW114" s="1">
        <f t="shared" si="8"/>
        <v>0</v>
      </c>
      <c r="AX114" s="1">
        <f t="shared" si="9"/>
        <v>0</v>
      </c>
      <c r="AY114" s="1" t="s">
        <v>48</v>
      </c>
      <c r="BA114" s="1" t="s">
        <v>716</v>
      </c>
      <c r="BB114" s="4">
        <f t="shared" ref="BB114:BJ114" si="688">IF(ISNUMBER(SEARCH(BB$1,$BA114)), 1, 0)</f>
        <v>1</v>
      </c>
      <c r="BC114" s="4">
        <f t="shared" si="688"/>
        <v>0</v>
      </c>
      <c r="BD114" s="4">
        <f t="shared" si="688"/>
        <v>1</v>
      </c>
      <c r="BE114" s="4">
        <f t="shared" si="688"/>
        <v>1</v>
      </c>
      <c r="BF114" s="4">
        <f t="shared" si="688"/>
        <v>0</v>
      </c>
      <c r="BG114" s="4">
        <f t="shared" si="688"/>
        <v>0</v>
      </c>
      <c r="BH114" s="4">
        <f t="shared" si="688"/>
        <v>0</v>
      </c>
      <c r="BI114" s="4">
        <f t="shared" si="688"/>
        <v>0</v>
      </c>
      <c r="BJ114" s="4">
        <f t="shared" si="688"/>
        <v>0</v>
      </c>
      <c r="BK114" s="4">
        <f t="shared" si="11"/>
        <v>3</v>
      </c>
      <c r="BL114" s="1" t="s">
        <v>717</v>
      </c>
      <c r="BM114" s="1" t="s">
        <v>218</v>
      </c>
      <c r="BN114" s="1" t="s">
        <v>718</v>
      </c>
      <c r="BO114" s="4">
        <f t="shared" ref="BO114:BU114" si="689">IF(ISNUMBER(SEARCH(BO$1,$BN114)), 1, 0)</f>
        <v>1</v>
      </c>
      <c r="BP114" s="4">
        <f t="shared" si="689"/>
        <v>0</v>
      </c>
      <c r="BQ114" s="4">
        <f t="shared" si="689"/>
        <v>1</v>
      </c>
      <c r="BR114" s="4">
        <f t="shared" si="689"/>
        <v>0</v>
      </c>
      <c r="BS114" s="4">
        <f t="shared" si="689"/>
        <v>0</v>
      </c>
      <c r="BT114" s="4">
        <f t="shared" si="689"/>
        <v>1</v>
      </c>
      <c r="BU114" s="4">
        <f t="shared" si="689"/>
        <v>0</v>
      </c>
      <c r="BV114" s="1" t="s">
        <v>719</v>
      </c>
    </row>
    <row r="115" spans="1:107" ht="15.75" customHeight="1" x14ac:dyDescent="0.25">
      <c r="A115" s="1" t="b">
        <v>1</v>
      </c>
      <c r="B115" s="3">
        <v>46168.635625000003</v>
      </c>
      <c r="C115" s="1" t="s">
        <v>720</v>
      </c>
      <c r="D115" s="1" t="s">
        <v>4</v>
      </c>
      <c r="E115" s="4">
        <f t="shared" ref="E115:K115" si="690">IF(ISNUMBER(SEARCH(E$1,$D115)), SEARCH(E$1,$D115), 0)</f>
        <v>1</v>
      </c>
      <c r="F115" s="4">
        <f t="shared" si="690"/>
        <v>0</v>
      </c>
      <c r="G115" s="4">
        <f t="shared" si="690"/>
        <v>0</v>
      </c>
      <c r="H115" s="4">
        <f t="shared" si="690"/>
        <v>0</v>
      </c>
      <c r="I115" s="4">
        <f t="shared" si="690"/>
        <v>0</v>
      </c>
      <c r="J115" s="4">
        <f t="shared" si="690"/>
        <v>0</v>
      </c>
      <c r="K115" s="4">
        <f t="shared" si="690"/>
        <v>0</v>
      </c>
      <c r="L115" s="4">
        <f t="shared" si="1"/>
        <v>1</v>
      </c>
      <c r="N115" s="1" t="s">
        <v>328</v>
      </c>
      <c r="O115" s="4">
        <f t="shared" ref="O115:T115" si="691">IF(ISNUMBER(SEARCH(O$1,$N115)), 1, 0)</f>
        <v>1</v>
      </c>
      <c r="P115" s="4">
        <f t="shared" si="691"/>
        <v>1</v>
      </c>
      <c r="Q115" s="4">
        <f t="shared" si="691"/>
        <v>1</v>
      </c>
      <c r="R115" s="4">
        <f t="shared" si="691"/>
        <v>0</v>
      </c>
      <c r="S115" s="4">
        <f t="shared" si="691"/>
        <v>0</v>
      </c>
      <c r="T115" s="4">
        <f t="shared" si="691"/>
        <v>0</v>
      </c>
      <c r="V115" s="1" t="s">
        <v>24</v>
      </c>
      <c r="W115" s="1" t="str">
        <f t="shared" si="679"/>
        <v>False</v>
      </c>
      <c r="X115" s="1" t="str">
        <f t="shared" si="679"/>
        <v>False</v>
      </c>
      <c r="Y115" s="1" t="str">
        <f t="shared" si="679"/>
        <v>True</v>
      </c>
      <c r="Z115" s="1" t="str">
        <f t="shared" si="679"/>
        <v>False</v>
      </c>
      <c r="AA115" s="1" t="str">
        <f t="shared" si="679"/>
        <v>False</v>
      </c>
      <c r="AB115" s="1" t="s">
        <v>33</v>
      </c>
      <c r="AC115" s="4">
        <f t="shared" ref="AC115:AH115" si="692">IF(ISNUMBER(SEARCH(AC$1,$AB115)), 1, 0)</f>
        <v>0</v>
      </c>
      <c r="AD115" s="4">
        <f t="shared" si="692"/>
        <v>0</v>
      </c>
      <c r="AE115" s="4">
        <f t="shared" si="692"/>
        <v>0</v>
      </c>
      <c r="AF115" s="4">
        <f t="shared" si="692"/>
        <v>0</v>
      </c>
      <c r="AG115" s="4">
        <f t="shared" si="692"/>
        <v>0</v>
      </c>
      <c r="AH115" s="4">
        <f t="shared" si="692"/>
        <v>1</v>
      </c>
      <c r="AI115" s="1">
        <f t="shared" si="5"/>
        <v>1</v>
      </c>
      <c r="AK115" s="1" t="s">
        <v>246</v>
      </c>
      <c r="AL115" s="4">
        <f t="shared" ref="AL115:AS115" si="693">IF(ISNUMBER(SEARCH(AL$1,$AK115)), 1, 0)</f>
        <v>1</v>
      </c>
      <c r="AM115" s="4">
        <f t="shared" si="693"/>
        <v>1</v>
      </c>
      <c r="AN115" s="4">
        <f t="shared" si="693"/>
        <v>0</v>
      </c>
      <c r="AO115" s="4">
        <f t="shared" si="693"/>
        <v>1</v>
      </c>
      <c r="AP115" s="4">
        <f t="shared" si="693"/>
        <v>0</v>
      </c>
      <c r="AQ115" s="4">
        <f t="shared" si="693"/>
        <v>1</v>
      </c>
      <c r="AR115" s="4">
        <f t="shared" si="693"/>
        <v>0</v>
      </c>
      <c r="AS115" s="4">
        <f t="shared" si="693"/>
        <v>0</v>
      </c>
      <c r="AU115" s="1" t="s">
        <v>47</v>
      </c>
      <c r="AV115" s="1">
        <f t="shared" si="7"/>
        <v>1</v>
      </c>
      <c r="AW115" s="1">
        <f t="shared" si="8"/>
        <v>0</v>
      </c>
      <c r="AX115" s="1">
        <f t="shared" si="9"/>
        <v>0</v>
      </c>
      <c r="AY115" s="1" t="s">
        <v>47</v>
      </c>
      <c r="BA115" s="1" t="s">
        <v>624</v>
      </c>
      <c r="BB115" s="4">
        <f t="shared" ref="BB115:BJ115" si="694">IF(ISNUMBER(SEARCH(BB$1,$BA115)), 1, 0)</f>
        <v>0</v>
      </c>
      <c r="BC115" s="4">
        <f t="shared" si="694"/>
        <v>0</v>
      </c>
      <c r="BD115" s="4">
        <f t="shared" si="694"/>
        <v>0</v>
      </c>
      <c r="BE115" s="4">
        <f t="shared" si="694"/>
        <v>1</v>
      </c>
      <c r="BF115" s="4">
        <f t="shared" si="694"/>
        <v>0</v>
      </c>
      <c r="BG115" s="4">
        <f t="shared" si="694"/>
        <v>1</v>
      </c>
      <c r="BH115" s="4">
        <f t="shared" si="694"/>
        <v>0</v>
      </c>
      <c r="BI115" s="4">
        <f t="shared" si="694"/>
        <v>0</v>
      </c>
      <c r="BJ115" s="4">
        <f t="shared" si="694"/>
        <v>1</v>
      </c>
      <c r="BK115" s="4">
        <f t="shared" si="11"/>
        <v>3</v>
      </c>
      <c r="BO115" s="4">
        <f t="shared" ref="BO115:BU115" si="695">IF(ISNUMBER(SEARCH(BO$1,$BN115)), 1, 0)</f>
        <v>0</v>
      </c>
      <c r="BP115" s="4">
        <f t="shared" si="695"/>
        <v>0</v>
      </c>
      <c r="BQ115" s="4">
        <f t="shared" si="695"/>
        <v>0</v>
      </c>
      <c r="BR115" s="4">
        <f t="shared" si="695"/>
        <v>0</v>
      </c>
      <c r="BS115" s="4">
        <f t="shared" si="695"/>
        <v>0</v>
      </c>
      <c r="BT115" s="4">
        <f t="shared" si="695"/>
        <v>0</v>
      </c>
      <c r="BU115" s="4">
        <f t="shared" si="695"/>
        <v>0</v>
      </c>
      <c r="DC115" s="1" t="s">
        <v>238</v>
      </c>
    </row>
    <row r="116" spans="1:107" ht="15.75" customHeight="1" x14ac:dyDescent="0.25">
      <c r="A116" s="1" t="b">
        <v>1</v>
      </c>
      <c r="B116" s="3">
        <v>46168.681400462963</v>
      </c>
      <c r="C116" s="1" t="s">
        <v>721</v>
      </c>
      <c r="D116" s="1" t="s">
        <v>4</v>
      </c>
      <c r="E116" s="4">
        <f t="shared" ref="E116:K116" si="696">IF(ISNUMBER(SEARCH(E$1,$D116)), SEARCH(E$1,$D116), 0)</f>
        <v>1</v>
      </c>
      <c r="F116" s="4">
        <f t="shared" si="696"/>
        <v>0</v>
      </c>
      <c r="G116" s="4">
        <f t="shared" si="696"/>
        <v>0</v>
      </c>
      <c r="H116" s="4">
        <f t="shared" si="696"/>
        <v>0</v>
      </c>
      <c r="I116" s="4">
        <f t="shared" si="696"/>
        <v>0</v>
      </c>
      <c r="J116" s="4">
        <f t="shared" si="696"/>
        <v>0</v>
      </c>
      <c r="K116" s="4">
        <f t="shared" si="696"/>
        <v>0</v>
      </c>
      <c r="L116" s="4">
        <f t="shared" si="1"/>
        <v>1</v>
      </c>
      <c r="N116" s="1" t="s">
        <v>294</v>
      </c>
      <c r="O116" s="4">
        <f t="shared" ref="O116:T116" si="697">IF(ISNUMBER(SEARCH(O$1,$N116)), 1, 0)</f>
        <v>1</v>
      </c>
      <c r="P116" s="4">
        <f t="shared" si="697"/>
        <v>1</v>
      </c>
      <c r="Q116" s="4">
        <f t="shared" si="697"/>
        <v>0</v>
      </c>
      <c r="R116" s="4">
        <f t="shared" si="697"/>
        <v>0</v>
      </c>
      <c r="S116" s="4">
        <f t="shared" si="697"/>
        <v>0</v>
      </c>
      <c r="T116" s="4">
        <f t="shared" si="697"/>
        <v>0</v>
      </c>
      <c r="W116" s="1" t="str">
        <f t="shared" si="679"/>
        <v>False</v>
      </c>
      <c r="X116" s="1" t="str">
        <f t="shared" si="679"/>
        <v>False</v>
      </c>
      <c r="Y116" s="1" t="str">
        <f t="shared" si="679"/>
        <v>False</v>
      </c>
      <c r="Z116" s="1" t="str">
        <f t="shared" si="679"/>
        <v>False</v>
      </c>
      <c r="AA116" s="1" t="str">
        <f t="shared" si="679"/>
        <v>False</v>
      </c>
      <c r="AB116" s="1" t="s">
        <v>311</v>
      </c>
      <c r="AC116" s="4">
        <f t="shared" ref="AC116:AH116" si="698">IF(ISNUMBER(SEARCH(AC$1,$AB116)), 1, 0)</f>
        <v>1</v>
      </c>
      <c r="AD116" s="4">
        <f t="shared" si="698"/>
        <v>0</v>
      </c>
      <c r="AE116" s="4">
        <f t="shared" si="698"/>
        <v>0</v>
      </c>
      <c r="AF116" s="4">
        <f t="shared" si="698"/>
        <v>0</v>
      </c>
      <c r="AG116" s="4">
        <f t="shared" si="698"/>
        <v>0</v>
      </c>
      <c r="AH116" s="4">
        <f t="shared" si="698"/>
        <v>0</v>
      </c>
      <c r="AI116" s="1">
        <f t="shared" si="5"/>
        <v>1</v>
      </c>
      <c r="AJ116" s="1" t="s">
        <v>722</v>
      </c>
      <c r="AK116" s="1" t="s">
        <v>252</v>
      </c>
      <c r="AL116" s="4">
        <f t="shared" ref="AL116:AS116" si="699">IF(ISNUMBER(SEARCH(AL$1,$AK116)), 1, 0)</f>
        <v>0</v>
      </c>
      <c r="AM116" s="4">
        <f t="shared" si="699"/>
        <v>1</v>
      </c>
      <c r="AN116" s="4">
        <f t="shared" si="699"/>
        <v>1</v>
      </c>
      <c r="AO116" s="4">
        <f t="shared" si="699"/>
        <v>0</v>
      </c>
      <c r="AP116" s="4">
        <f t="shared" si="699"/>
        <v>0</v>
      </c>
      <c r="AQ116" s="4">
        <f t="shared" si="699"/>
        <v>1</v>
      </c>
      <c r="AR116" s="4">
        <f t="shared" si="699"/>
        <v>0</v>
      </c>
      <c r="AS116" s="4">
        <f t="shared" si="699"/>
        <v>0</v>
      </c>
      <c r="AU116" s="1" t="s">
        <v>47</v>
      </c>
      <c r="AV116" s="1">
        <f t="shared" si="7"/>
        <v>1</v>
      </c>
      <c r="AW116" s="1">
        <f t="shared" si="8"/>
        <v>0</v>
      </c>
      <c r="AX116" s="1">
        <f t="shared" si="9"/>
        <v>0</v>
      </c>
      <c r="AY116" s="1" t="s">
        <v>47</v>
      </c>
      <c r="AZ116" s="1" t="s">
        <v>48</v>
      </c>
      <c r="BA116" s="1" t="s">
        <v>723</v>
      </c>
      <c r="BB116" s="4">
        <f t="shared" ref="BB116:BJ116" si="700">IF(ISNUMBER(SEARCH(BB$1,$BA116)), 1, 0)</f>
        <v>0</v>
      </c>
      <c r="BC116" s="4">
        <f t="shared" si="700"/>
        <v>0</v>
      </c>
      <c r="BD116" s="4">
        <f t="shared" si="700"/>
        <v>0</v>
      </c>
      <c r="BE116" s="4">
        <f t="shared" si="700"/>
        <v>0</v>
      </c>
      <c r="BF116" s="4">
        <f t="shared" si="700"/>
        <v>1</v>
      </c>
      <c r="BG116" s="4">
        <f t="shared" si="700"/>
        <v>1</v>
      </c>
      <c r="BH116" s="4">
        <f t="shared" si="700"/>
        <v>0</v>
      </c>
      <c r="BI116" s="4">
        <f t="shared" si="700"/>
        <v>0</v>
      </c>
      <c r="BJ116" s="4">
        <f t="shared" si="700"/>
        <v>0</v>
      </c>
      <c r="BK116" s="4">
        <f t="shared" si="11"/>
        <v>2</v>
      </c>
      <c r="BO116" s="4">
        <f t="shared" ref="BO116:BU116" si="701">IF(ISNUMBER(SEARCH(BO$1,$BN116)), 1, 0)</f>
        <v>0</v>
      </c>
      <c r="BP116" s="4">
        <f t="shared" si="701"/>
        <v>0</v>
      </c>
      <c r="BQ116" s="4">
        <f t="shared" si="701"/>
        <v>0</v>
      </c>
      <c r="BR116" s="4">
        <f t="shared" si="701"/>
        <v>0</v>
      </c>
      <c r="BS116" s="4">
        <f t="shared" si="701"/>
        <v>0</v>
      </c>
      <c r="BT116" s="4">
        <f t="shared" si="701"/>
        <v>0</v>
      </c>
      <c r="BU116" s="4">
        <f t="shared" si="701"/>
        <v>0</v>
      </c>
      <c r="DC116" s="1" t="s">
        <v>238</v>
      </c>
    </row>
    <row r="117" spans="1:107" ht="15.75" customHeight="1" x14ac:dyDescent="0.25">
      <c r="A117" s="1" t="b">
        <v>1</v>
      </c>
      <c r="B117" s="3">
        <v>46168.725011574075</v>
      </c>
      <c r="C117" s="1" t="s">
        <v>724</v>
      </c>
      <c r="D117" s="1" t="s">
        <v>207</v>
      </c>
      <c r="E117" s="4">
        <f t="shared" ref="E117:K117" si="702">IF(ISNUMBER(SEARCH(E$1,$D117)), SEARCH(E$1,$D117), 0)</f>
        <v>1</v>
      </c>
      <c r="F117" s="4">
        <f t="shared" si="702"/>
        <v>30</v>
      </c>
      <c r="G117" s="4">
        <f t="shared" si="702"/>
        <v>0</v>
      </c>
      <c r="H117" s="4">
        <f t="shared" si="702"/>
        <v>0</v>
      </c>
      <c r="I117" s="4">
        <f t="shared" si="702"/>
        <v>0</v>
      </c>
      <c r="J117" s="4">
        <f t="shared" si="702"/>
        <v>0</v>
      </c>
      <c r="K117" s="4">
        <f t="shared" si="702"/>
        <v>0</v>
      </c>
      <c r="L117" s="4">
        <f t="shared" si="1"/>
        <v>30</v>
      </c>
      <c r="N117" s="1" t="s">
        <v>208</v>
      </c>
      <c r="O117" s="4">
        <f t="shared" ref="O117:T117" si="703">IF(ISNUMBER(SEARCH(O$1,$N117)), 1, 0)</f>
        <v>1</v>
      </c>
      <c r="P117" s="4">
        <f t="shared" si="703"/>
        <v>1</v>
      </c>
      <c r="Q117" s="4">
        <f t="shared" si="703"/>
        <v>0</v>
      </c>
      <c r="R117" s="4">
        <f t="shared" si="703"/>
        <v>1</v>
      </c>
      <c r="S117" s="4">
        <f t="shared" si="703"/>
        <v>0</v>
      </c>
      <c r="T117" s="4">
        <f t="shared" si="703"/>
        <v>0</v>
      </c>
      <c r="V117" s="1" t="s">
        <v>24</v>
      </c>
      <c r="W117" s="1" t="str">
        <f t="shared" si="679"/>
        <v>False</v>
      </c>
      <c r="X117" s="1" t="str">
        <f t="shared" si="679"/>
        <v>False</v>
      </c>
      <c r="Y117" s="1" t="str">
        <f t="shared" si="679"/>
        <v>True</v>
      </c>
      <c r="Z117" s="1" t="str">
        <f t="shared" si="679"/>
        <v>False</v>
      </c>
      <c r="AA117" s="1" t="str">
        <f t="shared" si="679"/>
        <v>False</v>
      </c>
      <c r="AB117" s="1" t="s">
        <v>357</v>
      </c>
      <c r="AC117" s="4">
        <f t="shared" ref="AC117:AH117" si="704">IF(ISNUMBER(SEARCH(AC$1,$AB117)), 1, 0)</f>
        <v>1</v>
      </c>
      <c r="AD117" s="4">
        <f t="shared" si="704"/>
        <v>0</v>
      </c>
      <c r="AE117" s="4">
        <f t="shared" si="704"/>
        <v>0</v>
      </c>
      <c r="AF117" s="4">
        <f t="shared" si="704"/>
        <v>0</v>
      </c>
      <c r="AG117" s="4">
        <f t="shared" si="704"/>
        <v>0</v>
      </c>
      <c r="AH117" s="4">
        <f t="shared" si="704"/>
        <v>1</v>
      </c>
      <c r="AI117" s="1">
        <f t="shared" si="5"/>
        <v>2</v>
      </c>
      <c r="AK117" s="1" t="s">
        <v>506</v>
      </c>
      <c r="AL117" s="4">
        <f t="shared" ref="AL117:AS117" si="705">IF(ISNUMBER(SEARCH(AL$1,$AK117)), 1, 0)</f>
        <v>1</v>
      </c>
      <c r="AM117" s="4">
        <f t="shared" si="705"/>
        <v>1</v>
      </c>
      <c r="AN117" s="4">
        <f t="shared" si="705"/>
        <v>0</v>
      </c>
      <c r="AO117" s="4">
        <f t="shared" si="705"/>
        <v>0</v>
      </c>
      <c r="AP117" s="4">
        <f t="shared" si="705"/>
        <v>0</v>
      </c>
      <c r="AQ117" s="4">
        <f t="shared" si="705"/>
        <v>0</v>
      </c>
      <c r="AR117" s="4">
        <f t="shared" si="705"/>
        <v>0</v>
      </c>
      <c r="AS117" s="4">
        <f t="shared" si="705"/>
        <v>0</v>
      </c>
      <c r="AU117" s="1" t="s">
        <v>47</v>
      </c>
      <c r="AV117" s="1">
        <f t="shared" si="7"/>
        <v>1</v>
      </c>
      <c r="AW117" s="1">
        <f t="shared" si="8"/>
        <v>0</v>
      </c>
      <c r="AX117" s="1">
        <f t="shared" si="9"/>
        <v>0</v>
      </c>
      <c r="AY117" s="1" t="s">
        <v>48</v>
      </c>
      <c r="BA117" s="1" t="s">
        <v>725</v>
      </c>
      <c r="BB117" s="4">
        <f t="shared" ref="BB117:BJ117" si="706">IF(ISNUMBER(SEARCH(BB$1,$BA117)), 1, 0)</f>
        <v>0</v>
      </c>
      <c r="BC117" s="4">
        <f t="shared" si="706"/>
        <v>1</v>
      </c>
      <c r="BD117" s="4">
        <f t="shared" si="706"/>
        <v>1</v>
      </c>
      <c r="BE117" s="4">
        <f t="shared" si="706"/>
        <v>0</v>
      </c>
      <c r="BF117" s="4">
        <f t="shared" si="706"/>
        <v>1</v>
      </c>
      <c r="BG117" s="4">
        <f t="shared" si="706"/>
        <v>1</v>
      </c>
      <c r="BH117" s="4">
        <f t="shared" si="706"/>
        <v>0</v>
      </c>
      <c r="BI117" s="4">
        <f t="shared" si="706"/>
        <v>0</v>
      </c>
      <c r="BJ117" s="4">
        <f t="shared" si="706"/>
        <v>1</v>
      </c>
      <c r="BK117" s="4">
        <f t="shared" si="11"/>
        <v>5</v>
      </c>
      <c r="BM117" s="1" t="s">
        <v>232</v>
      </c>
      <c r="BN117" s="1" t="s">
        <v>726</v>
      </c>
      <c r="BO117" s="4">
        <f t="shared" ref="BO117:BU117" si="707">IF(ISNUMBER(SEARCH(BO$1,$BN117)), 1, 0)</f>
        <v>0</v>
      </c>
      <c r="BP117" s="4">
        <f t="shared" si="707"/>
        <v>1</v>
      </c>
      <c r="BQ117" s="4">
        <f t="shared" si="707"/>
        <v>0</v>
      </c>
      <c r="BR117" s="4">
        <f t="shared" si="707"/>
        <v>1</v>
      </c>
      <c r="BS117" s="4">
        <f t="shared" si="707"/>
        <v>0</v>
      </c>
      <c r="BT117" s="4">
        <f t="shared" si="707"/>
        <v>0</v>
      </c>
      <c r="BU117" s="4">
        <f t="shared" si="707"/>
        <v>0</v>
      </c>
      <c r="CX117" s="1" t="s">
        <v>686</v>
      </c>
      <c r="CZ117" s="1" t="s">
        <v>250</v>
      </c>
      <c r="DB117" s="1" t="s">
        <v>727</v>
      </c>
      <c r="DC117" s="1" t="s">
        <v>180</v>
      </c>
    </row>
    <row r="118" spans="1:107" ht="15.75" customHeight="1" x14ac:dyDescent="0.25">
      <c r="A118" s="1" t="b">
        <v>1</v>
      </c>
      <c r="B118" s="3">
        <v>46168.735289351855</v>
      </c>
      <c r="C118" s="1" t="s">
        <v>728</v>
      </c>
      <c r="D118" s="1" t="s">
        <v>439</v>
      </c>
      <c r="E118" s="4">
        <f t="shared" ref="E118:K118" si="708">IF(ISNUMBER(SEARCH(E$1,$D118)), SEARCH(E$1,$D118), 0)</f>
        <v>1</v>
      </c>
      <c r="F118" s="4">
        <f t="shared" si="708"/>
        <v>30</v>
      </c>
      <c r="G118" s="4">
        <f t="shared" si="708"/>
        <v>0</v>
      </c>
      <c r="H118" s="4">
        <f t="shared" si="708"/>
        <v>0</v>
      </c>
      <c r="I118" s="4">
        <f t="shared" si="708"/>
        <v>105</v>
      </c>
      <c r="J118" s="4">
        <f t="shared" si="708"/>
        <v>0</v>
      </c>
      <c r="K118" s="4">
        <f t="shared" si="708"/>
        <v>0</v>
      </c>
      <c r="L118" s="4">
        <f t="shared" si="1"/>
        <v>105</v>
      </c>
      <c r="N118" s="1" t="s">
        <v>328</v>
      </c>
      <c r="O118" s="4">
        <f t="shared" ref="O118:T118" si="709">IF(ISNUMBER(SEARCH(O$1,$N118)), 1, 0)</f>
        <v>1</v>
      </c>
      <c r="P118" s="4">
        <f t="shared" si="709"/>
        <v>1</v>
      </c>
      <c r="Q118" s="4">
        <f t="shared" si="709"/>
        <v>1</v>
      </c>
      <c r="R118" s="4">
        <f t="shared" si="709"/>
        <v>0</v>
      </c>
      <c r="S118" s="4">
        <f t="shared" si="709"/>
        <v>0</v>
      </c>
      <c r="T118" s="4">
        <f t="shared" si="709"/>
        <v>0</v>
      </c>
      <c r="V118" s="1" t="s">
        <v>24</v>
      </c>
      <c r="W118" s="1" t="str">
        <f t="shared" si="679"/>
        <v>False</v>
      </c>
      <c r="X118" s="1" t="str">
        <f t="shared" si="679"/>
        <v>False</v>
      </c>
      <c r="Y118" s="1" t="str">
        <f t="shared" si="679"/>
        <v>True</v>
      </c>
      <c r="Z118" s="1" t="str">
        <f t="shared" si="679"/>
        <v>False</v>
      </c>
      <c r="AA118" s="1" t="str">
        <f t="shared" si="679"/>
        <v>False</v>
      </c>
      <c r="AB118" s="1" t="s">
        <v>357</v>
      </c>
      <c r="AC118" s="4">
        <f t="shared" ref="AC118:AH118" si="710">IF(ISNUMBER(SEARCH(AC$1,$AB118)), 1, 0)</f>
        <v>1</v>
      </c>
      <c r="AD118" s="4">
        <f t="shared" si="710"/>
        <v>0</v>
      </c>
      <c r="AE118" s="4">
        <f t="shared" si="710"/>
        <v>0</v>
      </c>
      <c r="AF118" s="4">
        <f t="shared" si="710"/>
        <v>0</v>
      </c>
      <c r="AG118" s="4">
        <f t="shared" si="710"/>
        <v>0</v>
      </c>
      <c r="AH118" s="4">
        <f t="shared" si="710"/>
        <v>1</v>
      </c>
      <c r="AI118" s="1">
        <f t="shared" si="5"/>
        <v>2</v>
      </c>
      <c r="AK118" s="1" t="s">
        <v>246</v>
      </c>
      <c r="AL118" s="4">
        <f t="shared" ref="AL118:AS118" si="711">IF(ISNUMBER(SEARCH(AL$1,$AK118)), 1, 0)</f>
        <v>1</v>
      </c>
      <c r="AM118" s="4">
        <f t="shared" si="711"/>
        <v>1</v>
      </c>
      <c r="AN118" s="4">
        <f t="shared" si="711"/>
        <v>0</v>
      </c>
      <c r="AO118" s="4">
        <f t="shared" si="711"/>
        <v>1</v>
      </c>
      <c r="AP118" s="4">
        <f t="shared" si="711"/>
        <v>0</v>
      </c>
      <c r="AQ118" s="4">
        <f t="shared" si="711"/>
        <v>1</v>
      </c>
      <c r="AR118" s="4">
        <f t="shared" si="711"/>
        <v>0</v>
      </c>
      <c r="AS118" s="4">
        <f t="shared" si="711"/>
        <v>0</v>
      </c>
      <c r="AU118" s="1" t="s">
        <v>47</v>
      </c>
      <c r="AV118" s="1">
        <f t="shared" si="7"/>
        <v>1</v>
      </c>
      <c r="AW118" s="1">
        <f t="shared" si="8"/>
        <v>0</v>
      </c>
      <c r="AX118" s="1">
        <f t="shared" si="9"/>
        <v>0</v>
      </c>
      <c r="AY118" s="1" t="s">
        <v>48</v>
      </c>
      <c r="BA118" s="1" t="s">
        <v>729</v>
      </c>
      <c r="BB118" s="4">
        <f t="shared" ref="BB118:BJ118" si="712">IF(ISNUMBER(SEARCH(BB$1,$BA118)), 1, 0)</f>
        <v>0</v>
      </c>
      <c r="BC118" s="4">
        <f t="shared" si="712"/>
        <v>1</v>
      </c>
      <c r="BD118" s="4">
        <f t="shared" si="712"/>
        <v>0</v>
      </c>
      <c r="BE118" s="4">
        <f t="shared" si="712"/>
        <v>0</v>
      </c>
      <c r="BF118" s="4">
        <f t="shared" si="712"/>
        <v>1</v>
      </c>
      <c r="BG118" s="4">
        <f t="shared" si="712"/>
        <v>0</v>
      </c>
      <c r="BH118" s="4">
        <f t="shared" si="712"/>
        <v>0</v>
      </c>
      <c r="BI118" s="4">
        <f t="shared" si="712"/>
        <v>0</v>
      </c>
      <c r="BJ118" s="4">
        <f t="shared" si="712"/>
        <v>0</v>
      </c>
      <c r="BK118" s="4">
        <f t="shared" si="11"/>
        <v>2</v>
      </c>
      <c r="BM118" s="1" t="s">
        <v>166</v>
      </c>
      <c r="BN118" s="1" t="s">
        <v>268</v>
      </c>
      <c r="BO118" s="4">
        <f t="shared" ref="BO118:BU118" si="713">IF(ISNUMBER(SEARCH(BO$1,$BN118)), 1, 0)</f>
        <v>1</v>
      </c>
      <c r="BP118" s="4">
        <f t="shared" si="713"/>
        <v>1</v>
      </c>
      <c r="BQ118" s="4">
        <f t="shared" si="713"/>
        <v>0</v>
      </c>
      <c r="BR118" s="4">
        <f t="shared" si="713"/>
        <v>0</v>
      </c>
      <c r="BS118" s="4">
        <f t="shared" si="713"/>
        <v>0</v>
      </c>
      <c r="BT118" s="4">
        <f t="shared" si="713"/>
        <v>0</v>
      </c>
      <c r="BU118" s="4">
        <f t="shared" si="713"/>
        <v>0</v>
      </c>
      <c r="BV118" s="1" t="s">
        <v>730</v>
      </c>
      <c r="CH118" s="1" t="s">
        <v>731</v>
      </c>
      <c r="CI118" s="1" t="s">
        <v>732</v>
      </c>
      <c r="CJ118" s="1" t="s">
        <v>733</v>
      </c>
      <c r="CK118" s="1" t="s">
        <v>734</v>
      </c>
      <c r="CL118" s="1" t="s">
        <v>177</v>
      </c>
      <c r="CX118" s="1" t="s">
        <v>735</v>
      </c>
      <c r="CZ118" s="1" t="s">
        <v>736</v>
      </c>
      <c r="DC118" s="1" t="s">
        <v>180</v>
      </c>
    </row>
    <row r="119" spans="1:107" ht="15.75" customHeight="1" x14ac:dyDescent="0.25">
      <c r="A119" s="1" t="b">
        <v>0</v>
      </c>
      <c r="B119" s="3">
        <v>46169.409421296295</v>
      </c>
      <c r="C119" s="1" t="s">
        <v>737</v>
      </c>
      <c r="D119" s="1" t="s">
        <v>738</v>
      </c>
      <c r="E119" s="4">
        <f t="shared" ref="E119:K119" si="714">IF(ISNUMBER(SEARCH(E$1,$D119)), SEARCH(E$1,$D119), 0)</f>
        <v>1</v>
      </c>
      <c r="F119" s="4">
        <f t="shared" si="714"/>
        <v>0</v>
      </c>
      <c r="G119" s="4">
        <f t="shared" si="714"/>
        <v>0</v>
      </c>
      <c r="H119" s="4">
        <f t="shared" si="714"/>
        <v>30</v>
      </c>
      <c r="I119" s="4">
        <f t="shared" si="714"/>
        <v>68</v>
      </c>
      <c r="J119" s="4">
        <f t="shared" si="714"/>
        <v>0</v>
      </c>
      <c r="K119" s="4">
        <f t="shared" si="714"/>
        <v>0</v>
      </c>
      <c r="L119" s="4">
        <f t="shared" si="1"/>
        <v>68</v>
      </c>
      <c r="N119" s="1" t="s">
        <v>739</v>
      </c>
      <c r="O119" s="4">
        <f t="shared" ref="O119:T119" si="715">IF(ISNUMBER(SEARCH(O$1,$N119)), 1, 0)</f>
        <v>0</v>
      </c>
      <c r="P119" s="4">
        <f t="shared" si="715"/>
        <v>0</v>
      </c>
      <c r="Q119" s="4">
        <f t="shared" si="715"/>
        <v>1</v>
      </c>
      <c r="R119" s="4">
        <f t="shared" si="715"/>
        <v>1</v>
      </c>
      <c r="S119" s="4">
        <f t="shared" si="715"/>
        <v>0</v>
      </c>
      <c r="T119" s="4">
        <f t="shared" si="715"/>
        <v>0</v>
      </c>
      <c r="V119" s="1" t="s">
        <v>25</v>
      </c>
      <c r="W119" s="1" t="str">
        <f t="shared" si="679"/>
        <v>False</v>
      </c>
      <c r="X119" s="1" t="str">
        <f t="shared" si="679"/>
        <v>False</v>
      </c>
      <c r="Y119" s="1" t="str">
        <f t="shared" si="679"/>
        <v>False</v>
      </c>
      <c r="Z119" s="1" t="str">
        <f t="shared" si="679"/>
        <v>True</v>
      </c>
      <c r="AA119" s="1" t="str">
        <f t="shared" si="679"/>
        <v>False</v>
      </c>
      <c r="AB119" s="1" t="s">
        <v>357</v>
      </c>
      <c r="AC119" s="4">
        <f t="shared" ref="AC119:AH119" si="716">IF(ISNUMBER(SEARCH(AC$1,$AB119)), 1, 0)</f>
        <v>1</v>
      </c>
      <c r="AD119" s="4">
        <f t="shared" si="716"/>
        <v>0</v>
      </c>
      <c r="AE119" s="4">
        <f t="shared" si="716"/>
        <v>0</v>
      </c>
      <c r="AF119" s="4">
        <f t="shared" si="716"/>
        <v>0</v>
      </c>
      <c r="AG119" s="4">
        <f t="shared" si="716"/>
        <v>0</v>
      </c>
      <c r="AH119" s="4">
        <f t="shared" si="716"/>
        <v>1</v>
      </c>
      <c r="AI119" s="1">
        <f t="shared" si="5"/>
        <v>2</v>
      </c>
      <c r="AK119" s="1" t="s">
        <v>492</v>
      </c>
      <c r="AL119" s="4">
        <f t="shared" ref="AL119:AS119" si="717">IF(ISNUMBER(SEARCH(AL$1,$AK119)), 1, 0)</f>
        <v>1</v>
      </c>
      <c r="AM119" s="4">
        <f t="shared" si="717"/>
        <v>1</v>
      </c>
      <c r="AN119" s="4">
        <f t="shared" si="717"/>
        <v>1</v>
      </c>
      <c r="AO119" s="4">
        <f t="shared" si="717"/>
        <v>1</v>
      </c>
      <c r="AP119" s="4">
        <f t="shared" si="717"/>
        <v>1</v>
      </c>
      <c r="AQ119" s="4">
        <f t="shared" si="717"/>
        <v>1</v>
      </c>
      <c r="AR119" s="4">
        <f t="shared" si="717"/>
        <v>1</v>
      </c>
      <c r="AS119" s="4">
        <f t="shared" si="717"/>
        <v>0</v>
      </c>
      <c r="AU119" s="1" t="s">
        <v>47</v>
      </c>
      <c r="AV119" s="1">
        <f t="shared" si="7"/>
        <v>1</v>
      </c>
      <c r="AW119" s="1">
        <f t="shared" si="8"/>
        <v>0</v>
      </c>
      <c r="AX119" s="1">
        <f t="shared" si="9"/>
        <v>0</v>
      </c>
      <c r="AY119" s="1" t="s">
        <v>47</v>
      </c>
      <c r="AZ119" s="1" t="s">
        <v>48</v>
      </c>
      <c r="BA119" s="1" t="s">
        <v>231</v>
      </c>
      <c r="BB119" s="4">
        <f t="shared" ref="BB119:BJ119" si="718">IF(ISNUMBER(SEARCH(BB$1,$BA119)), 1, 0)</f>
        <v>1</v>
      </c>
      <c r="BC119" s="4">
        <f t="shared" si="718"/>
        <v>1</v>
      </c>
      <c r="BD119" s="4">
        <f t="shared" si="718"/>
        <v>1</v>
      </c>
      <c r="BE119" s="4">
        <f t="shared" si="718"/>
        <v>1</v>
      </c>
      <c r="BF119" s="4">
        <f t="shared" si="718"/>
        <v>1</v>
      </c>
      <c r="BG119" s="4">
        <f t="shared" si="718"/>
        <v>1</v>
      </c>
      <c r="BH119" s="4">
        <f t="shared" si="718"/>
        <v>0</v>
      </c>
      <c r="BI119" s="4">
        <f t="shared" si="718"/>
        <v>0</v>
      </c>
      <c r="BJ119" s="4">
        <f t="shared" si="718"/>
        <v>1</v>
      </c>
      <c r="BK119" s="4">
        <f t="shared" si="11"/>
        <v>7</v>
      </c>
      <c r="BO119" s="4">
        <f t="shared" ref="BO119:BU119" si="719">IF(ISNUMBER(SEARCH(BO$1,$BN119)), 1, 0)</f>
        <v>0</v>
      </c>
      <c r="BP119" s="4">
        <f t="shared" si="719"/>
        <v>0</v>
      </c>
      <c r="BQ119" s="4">
        <f t="shared" si="719"/>
        <v>0</v>
      </c>
      <c r="BR119" s="4">
        <f t="shared" si="719"/>
        <v>0</v>
      </c>
      <c r="BS119" s="4">
        <f t="shared" si="719"/>
        <v>0</v>
      </c>
      <c r="BT119" s="4">
        <f t="shared" si="719"/>
        <v>0</v>
      </c>
      <c r="BU119" s="4">
        <f t="shared" si="719"/>
        <v>0</v>
      </c>
    </row>
    <row r="120" spans="1:107" ht="15.75" customHeight="1" x14ac:dyDescent="0.25">
      <c r="A120" s="1" t="b">
        <v>1</v>
      </c>
      <c r="B120" s="3">
        <v>46169.416261574072</v>
      </c>
      <c r="C120" s="1" t="s">
        <v>740</v>
      </c>
      <c r="D120" s="1" t="s">
        <v>207</v>
      </c>
      <c r="E120" s="4">
        <f t="shared" ref="E120:K120" si="720">IF(ISNUMBER(SEARCH(E$1,$D120)), SEARCH(E$1,$D120), 0)</f>
        <v>1</v>
      </c>
      <c r="F120" s="4">
        <f t="shared" si="720"/>
        <v>30</v>
      </c>
      <c r="G120" s="4">
        <f t="shared" si="720"/>
        <v>0</v>
      </c>
      <c r="H120" s="4">
        <f t="shared" si="720"/>
        <v>0</v>
      </c>
      <c r="I120" s="4">
        <f t="shared" si="720"/>
        <v>0</v>
      </c>
      <c r="J120" s="4">
        <f t="shared" si="720"/>
        <v>0</v>
      </c>
      <c r="K120" s="4">
        <f t="shared" si="720"/>
        <v>0</v>
      </c>
      <c r="L120" s="4">
        <f t="shared" si="1"/>
        <v>30</v>
      </c>
      <c r="N120" s="1" t="s">
        <v>187</v>
      </c>
      <c r="O120" s="4">
        <f t="shared" ref="O120:T120" si="721">IF(ISNUMBER(SEARCH(O$1,$N120)), 1, 0)</f>
        <v>1</v>
      </c>
      <c r="P120" s="4">
        <f t="shared" si="721"/>
        <v>1</v>
      </c>
      <c r="Q120" s="4">
        <f t="shared" si="721"/>
        <v>1</v>
      </c>
      <c r="R120" s="4">
        <f t="shared" si="721"/>
        <v>1</v>
      </c>
      <c r="S120" s="4">
        <f t="shared" si="721"/>
        <v>1</v>
      </c>
      <c r="T120" s="4">
        <f t="shared" si="721"/>
        <v>1</v>
      </c>
      <c r="W120" s="1" t="str">
        <f t="shared" si="679"/>
        <v>False</v>
      </c>
      <c r="X120" s="1" t="str">
        <f t="shared" si="679"/>
        <v>False</v>
      </c>
      <c r="Y120" s="1" t="str">
        <f t="shared" si="679"/>
        <v>False</v>
      </c>
      <c r="Z120" s="1" t="str">
        <f t="shared" si="679"/>
        <v>False</v>
      </c>
      <c r="AA120" s="1" t="str">
        <f t="shared" si="679"/>
        <v>False</v>
      </c>
      <c r="AB120" s="1" t="s">
        <v>741</v>
      </c>
      <c r="AC120" s="4">
        <f t="shared" ref="AC120:AH120" si="722">IF(ISNUMBER(SEARCH(AC$1,$AB120)), 1, 0)</f>
        <v>1</v>
      </c>
      <c r="AD120" s="4">
        <f t="shared" si="722"/>
        <v>0</v>
      </c>
      <c r="AE120" s="4">
        <f t="shared" si="722"/>
        <v>1</v>
      </c>
      <c r="AF120" s="4">
        <f t="shared" si="722"/>
        <v>1</v>
      </c>
      <c r="AG120" s="4">
        <f t="shared" si="722"/>
        <v>0</v>
      </c>
      <c r="AH120" s="4">
        <f t="shared" si="722"/>
        <v>1</v>
      </c>
      <c r="AI120" s="1">
        <f t="shared" si="5"/>
        <v>4</v>
      </c>
      <c r="AK120" s="1" t="s">
        <v>470</v>
      </c>
      <c r="AL120" s="4">
        <f t="shared" ref="AL120:AS120" si="723">IF(ISNUMBER(SEARCH(AL$1,$AK120)), 1, 0)</f>
        <v>0</v>
      </c>
      <c r="AM120" s="4">
        <f t="shared" si="723"/>
        <v>1</v>
      </c>
      <c r="AN120" s="4">
        <f t="shared" si="723"/>
        <v>0</v>
      </c>
      <c r="AO120" s="4">
        <f t="shared" si="723"/>
        <v>1</v>
      </c>
      <c r="AP120" s="4">
        <f t="shared" si="723"/>
        <v>0</v>
      </c>
      <c r="AQ120" s="4">
        <f t="shared" si="723"/>
        <v>1</v>
      </c>
      <c r="AR120" s="4">
        <f t="shared" si="723"/>
        <v>0</v>
      </c>
      <c r="AS120" s="4">
        <f t="shared" si="723"/>
        <v>0</v>
      </c>
      <c r="AU120" s="1" t="s">
        <v>48</v>
      </c>
      <c r="AV120" s="1">
        <f t="shared" si="7"/>
        <v>0</v>
      </c>
      <c r="AW120" s="1">
        <f t="shared" si="8"/>
        <v>1</v>
      </c>
      <c r="AX120" s="1">
        <f t="shared" si="9"/>
        <v>0</v>
      </c>
      <c r="AY120" s="1" t="s">
        <v>48</v>
      </c>
      <c r="BA120" s="1" t="s">
        <v>247</v>
      </c>
      <c r="BB120" s="4">
        <f t="shared" ref="BB120:BJ120" si="724">IF(ISNUMBER(SEARCH(BB$1,$BA120)), 1, 0)</f>
        <v>1</v>
      </c>
      <c r="BC120" s="4">
        <f t="shared" si="724"/>
        <v>1</v>
      </c>
      <c r="BD120" s="4">
        <f t="shared" si="724"/>
        <v>1</v>
      </c>
      <c r="BE120" s="4">
        <f t="shared" si="724"/>
        <v>1</v>
      </c>
      <c r="BF120" s="4">
        <f t="shared" si="724"/>
        <v>1</v>
      </c>
      <c r="BG120" s="4">
        <f t="shared" si="724"/>
        <v>0</v>
      </c>
      <c r="BH120" s="4">
        <f t="shared" si="724"/>
        <v>1</v>
      </c>
      <c r="BI120" s="4">
        <f t="shared" si="724"/>
        <v>0</v>
      </c>
      <c r="BJ120" s="4">
        <f t="shared" si="724"/>
        <v>1</v>
      </c>
      <c r="BK120" s="4">
        <f t="shared" si="11"/>
        <v>7</v>
      </c>
      <c r="BM120" s="1" t="s">
        <v>232</v>
      </c>
      <c r="BN120" s="1" t="s">
        <v>441</v>
      </c>
      <c r="BO120" s="4">
        <f t="shared" ref="BO120:BU120" si="725">IF(ISNUMBER(SEARCH(BO$1,$BN120)), 1, 0)</f>
        <v>0</v>
      </c>
      <c r="BP120" s="4">
        <f t="shared" si="725"/>
        <v>1</v>
      </c>
      <c r="BQ120" s="4">
        <f t="shared" si="725"/>
        <v>0</v>
      </c>
      <c r="BR120" s="4">
        <f t="shared" si="725"/>
        <v>1</v>
      </c>
      <c r="BS120" s="4">
        <f t="shared" si="725"/>
        <v>1</v>
      </c>
      <c r="BT120" s="4">
        <f t="shared" si="725"/>
        <v>0</v>
      </c>
      <c r="BU120" s="4">
        <f t="shared" si="725"/>
        <v>0</v>
      </c>
      <c r="BW120" s="1" t="s">
        <v>212</v>
      </c>
      <c r="CX120" s="1" t="s">
        <v>686</v>
      </c>
      <c r="CZ120" s="1" t="s">
        <v>742</v>
      </c>
      <c r="DC120" s="1" t="s">
        <v>180</v>
      </c>
    </row>
    <row r="121" spans="1:107" ht="15.75" customHeight="1" x14ac:dyDescent="0.25">
      <c r="A121" s="1" t="b">
        <v>1</v>
      </c>
      <c r="B121" s="3">
        <v>46169.466898148145</v>
      </c>
      <c r="C121" s="1" t="s">
        <v>743</v>
      </c>
      <c r="D121" s="1" t="s">
        <v>4</v>
      </c>
      <c r="E121" s="4">
        <f t="shared" ref="E121:K121" si="726">IF(ISNUMBER(SEARCH(E$1,$D121)), SEARCH(E$1,$D121), 0)</f>
        <v>1</v>
      </c>
      <c r="F121" s="4">
        <f t="shared" si="726"/>
        <v>0</v>
      </c>
      <c r="G121" s="4">
        <f t="shared" si="726"/>
        <v>0</v>
      </c>
      <c r="H121" s="4">
        <f t="shared" si="726"/>
        <v>0</v>
      </c>
      <c r="I121" s="4">
        <f t="shared" si="726"/>
        <v>0</v>
      </c>
      <c r="J121" s="4">
        <f t="shared" si="726"/>
        <v>0</v>
      </c>
      <c r="K121" s="4">
        <f t="shared" si="726"/>
        <v>0</v>
      </c>
      <c r="L121" s="4">
        <f t="shared" si="1"/>
        <v>1</v>
      </c>
      <c r="N121" s="1" t="s">
        <v>469</v>
      </c>
      <c r="O121" s="4">
        <f t="shared" ref="O121:T121" si="727">IF(ISNUMBER(SEARCH(O$1,$N121)), 1, 0)</f>
        <v>1</v>
      </c>
      <c r="P121" s="4">
        <f t="shared" si="727"/>
        <v>0</v>
      </c>
      <c r="Q121" s="4">
        <f t="shared" si="727"/>
        <v>0</v>
      </c>
      <c r="R121" s="4">
        <f t="shared" si="727"/>
        <v>1</v>
      </c>
      <c r="S121" s="4">
        <f t="shared" si="727"/>
        <v>0</v>
      </c>
      <c r="T121" s="4">
        <f t="shared" si="727"/>
        <v>0</v>
      </c>
      <c r="V121" s="1" t="s">
        <v>24</v>
      </c>
      <c r="W121" s="1" t="str">
        <f t="shared" si="679"/>
        <v>False</v>
      </c>
      <c r="X121" s="1" t="str">
        <f t="shared" si="679"/>
        <v>False</v>
      </c>
      <c r="Y121" s="1" t="str">
        <f t="shared" si="679"/>
        <v>True</v>
      </c>
      <c r="Z121" s="1" t="str">
        <f t="shared" si="679"/>
        <v>False</v>
      </c>
      <c r="AA121" s="1" t="str">
        <f t="shared" si="679"/>
        <v>False</v>
      </c>
      <c r="AB121" s="1" t="s">
        <v>28</v>
      </c>
      <c r="AC121" s="4">
        <f t="shared" ref="AC121:AH121" si="728">IF(ISNUMBER(SEARCH(AC$1,$AB121)), 1, 0)</f>
        <v>1</v>
      </c>
      <c r="AD121" s="4">
        <f t="shared" si="728"/>
        <v>0</v>
      </c>
      <c r="AE121" s="4">
        <f t="shared" si="728"/>
        <v>0</v>
      </c>
      <c r="AF121" s="4">
        <f t="shared" si="728"/>
        <v>0</v>
      </c>
      <c r="AG121" s="4">
        <f t="shared" si="728"/>
        <v>0</v>
      </c>
      <c r="AH121" s="4">
        <f t="shared" si="728"/>
        <v>0</v>
      </c>
      <c r="AI121" s="1">
        <f t="shared" si="5"/>
        <v>1</v>
      </c>
      <c r="AK121" s="1" t="s">
        <v>346</v>
      </c>
      <c r="AL121" s="4">
        <f t="shared" ref="AL121:AS121" si="729">IF(ISNUMBER(SEARCH(AL$1,$AK121)), 1, 0)</f>
        <v>0</v>
      </c>
      <c r="AM121" s="4">
        <f t="shared" si="729"/>
        <v>1</v>
      </c>
      <c r="AN121" s="4">
        <f t="shared" si="729"/>
        <v>1</v>
      </c>
      <c r="AO121" s="4">
        <f t="shared" si="729"/>
        <v>1</v>
      </c>
      <c r="AP121" s="4">
        <f t="shared" si="729"/>
        <v>0</v>
      </c>
      <c r="AQ121" s="4">
        <f t="shared" si="729"/>
        <v>0</v>
      </c>
      <c r="AR121" s="4">
        <f t="shared" si="729"/>
        <v>0</v>
      </c>
      <c r="AS121" s="4">
        <f t="shared" si="729"/>
        <v>0</v>
      </c>
      <c r="AU121" s="1" t="s">
        <v>47</v>
      </c>
      <c r="AV121" s="1">
        <f t="shared" si="7"/>
        <v>1</v>
      </c>
      <c r="AW121" s="1">
        <f t="shared" si="8"/>
        <v>0</v>
      </c>
      <c r="AX121" s="1">
        <f t="shared" si="9"/>
        <v>0</v>
      </c>
      <c r="AY121" s="1" t="s">
        <v>48</v>
      </c>
      <c r="BA121" s="1" t="s">
        <v>457</v>
      </c>
      <c r="BB121" s="4">
        <f t="shared" ref="BB121:BJ121" si="730">IF(ISNUMBER(SEARCH(BB$1,$BA121)), 1, 0)</f>
        <v>0</v>
      </c>
      <c r="BC121" s="4">
        <f t="shared" si="730"/>
        <v>0</v>
      </c>
      <c r="BD121" s="4">
        <f t="shared" si="730"/>
        <v>0</v>
      </c>
      <c r="BE121" s="4">
        <f t="shared" si="730"/>
        <v>0</v>
      </c>
      <c r="BF121" s="4">
        <f t="shared" si="730"/>
        <v>1</v>
      </c>
      <c r="BG121" s="4">
        <f t="shared" si="730"/>
        <v>1</v>
      </c>
      <c r="BH121" s="4">
        <f t="shared" si="730"/>
        <v>0</v>
      </c>
      <c r="BI121" s="4">
        <f t="shared" si="730"/>
        <v>0</v>
      </c>
      <c r="BJ121" s="4">
        <f t="shared" si="730"/>
        <v>1</v>
      </c>
      <c r="BK121" s="4">
        <f t="shared" si="11"/>
        <v>3</v>
      </c>
      <c r="BM121" s="1" t="s">
        <v>232</v>
      </c>
      <c r="BN121" s="1" t="s">
        <v>744</v>
      </c>
      <c r="BO121" s="4">
        <f t="shared" ref="BO121:BU121" si="731">IF(ISNUMBER(SEARCH(BO$1,$BN121)), 1, 0)</f>
        <v>0</v>
      </c>
      <c r="BP121" s="4">
        <f t="shared" si="731"/>
        <v>0</v>
      </c>
      <c r="BQ121" s="4">
        <f t="shared" si="731"/>
        <v>0</v>
      </c>
      <c r="BR121" s="4">
        <f t="shared" si="731"/>
        <v>1</v>
      </c>
      <c r="BS121" s="4">
        <f t="shared" si="731"/>
        <v>0</v>
      </c>
      <c r="BT121" s="4">
        <f t="shared" si="731"/>
        <v>0</v>
      </c>
      <c r="BU121" s="4">
        <f t="shared" si="731"/>
        <v>1</v>
      </c>
      <c r="DC121" s="1" t="s">
        <v>180</v>
      </c>
    </row>
    <row r="122" spans="1:107" ht="15.75" customHeight="1" x14ac:dyDescent="0.25">
      <c r="A122" s="1" t="b">
        <v>1</v>
      </c>
      <c r="B122" s="3">
        <v>46169.568993055553</v>
      </c>
      <c r="C122" s="1" t="s">
        <v>745</v>
      </c>
      <c r="D122" s="1" t="s">
        <v>439</v>
      </c>
      <c r="E122" s="4">
        <f t="shared" ref="E122:K122" si="732">IF(ISNUMBER(SEARCH(E$1,$D122)), SEARCH(E$1,$D122), 0)</f>
        <v>1</v>
      </c>
      <c r="F122" s="4">
        <f t="shared" si="732"/>
        <v>30</v>
      </c>
      <c r="G122" s="4">
        <f t="shared" si="732"/>
        <v>0</v>
      </c>
      <c r="H122" s="4">
        <f t="shared" si="732"/>
        <v>0</v>
      </c>
      <c r="I122" s="4">
        <f t="shared" si="732"/>
        <v>105</v>
      </c>
      <c r="J122" s="4">
        <f t="shared" si="732"/>
        <v>0</v>
      </c>
      <c r="K122" s="4">
        <f t="shared" si="732"/>
        <v>0</v>
      </c>
      <c r="L122" s="4">
        <f t="shared" si="1"/>
        <v>105</v>
      </c>
      <c r="N122" s="1" t="s">
        <v>208</v>
      </c>
      <c r="O122" s="4">
        <f t="shared" ref="O122:T122" si="733">IF(ISNUMBER(SEARCH(O$1,$N122)), 1, 0)</f>
        <v>1</v>
      </c>
      <c r="P122" s="4">
        <f t="shared" si="733"/>
        <v>1</v>
      </c>
      <c r="Q122" s="4">
        <f t="shared" si="733"/>
        <v>0</v>
      </c>
      <c r="R122" s="4">
        <f t="shared" si="733"/>
        <v>1</v>
      </c>
      <c r="S122" s="4">
        <f t="shared" si="733"/>
        <v>0</v>
      </c>
      <c r="T122" s="4">
        <f t="shared" si="733"/>
        <v>0</v>
      </c>
      <c r="W122" s="1" t="str">
        <f t="shared" si="679"/>
        <v>False</v>
      </c>
      <c r="X122" s="1" t="str">
        <f t="shared" si="679"/>
        <v>False</v>
      </c>
      <c r="Y122" s="1" t="str">
        <f t="shared" si="679"/>
        <v>False</v>
      </c>
      <c r="Z122" s="1" t="str">
        <f t="shared" si="679"/>
        <v>False</v>
      </c>
      <c r="AA122" s="1" t="str">
        <f t="shared" si="679"/>
        <v>False</v>
      </c>
      <c r="AB122" s="1" t="s">
        <v>33</v>
      </c>
      <c r="AC122" s="4">
        <f t="shared" ref="AC122:AH122" si="734">IF(ISNUMBER(SEARCH(AC$1,$AB122)), 1, 0)</f>
        <v>0</v>
      </c>
      <c r="AD122" s="4">
        <f t="shared" si="734"/>
        <v>0</v>
      </c>
      <c r="AE122" s="4">
        <f t="shared" si="734"/>
        <v>0</v>
      </c>
      <c r="AF122" s="4">
        <f t="shared" si="734"/>
        <v>0</v>
      </c>
      <c r="AG122" s="4">
        <f t="shared" si="734"/>
        <v>0</v>
      </c>
      <c r="AH122" s="4">
        <f t="shared" si="734"/>
        <v>1</v>
      </c>
      <c r="AI122" s="1">
        <f t="shared" si="5"/>
        <v>1</v>
      </c>
      <c r="AK122" s="1" t="s">
        <v>38</v>
      </c>
      <c r="AL122" s="4">
        <f t="shared" ref="AL122:AS122" si="735">IF(ISNUMBER(SEARCH(AL$1,$AK122)), 1, 0)</f>
        <v>0</v>
      </c>
      <c r="AM122" s="4">
        <f t="shared" si="735"/>
        <v>1</v>
      </c>
      <c r="AN122" s="4">
        <f t="shared" si="735"/>
        <v>0</v>
      </c>
      <c r="AO122" s="4">
        <f t="shared" si="735"/>
        <v>0</v>
      </c>
      <c r="AP122" s="4">
        <f t="shared" si="735"/>
        <v>0</v>
      </c>
      <c r="AQ122" s="4">
        <f t="shared" si="735"/>
        <v>0</v>
      </c>
      <c r="AR122" s="4">
        <f t="shared" si="735"/>
        <v>0</v>
      </c>
      <c r="AS122" s="4">
        <f t="shared" si="735"/>
        <v>0</v>
      </c>
      <c r="AU122" s="1" t="s">
        <v>47</v>
      </c>
      <c r="AV122" s="1">
        <f t="shared" si="7"/>
        <v>1</v>
      </c>
      <c r="AW122" s="1">
        <f t="shared" si="8"/>
        <v>0</v>
      </c>
      <c r="AX122" s="1">
        <f t="shared" si="9"/>
        <v>0</v>
      </c>
      <c r="AY122" s="1" t="s">
        <v>48</v>
      </c>
      <c r="BA122" s="1" t="s">
        <v>231</v>
      </c>
      <c r="BB122" s="4">
        <f t="shared" ref="BB122:BJ122" si="736">IF(ISNUMBER(SEARCH(BB$1,$BA122)), 1, 0)</f>
        <v>1</v>
      </c>
      <c r="BC122" s="4">
        <f t="shared" si="736"/>
        <v>1</v>
      </c>
      <c r="BD122" s="4">
        <f t="shared" si="736"/>
        <v>1</v>
      </c>
      <c r="BE122" s="4">
        <f t="shared" si="736"/>
        <v>1</v>
      </c>
      <c r="BF122" s="4">
        <f t="shared" si="736"/>
        <v>1</v>
      </c>
      <c r="BG122" s="4">
        <f t="shared" si="736"/>
        <v>1</v>
      </c>
      <c r="BH122" s="4">
        <f t="shared" si="736"/>
        <v>0</v>
      </c>
      <c r="BI122" s="4">
        <f t="shared" si="736"/>
        <v>0</v>
      </c>
      <c r="BJ122" s="4">
        <f t="shared" si="736"/>
        <v>1</v>
      </c>
      <c r="BK122" s="4">
        <f t="shared" si="11"/>
        <v>7</v>
      </c>
      <c r="BM122" s="1" t="s">
        <v>232</v>
      </c>
      <c r="BN122" s="1" t="s">
        <v>746</v>
      </c>
      <c r="BO122" s="4">
        <f t="shared" ref="BO122:BU122" si="737">IF(ISNUMBER(SEARCH(BO$1,$BN122)), 1, 0)</f>
        <v>0</v>
      </c>
      <c r="BP122" s="4">
        <f t="shared" si="737"/>
        <v>0</v>
      </c>
      <c r="BQ122" s="4">
        <f t="shared" si="737"/>
        <v>1</v>
      </c>
      <c r="BR122" s="4">
        <f t="shared" si="737"/>
        <v>1</v>
      </c>
      <c r="BS122" s="4">
        <f t="shared" si="737"/>
        <v>0</v>
      </c>
      <c r="BT122" s="4">
        <f t="shared" si="737"/>
        <v>1</v>
      </c>
      <c r="BU122" s="4">
        <f t="shared" si="737"/>
        <v>1</v>
      </c>
      <c r="CH122" s="1" t="s">
        <v>747</v>
      </c>
      <c r="CJ122" s="1" t="s">
        <v>642</v>
      </c>
      <c r="CL122" s="1" t="s">
        <v>352</v>
      </c>
      <c r="CX122" s="1" t="s">
        <v>748</v>
      </c>
      <c r="CZ122" s="1" t="s">
        <v>178</v>
      </c>
      <c r="DC122" s="1" t="s">
        <v>180</v>
      </c>
    </row>
    <row r="123" spans="1:107" ht="15.75" customHeight="1" x14ac:dyDescent="0.25">
      <c r="A123" s="1" t="b">
        <v>0</v>
      </c>
      <c r="B123" s="3">
        <v>46169.602546296293</v>
      </c>
      <c r="C123" s="1" t="s">
        <v>749</v>
      </c>
      <c r="D123" s="1" t="s">
        <v>4</v>
      </c>
      <c r="E123" s="4">
        <f t="shared" ref="E123:K123" si="738">IF(ISNUMBER(SEARCH(E$1,$D123)), SEARCH(E$1,$D123), 0)</f>
        <v>1</v>
      </c>
      <c r="F123" s="4">
        <f t="shared" si="738"/>
        <v>0</v>
      </c>
      <c r="G123" s="4">
        <f t="shared" si="738"/>
        <v>0</v>
      </c>
      <c r="H123" s="4">
        <f t="shared" si="738"/>
        <v>0</v>
      </c>
      <c r="I123" s="4">
        <f t="shared" si="738"/>
        <v>0</v>
      </c>
      <c r="J123" s="4">
        <f t="shared" si="738"/>
        <v>0</v>
      </c>
      <c r="K123" s="4">
        <f t="shared" si="738"/>
        <v>0</v>
      </c>
      <c r="L123" s="4">
        <f t="shared" si="1"/>
        <v>1</v>
      </c>
      <c r="N123" s="1" t="s">
        <v>385</v>
      </c>
      <c r="O123" s="4">
        <f t="shared" ref="O123:T123" si="739">IF(ISNUMBER(SEARCH(O$1,$N123)), 1, 0)</f>
        <v>1</v>
      </c>
      <c r="P123" s="4">
        <f t="shared" si="739"/>
        <v>1</v>
      </c>
      <c r="Q123" s="4">
        <f t="shared" si="739"/>
        <v>0</v>
      </c>
      <c r="R123" s="4">
        <f t="shared" si="739"/>
        <v>1</v>
      </c>
      <c r="S123" s="4">
        <f t="shared" si="739"/>
        <v>1</v>
      </c>
      <c r="T123" s="4">
        <f t="shared" si="739"/>
        <v>0</v>
      </c>
      <c r="W123" s="1" t="str">
        <f t="shared" ref="W123:AA132" si="740">IF(W$1=$V123, "True", "False")</f>
        <v>False</v>
      </c>
      <c r="X123" s="1" t="str">
        <f t="shared" si="740"/>
        <v>False</v>
      </c>
      <c r="Y123" s="1" t="str">
        <f t="shared" si="740"/>
        <v>False</v>
      </c>
      <c r="Z123" s="1" t="str">
        <f t="shared" si="740"/>
        <v>False</v>
      </c>
      <c r="AA123" s="1" t="str">
        <f t="shared" si="740"/>
        <v>False</v>
      </c>
      <c r="AC123" s="4">
        <f t="shared" ref="AC123:AH123" si="741">IF(ISNUMBER(SEARCH(AC$1,$AB123)), 1, 0)</f>
        <v>0</v>
      </c>
      <c r="AD123" s="4">
        <f t="shared" si="741"/>
        <v>0</v>
      </c>
      <c r="AE123" s="4">
        <f t="shared" si="741"/>
        <v>0</v>
      </c>
      <c r="AF123" s="4">
        <f t="shared" si="741"/>
        <v>0</v>
      </c>
      <c r="AG123" s="4">
        <f t="shared" si="741"/>
        <v>0</v>
      </c>
      <c r="AH123" s="4">
        <f t="shared" si="741"/>
        <v>0</v>
      </c>
      <c r="AI123" s="1">
        <f t="shared" si="5"/>
        <v>0</v>
      </c>
      <c r="AL123" s="4">
        <f t="shared" ref="AL123:AS123" si="742">IF(ISNUMBER(SEARCH(AL$1,$AK123)), 1, 0)</f>
        <v>0</v>
      </c>
      <c r="AM123" s="4">
        <f t="shared" si="742"/>
        <v>0</v>
      </c>
      <c r="AN123" s="4">
        <f t="shared" si="742"/>
        <v>0</v>
      </c>
      <c r="AO123" s="4">
        <f t="shared" si="742"/>
        <v>0</v>
      </c>
      <c r="AP123" s="4">
        <f t="shared" si="742"/>
        <v>0</v>
      </c>
      <c r="AQ123" s="4">
        <f t="shared" si="742"/>
        <v>0</v>
      </c>
      <c r="AR123" s="4">
        <f t="shared" si="742"/>
        <v>0</v>
      </c>
      <c r="AS123" s="4">
        <f t="shared" si="742"/>
        <v>0</v>
      </c>
      <c r="AV123" s="1">
        <f t="shared" si="7"/>
        <v>0</v>
      </c>
      <c r="AW123" s="1">
        <f t="shared" si="8"/>
        <v>0</v>
      </c>
      <c r="AX123" s="1">
        <f t="shared" si="9"/>
        <v>0</v>
      </c>
      <c r="BB123" s="4">
        <f t="shared" ref="BB123:BJ123" si="743">IF(ISNUMBER(SEARCH(BB$1,$BA123)), 1, 0)</f>
        <v>0</v>
      </c>
      <c r="BC123" s="4">
        <f t="shared" si="743"/>
        <v>0</v>
      </c>
      <c r="BD123" s="4">
        <f t="shared" si="743"/>
        <v>0</v>
      </c>
      <c r="BE123" s="4">
        <f t="shared" si="743"/>
        <v>0</v>
      </c>
      <c r="BF123" s="4">
        <f t="shared" si="743"/>
        <v>0</v>
      </c>
      <c r="BG123" s="4">
        <f t="shared" si="743"/>
        <v>0</v>
      </c>
      <c r="BH123" s="4">
        <f t="shared" si="743"/>
        <v>0</v>
      </c>
      <c r="BI123" s="4">
        <f t="shared" si="743"/>
        <v>0</v>
      </c>
      <c r="BJ123" s="4">
        <f t="shared" si="743"/>
        <v>0</v>
      </c>
      <c r="BK123" s="4">
        <f t="shared" si="11"/>
        <v>0</v>
      </c>
      <c r="BO123" s="4">
        <f t="shared" ref="BO123:BU123" si="744">IF(ISNUMBER(SEARCH(BO$1,$BN123)), 1, 0)</f>
        <v>0</v>
      </c>
      <c r="BP123" s="4">
        <f t="shared" si="744"/>
        <v>0</v>
      </c>
      <c r="BQ123" s="4">
        <f t="shared" si="744"/>
        <v>0</v>
      </c>
      <c r="BR123" s="4">
        <f t="shared" si="744"/>
        <v>0</v>
      </c>
      <c r="BS123" s="4">
        <f t="shared" si="744"/>
        <v>0</v>
      </c>
      <c r="BT123" s="4">
        <f t="shared" si="744"/>
        <v>0</v>
      </c>
      <c r="BU123" s="4">
        <f t="shared" si="744"/>
        <v>0</v>
      </c>
    </row>
    <row r="124" spans="1:107" ht="15.75" customHeight="1" x14ac:dyDescent="0.25">
      <c r="A124" s="1" t="b">
        <v>0</v>
      </c>
      <c r="B124" s="3">
        <v>46169.651643518519</v>
      </c>
      <c r="C124" s="1" t="s">
        <v>750</v>
      </c>
      <c r="D124" s="1" t="s">
        <v>751</v>
      </c>
      <c r="E124" s="4">
        <f t="shared" ref="E124:K124" si="745">IF(ISNUMBER(SEARCH(E$1,$D124)), SEARCH(E$1,$D124), 0)</f>
        <v>1</v>
      </c>
      <c r="F124" s="4">
        <f t="shared" si="745"/>
        <v>0</v>
      </c>
      <c r="G124" s="4">
        <f t="shared" si="745"/>
        <v>0</v>
      </c>
      <c r="H124" s="4">
        <f t="shared" si="745"/>
        <v>30</v>
      </c>
      <c r="I124" s="4">
        <f t="shared" si="745"/>
        <v>0</v>
      </c>
      <c r="J124" s="4">
        <f t="shared" si="745"/>
        <v>0</v>
      </c>
      <c r="K124" s="4">
        <f t="shared" si="745"/>
        <v>0</v>
      </c>
      <c r="L124" s="4">
        <f t="shared" si="1"/>
        <v>30</v>
      </c>
      <c r="N124" s="1" t="s">
        <v>323</v>
      </c>
      <c r="O124" s="4">
        <f t="shared" ref="O124:T124" si="746">IF(ISNUMBER(SEARCH(O$1,$N124)), 1, 0)</f>
        <v>1</v>
      </c>
      <c r="P124" s="4">
        <f t="shared" si="746"/>
        <v>1</v>
      </c>
      <c r="Q124" s="4">
        <f t="shared" si="746"/>
        <v>1</v>
      </c>
      <c r="R124" s="4">
        <f t="shared" si="746"/>
        <v>1</v>
      </c>
      <c r="S124" s="4">
        <f t="shared" si="746"/>
        <v>0</v>
      </c>
      <c r="T124" s="4">
        <f t="shared" si="746"/>
        <v>1</v>
      </c>
      <c r="W124" s="1" t="str">
        <f t="shared" si="740"/>
        <v>False</v>
      </c>
      <c r="X124" s="1" t="str">
        <f t="shared" si="740"/>
        <v>False</v>
      </c>
      <c r="Y124" s="1" t="str">
        <f t="shared" si="740"/>
        <v>False</v>
      </c>
      <c r="Z124" s="1" t="str">
        <f t="shared" si="740"/>
        <v>False</v>
      </c>
      <c r="AA124" s="1" t="str">
        <f t="shared" si="740"/>
        <v>False</v>
      </c>
      <c r="AC124" s="4">
        <f t="shared" ref="AC124:AH124" si="747">IF(ISNUMBER(SEARCH(AC$1,$AB124)), 1, 0)</f>
        <v>0</v>
      </c>
      <c r="AD124" s="4">
        <f t="shared" si="747"/>
        <v>0</v>
      </c>
      <c r="AE124" s="4">
        <f t="shared" si="747"/>
        <v>0</v>
      </c>
      <c r="AF124" s="4">
        <f t="shared" si="747"/>
        <v>0</v>
      </c>
      <c r="AG124" s="4">
        <f t="shared" si="747"/>
        <v>0</v>
      </c>
      <c r="AH124" s="4">
        <f t="shared" si="747"/>
        <v>0</v>
      </c>
      <c r="AI124" s="1">
        <f t="shared" si="5"/>
        <v>0</v>
      </c>
      <c r="AL124" s="4">
        <f t="shared" ref="AL124:AS124" si="748">IF(ISNUMBER(SEARCH(AL$1,$AK124)), 1, 0)</f>
        <v>0</v>
      </c>
      <c r="AM124" s="4">
        <f t="shared" si="748"/>
        <v>0</v>
      </c>
      <c r="AN124" s="4">
        <f t="shared" si="748"/>
        <v>0</v>
      </c>
      <c r="AO124" s="4">
        <f t="shared" si="748"/>
        <v>0</v>
      </c>
      <c r="AP124" s="4">
        <f t="shared" si="748"/>
        <v>0</v>
      </c>
      <c r="AQ124" s="4">
        <f t="shared" si="748"/>
        <v>0</v>
      </c>
      <c r="AR124" s="4">
        <f t="shared" si="748"/>
        <v>0</v>
      </c>
      <c r="AS124" s="4">
        <f t="shared" si="748"/>
        <v>0</v>
      </c>
      <c r="AV124" s="1">
        <f t="shared" si="7"/>
        <v>0</v>
      </c>
      <c r="AW124" s="1">
        <f t="shared" si="8"/>
        <v>0</v>
      </c>
      <c r="AX124" s="1">
        <f t="shared" si="9"/>
        <v>0</v>
      </c>
      <c r="BB124" s="4">
        <f t="shared" ref="BB124:BJ124" si="749">IF(ISNUMBER(SEARCH(BB$1,$BA124)), 1, 0)</f>
        <v>0</v>
      </c>
      <c r="BC124" s="4">
        <f t="shared" si="749"/>
        <v>0</v>
      </c>
      <c r="BD124" s="4">
        <f t="shared" si="749"/>
        <v>0</v>
      </c>
      <c r="BE124" s="4">
        <f t="shared" si="749"/>
        <v>0</v>
      </c>
      <c r="BF124" s="4">
        <f t="shared" si="749"/>
        <v>0</v>
      </c>
      <c r="BG124" s="4">
        <f t="shared" si="749"/>
        <v>0</v>
      </c>
      <c r="BH124" s="4">
        <f t="shared" si="749"/>
        <v>0</v>
      </c>
      <c r="BI124" s="4">
        <f t="shared" si="749"/>
        <v>0</v>
      </c>
      <c r="BJ124" s="4">
        <f t="shared" si="749"/>
        <v>0</v>
      </c>
      <c r="BK124" s="4">
        <f t="shared" si="11"/>
        <v>0</v>
      </c>
      <c r="BO124" s="4">
        <f t="shared" ref="BO124:BU124" si="750">IF(ISNUMBER(SEARCH(BO$1,$BN124)), 1, 0)</f>
        <v>0</v>
      </c>
      <c r="BP124" s="4">
        <f t="shared" si="750"/>
        <v>0</v>
      </c>
      <c r="BQ124" s="4">
        <f t="shared" si="750"/>
        <v>0</v>
      </c>
      <c r="BR124" s="4">
        <f t="shared" si="750"/>
        <v>0</v>
      </c>
      <c r="BS124" s="4">
        <f t="shared" si="750"/>
        <v>0</v>
      </c>
      <c r="BT124" s="4">
        <f t="shared" si="750"/>
        <v>0</v>
      </c>
      <c r="BU124" s="4">
        <f t="shared" si="750"/>
        <v>0</v>
      </c>
    </row>
    <row r="125" spans="1:107" ht="15.75" customHeight="1" x14ac:dyDescent="0.25">
      <c r="A125" s="1" t="b">
        <v>1</v>
      </c>
      <c r="B125" s="3">
        <v>46169.784131944441</v>
      </c>
      <c r="C125" s="1" t="s">
        <v>752</v>
      </c>
      <c r="D125" s="1" t="s">
        <v>4</v>
      </c>
      <c r="E125" s="4">
        <f t="shared" ref="E125:K125" si="751">IF(ISNUMBER(SEARCH(E$1,$D125)), SEARCH(E$1,$D125), 0)</f>
        <v>1</v>
      </c>
      <c r="F125" s="4">
        <f t="shared" si="751"/>
        <v>0</v>
      </c>
      <c r="G125" s="4">
        <f t="shared" si="751"/>
        <v>0</v>
      </c>
      <c r="H125" s="4">
        <f t="shared" si="751"/>
        <v>0</v>
      </c>
      <c r="I125" s="4">
        <f t="shared" si="751"/>
        <v>0</v>
      </c>
      <c r="J125" s="4">
        <f t="shared" si="751"/>
        <v>0</v>
      </c>
      <c r="K125" s="4">
        <f t="shared" si="751"/>
        <v>0</v>
      </c>
      <c r="L125" s="4">
        <f t="shared" si="1"/>
        <v>1</v>
      </c>
      <c r="N125" s="1" t="s">
        <v>328</v>
      </c>
      <c r="O125" s="4">
        <f t="shared" ref="O125:T125" si="752">IF(ISNUMBER(SEARCH(O$1,$N125)), 1, 0)</f>
        <v>1</v>
      </c>
      <c r="P125" s="4">
        <f t="shared" si="752"/>
        <v>1</v>
      </c>
      <c r="Q125" s="4">
        <f t="shared" si="752"/>
        <v>1</v>
      </c>
      <c r="R125" s="4">
        <f t="shared" si="752"/>
        <v>0</v>
      </c>
      <c r="S125" s="4">
        <f t="shared" si="752"/>
        <v>0</v>
      </c>
      <c r="T125" s="4">
        <f t="shared" si="752"/>
        <v>0</v>
      </c>
      <c r="W125" s="1" t="str">
        <f t="shared" si="740"/>
        <v>False</v>
      </c>
      <c r="X125" s="1" t="str">
        <f t="shared" si="740"/>
        <v>False</v>
      </c>
      <c r="Y125" s="1" t="str">
        <f t="shared" si="740"/>
        <v>False</v>
      </c>
      <c r="Z125" s="1" t="str">
        <f t="shared" si="740"/>
        <v>False</v>
      </c>
      <c r="AA125" s="1" t="str">
        <f t="shared" si="740"/>
        <v>False</v>
      </c>
      <c r="AB125" s="1" t="s">
        <v>28</v>
      </c>
      <c r="AC125" s="4">
        <f t="shared" ref="AC125:AH125" si="753">IF(ISNUMBER(SEARCH(AC$1,$AB125)), 1, 0)</f>
        <v>1</v>
      </c>
      <c r="AD125" s="4">
        <f t="shared" si="753"/>
        <v>0</v>
      </c>
      <c r="AE125" s="4">
        <f t="shared" si="753"/>
        <v>0</v>
      </c>
      <c r="AF125" s="4">
        <f t="shared" si="753"/>
        <v>0</v>
      </c>
      <c r="AG125" s="4">
        <f t="shared" si="753"/>
        <v>0</v>
      </c>
      <c r="AH125" s="4">
        <f t="shared" si="753"/>
        <v>0</v>
      </c>
      <c r="AI125" s="1">
        <f t="shared" si="5"/>
        <v>1</v>
      </c>
      <c r="AK125" s="1" t="s">
        <v>38</v>
      </c>
      <c r="AL125" s="4">
        <f t="shared" ref="AL125:AS125" si="754">IF(ISNUMBER(SEARCH(AL$1,$AK125)), 1, 0)</f>
        <v>0</v>
      </c>
      <c r="AM125" s="4">
        <f t="shared" si="754"/>
        <v>1</v>
      </c>
      <c r="AN125" s="4">
        <f t="shared" si="754"/>
        <v>0</v>
      </c>
      <c r="AO125" s="4">
        <f t="shared" si="754"/>
        <v>0</v>
      </c>
      <c r="AP125" s="4">
        <f t="shared" si="754"/>
        <v>0</v>
      </c>
      <c r="AQ125" s="4">
        <f t="shared" si="754"/>
        <v>0</v>
      </c>
      <c r="AR125" s="4">
        <f t="shared" si="754"/>
        <v>0</v>
      </c>
      <c r="AS125" s="4">
        <f t="shared" si="754"/>
        <v>0</v>
      </c>
      <c r="AU125" s="1" t="s">
        <v>49</v>
      </c>
      <c r="AV125" s="1">
        <f t="shared" si="7"/>
        <v>0</v>
      </c>
      <c r="AW125" s="1">
        <f t="shared" si="8"/>
        <v>0</v>
      </c>
      <c r="AX125" s="1">
        <f t="shared" si="9"/>
        <v>1</v>
      </c>
      <c r="AY125" s="1" t="s">
        <v>48</v>
      </c>
      <c r="BA125" s="1" t="s">
        <v>61</v>
      </c>
      <c r="BB125" s="4">
        <f t="shared" ref="BB125:BJ125" si="755">IF(ISNUMBER(SEARCH(BB$1,$BA125)), 1, 0)</f>
        <v>0</v>
      </c>
      <c r="BC125" s="4">
        <f t="shared" si="755"/>
        <v>0</v>
      </c>
      <c r="BD125" s="4">
        <f t="shared" si="755"/>
        <v>0</v>
      </c>
      <c r="BE125" s="4">
        <f t="shared" si="755"/>
        <v>0</v>
      </c>
      <c r="BF125" s="4">
        <f t="shared" si="755"/>
        <v>0</v>
      </c>
      <c r="BG125" s="4">
        <f t="shared" si="755"/>
        <v>0</v>
      </c>
      <c r="BH125" s="4">
        <f t="shared" si="755"/>
        <v>0</v>
      </c>
      <c r="BI125" s="4">
        <f t="shared" si="755"/>
        <v>0</v>
      </c>
      <c r="BJ125" s="4">
        <f t="shared" si="755"/>
        <v>1</v>
      </c>
      <c r="BK125" s="4">
        <f t="shared" si="11"/>
        <v>1</v>
      </c>
      <c r="BM125" s="1" t="s">
        <v>232</v>
      </c>
      <c r="BN125" s="1" t="s">
        <v>475</v>
      </c>
      <c r="BO125" s="4">
        <f t="shared" ref="BO125:BU125" si="756">IF(ISNUMBER(SEARCH(BO$1,$BN125)), 1, 0)</f>
        <v>0</v>
      </c>
      <c r="BP125" s="4">
        <f t="shared" si="756"/>
        <v>0</v>
      </c>
      <c r="BQ125" s="4">
        <f t="shared" si="756"/>
        <v>0</v>
      </c>
      <c r="BR125" s="4">
        <f t="shared" si="756"/>
        <v>1</v>
      </c>
      <c r="BS125" s="4">
        <f t="shared" si="756"/>
        <v>1</v>
      </c>
      <c r="BT125" s="4">
        <f t="shared" si="756"/>
        <v>1</v>
      </c>
      <c r="BU125" s="4">
        <f t="shared" si="756"/>
        <v>1</v>
      </c>
      <c r="DC125" s="1" t="s">
        <v>180</v>
      </c>
    </row>
    <row r="126" spans="1:107" ht="15.75" customHeight="1" x14ac:dyDescent="0.25">
      <c r="A126" s="1" t="b">
        <v>1</v>
      </c>
      <c r="B126" s="3">
        <v>46170.076666666668</v>
      </c>
      <c r="C126" s="1" t="s">
        <v>753</v>
      </c>
      <c r="D126" s="1" t="s">
        <v>4</v>
      </c>
      <c r="E126" s="4">
        <f t="shared" ref="E126:K126" si="757">IF(ISNUMBER(SEARCH(E$1,$D126)), SEARCH(E$1,$D126), 0)</f>
        <v>1</v>
      </c>
      <c r="F126" s="4">
        <f t="shared" si="757"/>
        <v>0</v>
      </c>
      <c r="G126" s="4">
        <f t="shared" si="757"/>
        <v>0</v>
      </c>
      <c r="H126" s="4">
        <f t="shared" si="757"/>
        <v>0</v>
      </c>
      <c r="I126" s="4">
        <f t="shared" si="757"/>
        <v>0</v>
      </c>
      <c r="J126" s="4">
        <f t="shared" si="757"/>
        <v>0</v>
      </c>
      <c r="K126" s="4">
        <f t="shared" si="757"/>
        <v>0</v>
      </c>
      <c r="L126" s="4">
        <f t="shared" si="1"/>
        <v>1</v>
      </c>
      <c r="N126" s="1" t="s">
        <v>328</v>
      </c>
      <c r="O126" s="4">
        <f t="shared" ref="O126:T126" si="758">IF(ISNUMBER(SEARCH(O$1,$N126)), 1, 0)</f>
        <v>1</v>
      </c>
      <c r="P126" s="4">
        <f t="shared" si="758"/>
        <v>1</v>
      </c>
      <c r="Q126" s="4">
        <f t="shared" si="758"/>
        <v>1</v>
      </c>
      <c r="R126" s="4">
        <f t="shared" si="758"/>
        <v>0</v>
      </c>
      <c r="S126" s="4">
        <f t="shared" si="758"/>
        <v>0</v>
      </c>
      <c r="T126" s="4">
        <f t="shared" si="758"/>
        <v>0</v>
      </c>
      <c r="W126" s="1" t="str">
        <f t="shared" si="740"/>
        <v>False</v>
      </c>
      <c r="X126" s="1" t="str">
        <f t="shared" si="740"/>
        <v>False</v>
      </c>
      <c r="Y126" s="1" t="str">
        <f t="shared" si="740"/>
        <v>False</v>
      </c>
      <c r="Z126" s="1" t="str">
        <f t="shared" si="740"/>
        <v>False</v>
      </c>
      <c r="AA126" s="1" t="str">
        <f t="shared" si="740"/>
        <v>False</v>
      </c>
      <c r="AB126" s="1" t="s">
        <v>357</v>
      </c>
      <c r="AC126" s="4">
        <f t="shared" ref="AC126:AH126" si="759">IF(ISNUMBER(SEARCH(AC$1,$AB126)), 1, 0)</f>
        <v>1</v>
      </c>
      <c r="AD126" s="4">
        <f t="shared" si="759"/>
        <v>0</v>
      </c>
      <c r="AE126" s="4">
        <f t="shared" si="759"/>
        <v>0</v>
      </c>
      <c r="AF126" s="4">
        <f t="shared" si="759"/>
        <v>0</v>
      </c>
      <c r="AG126" s="4">
        <f t="shared" si="759"/>
        <v>0</v>
      </c>
      <c r="AH126" s="4">
        <f t="shared" si="759"/>
        <v>1</v>
      </c>
      <c r="AI126" s="1">
        <f t="shared" si="5"/>
        <v>2</v>
      </c>
      <c r="AK126" s="1" t="s">
        <v>38</v>
      </c>
      <c r="AL126" s="4">
        <f t="shared" ref="AL126:AS126" si="760">IF(ISNUMBER(SEARCH(AL$1,$AK126)), 1, 0)</f>
        <v>0</v>
      </c>
      <c r="AM126" s="4">
        <f t="shared" si="760"/>
        <v>1</v>
      </c>
      <c r="AN126" s="4">
        <f t="shared" si="760"/>
        <v>0</v>
      </c>
      <c r="AO126" s="4">
        <f t="shared" si="760"/>
        <v>0</v>
      </c>
      <c r="AP126" s="4">
        <f t="shared" si="760"/>
        <v>0</v>
      </c>
      <c r="AQ126" s="4">
        <f t="shared" si="760"/>
        <v>0</v>
      </c>
      <c r="AR126" s="4">
        <f t="shared" si="760"/>
        <v>0</v>
      </c>
      <c r="AS126" s="4">
        <f t="shared" si="760"/>
        <v>0</v>
      </c>
      <c r="AU126" s="1" t="s">
        <v>47</v>
      </c>
      <c r="AV126" s="1">
        <f t="shared" si="7"/>
        <v>1</v>
      </c>
      <c r="AW126" s="1">
        <f t="shared" si="8"/>
        <v>0</v>
      </c>
      <c r="AX126" s="1">
        <f t="shared" si="9"/>
        <v>0</v>
      </c>
      <c r="AY126" s="1" t="s">
        <v>48</v>
      </c>
      <c r="BA126" s="1" t="s">
        <v>339</v>
      </c>
      <c r="BB126" s="4">
        <f t="shared" ref="BB126:BJ126" si="761">IF(ISNUMBER(SEARCH(BB$1,$BA126)), 1, 0)</f>
        <v>0</v>
      </c>
      <c r="BC126" s="4">
        <f t="shared" si="761"/>
        <v>1</v>
      </c>
      <c r="BD126" s="4">
        <f t="shared" si="761"/>
        <v>1</v>
      </c>
      <c r="BE126" s="4">
        <f t="shared" si="761"/>
        <v>1</v>
      </c>
      <c r="BF126" s="4">
        <f t="shared" si="761"/>
        <v>0</v>
      </c>
      <c r="BG126" s="4">
        <f t="shared" si="761"/>
        <v>1</v>
      </c>
      <c r="BH126" s="4">
        <f t="shared" si="761"/>
        <v>0</v>
      </c>
      <c r="BI126" s="4">
        <f t="shared" si="761"/>
        <v>0</v>
      </c>
      <c r="BJ126" s="4">
        <f t="shared" si="761"/>
        <v>1</v>
      </c>
      <c r="BK126" s="4">
        <f t="shared" si="11"/>
        <v>5</v>
      </c>
      <c r="BM126" s="1" t="s">
        <v>232</v>
      </c>
      <c r="BN126" s="1" t="s">
        <v>72</v>
      </c>
      <c r="BO126" s="4">
        <f t="shared" ref="BO126:BU126" si="762">IF(ISNUMBER(SEARCH(BO$1,$BN126)), 1, 0)</f>
        <v>0</v>
      </c>
      <c r="BP126" s="4">
        <f t="shared" si="762"/>
        <v>0</v>
      </c>
      <c r="BQ126" s="4">
        <f t="shared" si="762"/>
        <v>0</v>
      </c>
      <c r="BR126" s="4">
        <f t="shared" si="762"/>
        <v>0</v>
      </c>
      <c r="BS126" s="4">
        <f t="shared" si="762"/>
        <v>0</v>
      </c>
      <c r="BT126" s="4">
        <f t="shared" si="762"/>
        <v>0</v>
      </c>
      <c r="BU126" s="4">
        <f t="shared" si="762"/>
        <v>1</v>
      </c>
      <c r="DC126" s="1" t="s">
        <v>238</v>
      </c>
    </row>
    <row r="127" spans="1:107" ht="15.75" customHeight="1" x14ac:dyDescent="0.25">
      <c r="A127" s="1" t="b">
        <v>0</v>
      </c>
      <c r="B127" s="3">
        <v>46170.117094907408</v>
      </c>
      <c r="C127" s="1" t="s">
        <v>754</v>
      </c>
      <c r="D127" s="1" t="s">
        <v>755</v>
      </c>
      <c r="E127" s="4">
        <f t="shared" ref="E127:K127" si="763">IF(ISNUMBER(SEARCH(E$1,$D127)), SEARCH(E$1,$D127), 0)</f>
        <v>0</v>
      </c>
      <c r="F127" s="4">
        <f t="shared" si="763"/>
        <v>0</v>
      </c>
      <c r="G127" s="4">
        <f t="shared" si="763"/>
        <v>1</v>
      </c>
      <c r="H127" s="4">
        <f t="shared" si="763"/>
        <v>0</v>
      </c>
      <c r="I127" s="4">
        <f t="shared" si="763"/>
        <v>57</v>
      </c>
      <c r="J127" s="4">
        <f t="shared" si="763"/>
        <v>0</v>
      </c>
      <c r="K127" s="4">
        <f t="shared" si="763"/>
        <v>89</v>
      </c>
      <c r="L127" s="4">
        <f t="shared" si="1"/>
        <v>89</v>
      </c>
      <c r="N127" s="1" t="s">
        <v>272</v>
      </c>
      <c r="O127" s="4">
        <f t="shared" ref="O127:T127" si="764">IF(ISNUMBER(SEARCH(O$1,$N127)), 1, 0)</f>
        <v>1</v>
      </c>
      <c r="P127" s="4">
        <f t="shared" si="764"/>
        <v>1</v>
      </c>
      <c r="Q127" s="4">
        <f t="shared" si="764"/>
        <v>1</v>
      </c>
      <c r="R127" s="4">
        <f t="shared" si="764"/>
        <v>1</v>
      </c>
      <c r="S127" s="4">
        <f t="shared" si="764"/>
        <v>1</v>
      </c>
      <c r="T127" s="4">
        <f t="shared" si="764"/>
        <v>0</v>
      </c>
      <c r="W127" s="1" t="str">
        <f t="shared" si="740"/>
        <v>False</v>
      </c>
      <c r="X127" s="1" t="str">
        <f t="shared" si="740"/>
        <v>False</v>
      </c>
      <c r="Y127" s="1" t="str">
        <f t="shared" si="740"/>
        <v>False</v>
      </c>
      <c r="Z127" s="1" t="str">
        <f t="shared" si="740"/>
        <v>False</v>
      </c>
      <c r="AA127" s="1" t="str">
        <f t="shared" si="740"/>
        <v>False</v>
      </c>
      <c r="AB127" s="1" t="s">
        <v>31</v>
      </c>
      <c r="AC127" s="4">
        <f t="shared" ref="AC127:AH127" si="765">IF(ISNUMBER(SEARCH(AC$1,$AB127)), 1, 0)</f>
        <v>0</v>
      </c>
      <c r="AD127" s="4">
        <f t="shared" si="765"/>
        <v>0</v>
      </c>
      <c r="AE127" s="4">
        <f t="shared" si="765"/>
        <v>0</v>
      </c>
      <c r="AF127" s="4">
        <f t="shared" si="765"/>
        <v>1</v>
      </c>
      <c r="AG127" s="4">
        <f t="shared" si="765"/>
        <v>0</v>
      </c>
      <c r="AH127" s="4">
        <f t="shared" si="765"/>
        <v>0</v>
      </c>
      <c r="AI127" s="1">
        <f t="shared" si="5"/>
        <v>1</v>
      </c>
      <c r="AK127" s="1" t="s">
        <v>410</v>
      </c>
      <c r="AL127" s="4">
        <f t="shared" ref="AL127:AS127" si="766">IF(ISNUMBER(SEARCH(AL$1,$AK127)), 1, 0)</f>
        <v>1</v>
      </c>
      <c r="AM127" s="4">
        <f t="shared" si="766"/>
        <v>0</v>
      </c>
      <c r="AN127" s="4">
        <f t="shared" si="766"/>
        <v>1</v>
      </c>
      <c r="AO127" s="4">
        <f t="shared" si="766"/>
        <v>1</v>
      </c>
      <c r="AP127" s="4">
        <f t="shared" si="766"/>
        <v>0</v>
      </c>
      <c r="AQ127" s="4">
        <f t="shared" si="766"/>
        <v>0</v>
      </c>
      <c r="AR127" s="4">
        <f t="shared" si="766"/>
        <v>0</v>
      </c>
      <c r="AS127" s="4">
        <f t="shared" si="766"/>
        <v>0</v>
      </c>
      <c r="AU127" s="1" t="s">
        <v>47</v>
      </c>
      <c r="AV127" s="1">
        <f t="shared" si="7"/>
        <v>1</v>
      </c>
      <c r="AW127" s="1">
        <f t="shared" si="8"/>
        <v>0</v>
      </c>
      <c r="AX127" s="1">
        <f t="shared" si="9"/>
        <v>0</v>
      </c>
      <c r="AY127" s="1" t="s">
        <v>48</v>
      </c>
      <c r="BA127" s="1" t="s">
        <v>247</v>
      </c>
      <c r="BB127" s="4">
        <f t="shared" ref="BB127:BJ127" si="767">IF(ISNUMBER(SEARCH(BB$1,$BA127)), 1, 0)</f>
        <v>1</v>
      </c>
      <c r="BC127" s="4">
        <f t="shared" si="767"/>
        <v>1</v>
      </c>
      <c r="BD127" s="4">
        <f t="shared" si="767"/>
        <v>1</v>
      </c>
      <c r="BE127" s="4">
        <f t="shared" si="767"/>
        <v>1</v>
      </c>
      <c r="BF127" s="4">
        <f t="shared" si="767"/>
        <v>1</v>
      </c>
      <c r="BG127" s="4">
        <f t="shared" si="767"/>
        <v>0</v>
      </c>
      <c r="BH127" s="4">
        <f t="shared" si="767"/>
        <v>1</v>
      </c>
      <c r="BI127" s="4">
        <f t="shared" si="767"/>
        <v>0</v>
      </c>
      <c r="BJ127" s="4">
        <f t="shared" si="767"/>
        <v>1</v>
      </c>
      <c r="BK127" s="4">
        <f t="shared" si="11"/>
        <v>7</v>
      </c>
      <c r="BM127" s="1" t="s">
        <v>166</v>
      </c>
      <c r="BN127" s="1" t="s">
        <v>756</v>
      </c>
      <c r="BO127" s="4">
        <f t="shared" ref="BO127:BU127" si="768">IF(ISNUMBER(SEARCH(BO$1,$BN127)), 1, 0)</f>
        <v>1</v>
      </c>
      <c r="BP127" s="4">
        <f t="shared" si="768"/>
        <v>0</v>
      </c>
      <c r="BQ127" s="4">
        <f t="shared" si="768"/>
        <v>1</v>
      </c>
      <c r="BR127" s="4">
        <f t="shared" si="768"/>
        <v>0</v>
      </c>
      <c r="BS127" s="4">
        <f t="shared" si="768"/>
        <v>0</v>
      </c>
      <c r="BT127" s="4">
        <f t="shared" si="768"/>
        <v>1</v>
      </c>
      <c r="BU127" s="4">
        <f t="shared" si="768"/>
        <v>1</v>
      </c>
    </row>
    <row r="128" spans="1:107" ht="15.75" customHeight="1" x14ac:dyDescent="0.25">
      <c r="A128" s="1" t="b">
        <v>0</v>
      </c>
      <c r="B128" s="3">
        <v>46170.276365740741</v>
      </c>
      <c r="C128" s="1" t="s">
        <v>757</v>
      </c>
      <c r="D128" s="1" t="s">
        <v>338</v>
      </c>
      <c r="E128" s="4">
        <f t="shared" ref="E128:K128" si="769">IF(ISNUMBER(SEARCH(E$1,$D128)), SEARCH(E$1,$D128), 0)</f>
        <v>1</v>
      </c>
      <c r="F128" s="4">
        <f t="shared" si="769"/>
        <v>0</v>
      </c>
      <c r="G128" s="4">
        <f t="shared" si="769"/>
        <v>0</v>
      </c>
      <c r="H128" s="4">
        <f t="shared" si="769"/>
        <v>0</v>
      </c>
      <c r="I128" s="4">
        <f t="shared" si="769"/>
        <v>30</v>
      </c>
      <c r="J128" s="4">
        <f t="shared" si="769"/>
        <v>0</v>
      </c>
      <c r="K128" s="4">
        <f t="shared" si="769"/>
        <v>0</v>
      </c>
      <c r="L128" s="4">
        <f t="shared" si="1"/>
        <v>30</v>
      </c>
      <c r="N128" s="1" t="s">
        <v>244</v>
      </c>
      <c r="O128" s="4">
        <f t="shared" ref="O128:T128" si="770">IF(ISNUMBER(SEARCH(O$1,$N128)), 1, 0)</f>
        <v>1</v>
      </c>
      <c r="P128" s="4">
        <f t="shared" si="770"/>
        <v>0</v>
      </c>
      <c r="Q128" s="4">
        <f t="shared" si="770"/>
        <v>1</v>
      </c>
      <c r="R128" s="4">
        <f t="shared" si="770"/>
        <v>1</v>
      </c>
      <c r="S128" s="4">
        <f t="shared" si="770"/>
        <v>0</v>
      </c>
      <c r="T128" s="4">
        <f t="shared" si="770"/>
        <v>0</v>
      </c>
      <c r="W128" s="1" t="str">
        <f t="shared" si="740"/>
        <v>False</v>
      </c>
      <c r="X128" s="1" t="str">
        <f t="shared" si="740"/>
        <v>False</v>
      </c>
      <c r="Y128" s="1" t="str">
        <f t="shared" si="740"/>
        <v>False</v>
      </c>
      <c r="Z128" s="1" t="str">
        <f t="shared" si="740"/>
        <v>False</v>
      </c>
      <c r="AA128" s="1" t="str">
        <f t="shared" si="740"/>
        <v>False</v>
      </c>
      <c r="AC128" s="4">
        <f t="shared" ref="AC128:AH128" si="771">IF(ISNUMBER(SEARCH(AC$1,$AB128)), 1, 0)</f>
        <v>0</v>
      </c>
      <c r="AD128" s="4">
        <f t="shared" si="771"/>
        <v>0</v>
      </c>
      <c r="AE128" s="4">
        <f t="shared" si="771"/>
        <v>0</v>
      </c>
      <c r="AF128" s="4">
        <f t="shared" si="771"/>
        <v>0</v>
      </c>
      <c r="AG128" s="4">
        <f t="shared" si="771"/>
        <v>0</v>
      </c>
      <c r="AH128" s="4">
        <f t="shared" si="771"/>
        <v>0</v>
      </c>
      <c r="AI128" s="1">
        <f t="shared" si="5"/>
        <v>0</v>
      </c>
      <c r="AL128" s="4">
        <f t="shared" ref="AL128:AS128" si="772">IF(ISNUMBER(SEARCH(AL$1,$AK128)), 1, 0)</f>
        <v>0</v>
      </c>
      <c r="AM128" s="4">
        <f t="shared" si="772"/>
        <v>0</v>
      </c>
      <c r="AN128" s="4">
        <f t="shared" si="772"/>
        <v>0</v>
      </c>
      <c r="AO128" s="4">
        <f t="shared" si="772"/>
        <v>0</v>
      </c>
      <c r="AP128" s="4">
        <f t="shared" si="772"/>
        <v>0</v>
      </c>
      <c r="AQ128" s="4">
        <f t="shared" si="772"/>
        <v>0</v>
      </c>
      <c r="AR128" s="4">
        <f t="shared" si="772"/>
        <v>0</v>
      </c>
      <c r="AS128" s="4">
        <f t="shared" si="772"/>
        <v>0</v>
      </c>
      <c r="AV128" s="1">
        <f t="shared" si="7"/>
        <v>0</v>
      </c>
      <c r="AW128" s="1">
        <f t="shared" si="8"/>
        <v>0</v>
      </c>
      <c r="AX128" s="1">
        <f t="shared" si="9"/>
        <v>0</v>
      </c>
      <c r="BB128" s="4">
        <f t="shared" ref="BB128:BJ128" si="773">IF(ISNUMBER(SEARCH(BB$1,$BA128)), 1, 0)</f>
        <v>0</v>
      </c>
      <c r="BC128" s="4">
        <f t="shared" si="773"/>
        <v>0</v>
      </c>
      <c r="BD128" s="4">
        <f t="shared" si="773"/>
        <v>0</v>
      </c>
      <c r="BE128" s="4">
        <f t="shared" si="773"/>
        <v>0</v>
      </c>
      <c r="BF128" s="4">
        <f t="shared" si="773"/>
        <v>0</v>
      </c>
      <c r="BG128" s="4">
        <f t="shared" si="773"/>
        <v>0</v>
      </c>
      <c r="BH128" s="4">
        <f t="shared" si="773"/>
        <v>0</v>
      </c>
      <c r="BI128" s="4">
        <f t="shared" si="773"/>
        <v>0</v>
      </c>
      <c r="BJ128" s="4">
        <f t="shared" si="773"/>
        <v>0</v>
      </c>
      <c r="BK128" s="4">
        <f t="shared" si="11"/>
        <v>0</v>
      </c>
      <c r="BO128" s="4">
        <f t="shared" ref="BO128:BU128" si="774">IF(ISNUMBER(SEARCH(BO$1,$BN128)), 1, 0)</f>
        <v>0</v>
      </c>
      <c r="BP128" s="4">
        <f t="shared" si="774"/>
        <v>0</v>
      </c>
      <c r="BQ128" s="4">
        <f t="shared" si="774"/>
        <v>0</v>
      </c>
      <c r="BR128" s="4">
        <f t="shared" si="774"/>
        <v>0</v>
      </c>
      <c r="BS128" s="4">
        <f t="shared" si="774"/>
        <v>0</v>
      </c>
      <c r="BT128" s="4">
        <f t="shared" si="774"/>
        <v>0</v>
      </c>
      <c r="BU128" s="4">
        <f t="shared" si="774"/>
        <v>0</v>
      </c>
    </row>
    <row r="129" spans="1:107" ht="15.75" customHeight="1" x14ac:dyDescent="0.25">
      <c r="A129" s="1" t="b">
        <v>1</v>
      </c>
      <c r="B129" s="3">
        <v>46170.460798611108</v>
      </c>
      <c r="C129" s="1" t="s">
        <v>758</v>
      </c>
      <c r="D129" s="1" t="s">
        <v>4</v>
      </c>
      <c r="E129" s="4">
        <f t="shared" ref="E129:K129" si="775">IF(ISNUMBER(SEARCH(E$1,$D129)), SEARCH(E$1,$D129), 0)</f>
        <v>1</v>
      </c>
      <c r="F129" s="4">
        <f t="shared" si="775"/>
        <v>0</v>
      </c>
      <c r="G129" s="4">
        <f t="shared" si="775"/>
        <v>0</v>
      </c>
      <c r="H129" s="4">
        <f t="shared" si="775"/>
        <v>0</v>
      </c>
      <c r="I129" s="4">
        <f t="shared" si="775"/>
        <v>0</v>
      </c>
      <c r="J129" s="4">
        <f t="shared" si="775"/>
        <v>0</v>
      </c>
      <c r="K129" s="4">
        <f t="shared" si="775"/>
        <v>0</v>
      </c>
      <c r="L129" s="4">
        <f t="shared" si="1"/>
        <v>1</v>
      </c>
      <c r="N129" s="1" t="s">
        <v>328</v>
      </c>
      <c r="O129" s="4">
        <f t="shared" ref="O129:T129" si="776">IF(ISNUMBER(SEARCH(O$1,$N129)), 1, 0)</f>
        <v>1</v>
      </c>
      <c r="P129" s="4">
        <f t="shared" si="776"/>
        <v>1</v>
      </c>
      <c r="Q129" s="4">
        <f t="shared" si="776"/>
        <v>1</v>
      </c>
      <c r="R129" s="4">
        <f t="shared" si="776"/>
        <v>0</v>
      </c>
      <c r="S129" s="4">
        <f t="shared" si="776"/>
        <v>0</v>
      </c>
      <c r="T129" s="4">
        <f t="shared" si="776"/>
        <v>0</v>
      </c>
      <c r="V129" s="1" t="s">
        <v>23</v>
      </c>
      <c r="W129" s="1" t="str">
        <f t="shared" si="740"/>
        <v>False</v>
      </c>
      <c r="X129" s="1" t="str">
        <f t="shared" si="740"/>
        <v>True</v>
      </c>
      <c r="Y129" s="1" t="str">
        <f t="shared" si="740"/>
        <v>False</v>
      </c>
      <c r="Z129" s="1" t="str">
        <f t="shared" si="740"/>
        <v>False</v>
      </c>
      <c r="AA129" s="1" t="str">
        <f t="shared" si="740"/>
        <v>False</v>
      </c>
      <c r="AB129" s="1" t="s">
        <v>183</v>
      </c>
      <c r="AC129" s="4">
        <f t="shared" ref="AC129:AH129" si="777">IF(ISNUMBER(SEARCH(AC$1,$AB129)), 1, 0)</f>
        <v>0</v>
      </c>
      <c r="AD129" s="4">
        <f t="shared" si="777"/>
        <v>0</v>
      </c>
      <c r="AE129" s="4">
        <f t="shared" si="777"/>
        <v>0</v>
      </c>
      <c r="AF129" s="4">
        <f t="shared" si="777"/>
        <v>0</v>
      </c>
      <c r="AG129" s="4">
        <f t="shared" si="777"/>
        <v>0</v>
      </c>
      <c r="AH129" s="4">
        <f t="shared" si="777"/>
        <v>0</v>
      </c>
      <c r="AI129" s="1">
        <f t="shared" si="5"/>
        <v>0</v>
      </c>
      <c r="AJ129" s="1" t="s">
        <v>759</v>
      </c>
      <c r="AK129" s="1" t="s">
        <v>760</v>
      </c>
      <c r="AL129" s="4">
        <f t="shared" ref="AL129:AS129" si="778">IF(ISNUMBER(SEARCH(AL$1,$AK129)), 1, 0)</f>
        <v>0</v>
      </c>
      <c r="AM129" s="4">
        <f t="shared" si="778"/>
        <v>1</v>
      </c>
      <c r="AN129" s="4">
        <f t="shared" si="778"/>
        <v>0</v>
      </c>
      <c r="AO129" s="4">
        <f t="shared" si="778"/>
        <v>0</v>
      </c>
      <c r="AP129" s="4">
        <f t="shared" si="778"/>
        <v>1</v>
      </c>
      <c r="AQ129" s="4">
        <f t="shared" si="778"/>
        <v>0</v>
      </c>
      <c r="AR129" s="4">
        <f t="shared" si="778"/>
        <v>0</v>
      </c>
      <c r="AS129" s="4">
        <f t="shared" si="778"/>
        <v>1</v>
      </c>
      <c r="AU129" s="1" t="s">
        <v>47</v>
      </c>
      <c r="AV129" s="1">
        <f t="shared" si="7"/>
        <v>1</v>
      </c>
      <c r="AW129" s="1">
        <f t="shared" si="8"/>
        <v>0</v>
      </c>
      <c r="AX129" s="1">
        <f t="shared" si="9"/>
        <v>0</v>
      </c>
      <c r="AY129" s="1" t="s">
        <v>47</v>
      </c>
      <c r="AZ129" s="1" t="s">
        <v>48</v>
      </c>
      <c r="BA129" s="1" t="s">
        <v>419</v>
      </c>
      <c r="BB129" s="4">
        <f t="shared" ref="BB129:BJ129" si="779">IF(ISNUMBER(SEARCH(BB$1,$BA129)), 1, 0)</f>
        <v>0</v>
      </c>
      <c r="BC129" s="4">
        <f t="shared" si="779"/>
        <v>1</v>
      </c>
      <c r="BD129" s="4">
        <f t="shared" si="779"/>
        <v>0</v>
      </c>
      <c r="BE129" s="4">
        <f t="shared" si="779"/>
        <v>1</v>
      </c>
      <c r="BF129" s="4">
        <f t="shared" si="779"/>
        <v>0</v>
      </c>
      <c r="BG129" s="4">
        <f t="shared" si="779"/>
        <v>1</v>
      </c>
      <c r="BH129" s="4">
        <f t="shared" si="779"/>
        <v>0</v>
      </c>
      <c r="BI129" s="4">
        <f t="shared" si="779"/>
        <v>0</v>
      </c>
      <c r="BJ129" s="4">
        <f t="shared" si="779"/>
        <v>1</v>
      </c>
      <c r="BK129" s="4">
        <f t="shared" si="11"/>
        <v>4</v>
      </c>
      <c r="BO129" s="4">
        <f t="shared" ref="BO129:BU129" si="780">IF(ISNUMBER(SEARCH(BO$1,$BN129)), 1, 0)</f>
        <v>0</v>
      </c>
      <c r="BP129" s="4">
        <f t="shared" si="780"/>
        <v>0</v>
      </c>
      <c r="BQ129" s="4">
        <f t="shared" si="780"/>
        <v>0</v>
      </c>
      <c r="BR129" s="4">
        <f t="shared" si="780"/>
        <v>0</v>
      </c>
      <c r="BS129" s="4">
        <f t="shared" si="780"/>
        <v>0</v>
      </c>
      <c r="BT129" s="4">
        <f t="shared" si="780"/>
        <v>0</v>
      </c>
      <c r="BU129" s="4">
        <f t="shared" si="780"/>
        <v>0</v>
      </c>
      <c r="DC129" s="1" t="s">
        <v>180</v>
      </c>
    </row>
    <row r="130" spans="1:107" ht="15.75" customHeight="1" x14ac:dyDescent="0.25">
      <c r="A130" s="1" t="b">
        <v>1</v>
      </c>
      <c r="B130" s="3">
        <v>46170.468182870369</v>
      </c>
      <c r="C130" s="1" t="s">
        <v>761</v>
      </c>
      <c r="D130" s="1" t="s">
        <v>4</v>
      </c>
      <c r="E130" s="4">
        <f t="shared" ref="E130:K130" si="781">IF(ISNUMBER(SEARCH(E$1,$D130)), SEARCH(E$1,$D130), 0)</f>
        <v>1</v>
      </c>
      <c r="F130" s="4">
        <f t="shared" si="781"/>
        <v>0</v>
      </c>
      <c r="G130" s="4">
        <f t="shared" si="781"/>
        <v>0</v>
      </c>
      <c r="H130" s="4">
        <f t="shared" si="781"/>
        <v>0</v>
      </c>
      <c r="I130" s="4">
        <f t="shared" si="781"/>
        <v>0</v>
      </c>
      <c r="J130" s="4">
        <f t="shared" si="781"/>
        <v>0</v>
      </c>
      <c r="K130" s="4">
        <f t="shared" si="781"/>
        <v>0</v>
      </c>
      <c r="L130" s="4">
        <f t="shared" si="1"/>
        <v>1</v>
      </c>
      <c r="N130" s="1" t="s">
        <v>187</v>
      </c>
      <c r="O130" s="4">
        <f t="shared" ref="O130:T130" si="782">IF(ISNUMBER(SEARCH(O$1,$N130)), 1, 0)</f>
        <v>1</v>
      </c>
      <c r="P130" s="4">
        <f t="shared" si="782"/>
        <v>1</v>
      </c>
      <c r="Q130" s="4">
        <f t="shared" si="782"/>
        <v>1</v>
      </c>
      <c r="R130" s="4">
        <f t="shared" si="782"/>
        <v>1</v>
      </c>
      <c r="S130" s="4">
        <f t="shared" si="782"/>
        <v>1</v>
      </c>
      <c r="T130" s="4">
        <f t="shared" si="782"/>
        <v>1</v>
      </c>
      <c r="V130" s="1" t="s">
        <v>22</v>
      </c>
      <c r="W130" s="1" t="str">
        <f t="shared" si="740"/>
        <v>True</v>
      </c>
      <c r="X130" s="1" t="str">
        <f t="shared" si="740"/>
        <v>False</v>
      </c>
      <c r="Y130" s="1" t="str">
        <f t="shared" si="740"/>
        <v>False</v>
      </c>
      <c r="Z130" s="1" t="str">
        <f t="shared" si="740"/>
        <v>False</v>
      </c>
      <c r="AA130" s="1" t="str">
        <f t="shared" si="740"/>
        <v>False</v>
      </c>
      <c r="AC130" s="4">
        <f t="shared" ref="AC130:AH130" si="783">IF(ISNUMBER(SEARCH(AC$1,$AB130)), 1, 0)</f>
        <v>0</v>
      </c>
      <c r="AD130" s="4">
        <f t="shared" si="783"/>
        <v>0</v>
      </c>
      <c r="AE130" s="4">
        <f t="shared" si="783"/>
        <v>0</v>
      </c>
      <c r="AF130" s="4">
        <f t="shared" si="783"/>
        <v>0</v>
      </c>
      <c r="AG130" s="4">
        <f t="shared" si="783"/>
        <v>0</v>
      </c>
      <c r="AH130" s="4">
        <f t="shared" si="783"/>
        <v>0</v>
      </c>
      <c r="AI130" s="1">
        <f t="shared" si="5"/>
        <v>0</v>
      </c>
      <c r="AK130" s="1" t="s">
        <v>365</v>
      </c>
      <c r="AL130" s="4">
        <f t="shared" ref="AL130:AS130" si="784">IF(ISNUMBER(SEARCH(AL$1,$AK130)), 1, 0)</f>
        <v>1</v>
      </c>
      <c r="AM130" s="4">
        <f t="shared" si="784"/>
        <v>1</v>
      </c>
      <c r="AN130" s="4">
        <f t="shared" si="784"/>
        <v>1</v>
      </c>
      <c r="AO130" s="4">
        <f t="shared" si="784"/>
        <v>1</v>
      </c>
      <c r="AP130" s="4">
        <f t="shared" si="784"/>
        <v>1</v>
      </c>
      <c r="AQ130" s="4">
        <f t="shared" si="784"/>
        <v>1</v>
      </c>
      <c r="AR130" s="4">
        <f t="shared" si="784"/>
        <v>1</v>
      </c>
      <c r="AS130" s="4">
        <f t="shared" si="784"/>
        <v>1</v>
      </c>
      <c r="AU130" s="1" t="s">
        <v>47</v>
      </c>
      <c r="AV130" s="1">
        <f t="shared" si="7"/>
        <v>1</v>
      </c>
      <c r="AW130" s="1">
        <f t="shared" si="8"/>
        <v>0</v>
      </c>
      <c r="AX130" s="1">
        <f t="shared" si="9"/>
        <v>0</v>
      </c>
      <c r="AY130" s="1" t="s">
        <v>48</v>
      </c>
      <c r="BA130" s="1" t="s">
        <v>762</v>
      </c>
      <c r="BB130" s="4">
        <f t="shared" ref="BB130:BJ130" si="785">IF(ISNUMBER(SEARCH(BB$1,$BA130)), 1, 0)</f>
        <v>0</v>
      </c>
      <c r="BC130" s="4">
        <f t="shared" si="785"/>
        <v>0</v>
      </c>
      <c r="BD130" s="4">
        <f t="shared" si="785"/>
        <v>1</v>
      </c>
      <c r="BE130" s="4">
        <f t="shared" si="785"/>
        <v>1</v>
      </c>
      <c r="BF130" s="4">
        <f t="shared" si="785"/>
        <v>1</v>
      </c>
      <c r="BG130" s="4">
        <f t="shared" si="785"/>
        <v>1</v>
      </c>
      <c r="BH130" s="4">
        <f t="shared" si="785"/>
        <v>0</v>
      </c>
      <c r="BI130" s="4">
        <f t="shared" si="785"/>
        <v>0</v>
      </c>
      <c r="BJ130" s="4">
        <f t="shared" si="785"/>
        <v>0</v>
      </c>
      <c r="BK130" s="4">
        <f t="shared" si="11"/>
        <v>4</v>
      </c>
      <c r="BM130" s="1" t="s">
        <v>232</v>
      </c>
      <c r="BN130" s="1" t="s">
        <v>404</v>
      </c>
      <c r="BO130" s="4">
        <f t="shared" ref="BO130:BU130" si="786">IF(ISNUMBER(SEARCH(BO$1,$BN130)), 1, 0)</f>
        <v>0</v>
      </c>
      <c r="BP130" s="4">
        <f t="shared" si="786"/>
        <v>0</v>
      </c>
      <c r="BQ130" s="4">
        <f t="shared" si="786"/>
        <v>0</v>
      </c>
      <c r="BR130" s="4">
        <f t="shared" si="786"/>
        <v>0</v>
      </c>
      <c r="BS130" s="4">
        <f t="shared" si="786"/>
        <v>0</v>
      </c>
      <c r="BT130" s="4">
        <f t="shared" si="786"/>
        <v>0</v>
      </c>
      <c r="BU130" s="4">
        <f t="shared" si="786"/>
        <v>0</v>
      </c>
      <c r="BV130" s="1" t="s">
        <v>763</v>
      </c>
      <c r="DC130" s="1" t="s">
        <v>180</v>
      </c>
    </row>
    <row r="131" spans="1:107" ht="15.75" customHeight="1" x14ac:dyDescent="0.25">
      <c r="A131" s="1" t="b">
        <v>1</v>
      </c>
      <c r="B131" s="3">
        <v>46170.468738425923</v>
      </c>
      <c r="C131" s="1" t="s">
        <v>764</v>
      </c>
      <c r="D131" s="1" t="s">
        <v>183</v>
      </c>
      <c r="E131" s="4">
        <f t="shared" ref="E131:K131" si="787">IF(ISNUMBER(SEARCH(E$1,$D131)), SEARCH(E$1,$D131), 0)</f>
        <v>0</v>
      </c>
      <c r="F131" s="4">
        <f t="shared" si="787"/>
        <v>0</v>
      </c>
      <c r="G131" s="4">
        <f t="shared" si="787"/>
        <v>0</v>
      </c>
      <c r="H131" s="4">
        <f t="shared" si="787"/>
        <v>0</v>
      </c>
      <c r="I131" s="4">
        <f t="shared" si="787"/>
        <v>0</v>
      </c>
      <c r="J131" s="4">
        <f t="shared" si="787"/>
        <v>0</v>
      </c>
      <c r="K131" s="4">
        <f t="shared" si="787"/>
        <v>0</v>
      </c>
      <c r="L131" s="4">
        <f t="shared" si="1"/>
        <v>0</v>
      </c>
      <c r="M131" s="1" t="s">
        <v>765</v>
      </c>
      <c r="N131" s="1" t="s">
        <v>183</v>
      </c>
      <c r="O131" s="4">
        <f t="shared" ref="O131:T131" si="788">IF(ISNUMBER(SEARCH(O$1,$N131)), 1, 0)</f>
        <v>0</v>
      </c>
      <c r="P131" s="4">
        <f t="shared" si="788"/>
        <v>0</v>
      </c>
      <c r="Q131" s="4">
        <f t="shared" si="788"/>
        <v>0</v>
      </c>
      <c r="R131" s="4">
        <f t="shared" si="788"/>
        <v>0</v>
      </c>
      <c r="S131" s="4">
        <f t="shared" si="788"/>
        <v>0</v>
      </c>
      <c r="T131" s="4">
        <f t="shared" si="788"/>
        <v>0</v>
      </c>
      <c r="U131" s="1" t="s">
        <v>765</v>
      </c>
      <c r="W131" s="1" t="str">
        <f t="shared" si="740"/>
        <v>False</v>
      </c>
      <c r="X131" s="1" t="str">
        <f t="shared" si="740"/>
        <v>False</v>
      </c>
      <c r="Y131" s="1" t="str">
        <f t="shared" si="740"/>
        <v>False</v>
      </c>
      <c r="Z131" s="1" t="str">
        <f t="shared" si="740"/>
        <v>False</v>
      </c>
      <c r="AA131" s="1" t="str">
        <f t="shared" si="740"/>
        <v>False</v>
      </c>
      <c r="AB131" s="1" t="s">
        <v>183</v>
      </c>
      <c r="AC131" s="4">
        <f t="shared" ref="AC131:AH131" si="789">IF(ISNUMBER(SEARCH(AC$1,$AB131)), 1, 0)</f>
        <v>0</v>
      </c>
      <c r="AD131" s="4">
        <f t="shared" si="789"/>
        <v>0</v>
      </c>
      <c r="AE131" s="4">
        <f t="shared" si="789"/>
        <v>0</v>
      </c>
      <c r="AF131" s="4">
        <f t="shared" si="789"/>
        <v>0</v>
      </c>
      <c r="AG131" s="4">
        <f t="shared" si="789"/>
        <v>0</v>
      </c>
      <c r="AH131" s="4">
        <f t="shared" si="789"/>
        <v>0</v>
      </c>
      <c r="AI131" s="1">
        <f t="shared" si="5"/>
        <v>0</v>
      </c>
      <c r="AJ131" s="1" t="s">
        <v>765</v>
      </c>
      <c r="AL131" s="4">
        <f t="shared" ref="AL131:AS131" si="790">IF(ISNUMBER(SEARCH(AL$1,$AK131)), 1, 0)</f>
        <v>0</v>
      </c>
      <c r="AM131" s="4">
        <f t="shared" si="790"/>
        <v>0</v>
      </c>
      <c r="AN131" s="4">
        <f t="shared" si="790"/>
        <v>0</v>
      </c>
      <c r="AO131" s="4">
        <f t="shared" si="790"/>
        <v>0</v>
      </c>
      <c r="AP131" s="4">
        <f t="shared" si="790"/>
        <v>0</v>
      </c>
      <c r="AQ131" s="4">
        <f t="shared" si="790"/>
        <v>0</v>
      </c>
      <c r="AR131" s="4">
        <f t="shared" si="790"/>
        <v>0</v>
      </c>
      <c r="AS131" s="4">
        <f t="shared" si="790"/>
        <v>0</v>
      </c>
      <c r="AV131" s="1">
        <f t="shared" si="7"/>
        <v>0</v>
      </c>
      <c r="AW131" s="1">
        <f t="shared" si="8"/>
        <v>0</v>
      </c>
      <c r="AX131" s="1">
        <f t="shared" si="9"/>
        <v>0</v>
      </c>
      <c r="BA131" s="1" t="s">
        <v>183</v>
      </c>
      <c r="BB131" s="4">
        <f t="shared" ref="BB131:BJ131" si="791">IF(ISNUMBER(SEARCH(BB$1,$BA131)), 1, 0)</f>
        <v>0</v>
      </c>
      <c r="BC131" s="4">
        <f t="shared" si="791"/>
        <v>0</v>
      </c>
      <c r="BD131" s="4">
        <f t="shared" si="791"/>
        <v>0</v>
      </c>
      <c r="BE131" s="4">
        <f t="shared" si="791"/>
        <v>0</v>
      </c>
      <c r="BF131" s="4">
        <f t="shared" si="791"/>
        <v>0</v>
      </c>
      <c r="BG131" s="4">
        <f t="shared" si="791"/>
        <v>0</v>
      </c>
      <c r="BH131" s="4">
        <f t="shared" si="791"/>
        <v>0</v>
      </c>
      <c r="BI131" s="4">
        <f t="shared" si="791"/>
        <v>0</v>
      </c>
      <c r="BJ131" s="4">
        <f t="shared" si="791"/>
        <v>0</v>
      </c>
      <c r="BK131" s="4">
        <f t="shared" si="11"/>
        <v>0</v>
      </c>
      <c r="BL131" s="1" t="s">
        <v>765</v>
      </c>
      <c r="BO131" s="4">
        <f t="shared" ref="BO131:BU131" si="792">IF(ISNUMBER(SEARCH(BO$1,$BN131)), 1, 0)</f>
        <v>0</v>
      </c>
      <c r="BP131" s="4">
        <f t="shared" si="792"/>
        <v>0</v>
      </c>
      <c r="BQ131" s="4">
        <f t="shared" si="792"/>
        <v>0</v>
      </c>
      <c r="BR131" s="4">
        <f t="shared" si="792"/>
        <v>0</v>
      </c>
      <c r="BS131" s="4">
        <f t="shared" si="792"/>
        <v>0</v>
      </c>
      <c r="BT131" s="4">
        <f t="shared" si="792"/>
        <v>0</v>
      </c>
      <c r="BU131" s="4">
        <f t="shared" si="792"/>
        <v>0</v>
      </c>
      <c r="DC131" s="1" t="s">
        <v>180</v>
      </c>
    </row>
    <row r="132" spans="1:107" ht="15.75" customHeight="1" x14ac:dyDescent="0.25">
      <c r="A132" s="1" t="b">
        <v>1</v>
      </c>
      <c r="B132" s="3">
        <v>46170.474641203706</v>
      </c>
      <c r="C132" s="1" t="s">
        <v>766</v>
      </c>
      <c r="D132" s="1" t="s">
        <v>207</v>
      </c>
      <c r="E132" s="4">
        <f t="shared" ref="E132:K132" si="793">IF(ISNUMBER(SEARCH(E$1,$D132)), SEARCH(E$1,$D132), 0)</f>
        <v>1</v>
      </c>
      <c r="F132" s="4">
        <f t="shared" si="793"/>
        <v>30</v>
      </c>
      <c r="G132" s="4">
        <f t="shared" si="793"/>
        <v>0</v>
      </c>
      <c r="H132" s="4">
        <f t="shared" si="793"/>
        <v>0</v>
      </c>
      <c r="I132" s="4">
        <f t="shared" si="793"/>
        <v>0</v>
      </c>
      <c r="J132" s="4">
        <f t="shared" si="793"/>
        <v>0</v>
      </c>
      <c r="K132" s="4">
        <f t="shared" si="793"/>
        <v>0</v>
      </c>
      <c r="L132" s="4">
        <f t="shared" si="1"/>
        <v>30</v>
      </c>
      <c r="N132" s="1" t="s">
        <v>240</v>
      </c>
      <c r="O132" s="4">
        <f t="shared" ref="O132:T132" si="794">IF(ISNUMBER(SEARCH(O$1,$N132)), 1, 0)</f>
        <v>1</v>
      </c>
      <c r="P132" s="4">
        <f t="shared" si="794"/>
        <v>1</v>
      </c>
      <c r="Q132" s="4">
        <f t="shared" si="794"/>
        <v>1</v>
      </c>
      <c r="R132" s="4">
        <f t="shared" si="794"/>
        <v>1</v>
      </c>
      <c r="S132" s="4">
        <f t="shared" si="794"/>
        <v>0</v>
      </c>
      <c r="T132" s="4">
        <f t="shared" si="794"/>
        <v>0</v>
      </c>
      <c r="W132" s="1" t="str">
        <f t="shared" si="740"/>
        <v>False</v>
      </c>
      <c r="X132" s="1" t="str">
        <f t="shared" si="740"/>
        <v>False</v>
      </c>
      <c r="Y132" s="1" t="str">
        <f t="shared" si="740"/>
        <v>False</v>
      </c>
      <c r="Z132" s="1" t="str">
        <f t="shared" si="740"/>
        <v>False</v>
      </c>
      <c r="AA132" s="1" t="str">
        <f t="shared" si="740"/>
        <v>False</v>
      </c>
      <c r="AB132" s="1" t="s">
        <v>28</v>
      </c>
      <c r="AC132" s="4">
        <f t="shared" ref="AC132:AH132" si="795">IF(ISNUMBER(SEARCH(AC$1,$AB132)), 1, 0)</f>
        <v>1</v>
      </c>
      <c r="AD132" s="4">
        <f t="shared" si="795"/>
        <v>0</v>
      </c>
      <c r="AE132" s="4">
        <f t="shared" si="795"/>
        <v>0</v>
      </c>
      <c r="AF132" s="4">
        <f t="shared" si="795"/>
        <v>0</v>
      </c>
      <c r="AG132" s="4">
        <f t="shared" si="795"/>
        <v>0</v>
      </c>
      <c r="AH132" s="4">
        <f t="shared" si="795"/>
        <v>0</v>
      </c>
      <c r="AI132" s="1">
        <f t="shared" si="5"/>
        <v>1</v>
      </c>
      <c r="AK132" s="1" t="s">
        <v>346</v>
      </c>
      <c r="AL132" s="4">
        <f t="shared" ref="AL132:AS132" si="796">IF(ISNUMBER(SEARCH(AL$1,$AK132)), 1, 0)</f>
        <v>0</v>
      </c>
      <c r="AM132" s="4">
        <f t="shared" si="796"/>
        <v>1</v>
      </c>
      <c r="AN132" s="4">
        <f t="shared" si="796"/>
        <v>1</v>
      </c>
      <c r="AO132" s="4">
        <f t="shared" si="796"/>
        <v>1</v>
      </c>
      <c r="AP132" s="4">
        <f t="shared" si="796"/>
        <v>0</v>
      </c>
      <c r="AQ132" s="4">
        <f t="shared" si="796"/>
        <v>0</v>
      </c>
      <c r="AR132" s="4">
        <f t="shared" si="796"/>
        <v>0</v>
      </c>
      <c r="AS132" s="4">
        <f t="shared" si="796"/>
        <v>0</v>
      </c>
      <c r="AU132" s="1" t="s">
        <v>47</v>
      </c>
      <c r="AV132" s="1">
        <f t="shared" si="7"/>
        <v>1</v>
      </c>
      <c r="AW132" s="1">
        <f t="shared" si="8"/>
        <v>0</v>
      </c>
      <c r="AX132" s="1">
        <f t="shared" si="9"/>
        <v>0</v>
      </c>
      <c r="AY132" s="1" t="s">
        <v>48</v>
      </c>
      <c r="BA132" s="1" t="s">
        <v>457</v>
      </c>
      <c r="BB132" s="4">
        <f t="shared" ref="BB132:BJ132" si="797">IF(ISNUMBER(SEARCH(BB$1,$BA132)), 1, 0)</f>
        <v>0</v>
      </c>
      <c r="BC132" s="4">
        <f t="shared" si="797"/>
        <v>0</v>
      </c>
      <c r="BD132" s="4">
        <f t="shared" si="797"/>
        <v>0</v>
      </c>
      <c r="BE132" s="4">
        <f t="shared" si="797"/>
        <v>0</v>
      </c>
      <c r="BF132" s="4">
        <f t="shared" si="797"/>
        <v>1</v>
      </c>
      <c r="BG132" s="4">
        <f t="shared" si="797"/>
        <v>1</v>
      </c>
      <c r="BH132" s="4">
        <f t="shared" si="797"/>
        <v>0</v>
      </c>
      <c r="BI132" s="4">
        <f t="shared" si="797"/>
        <v>0</v>
      </c>
      <c r="BJ132" s="4">
        <f t="shared" si="797"/>
        <v>1</v>
      </c>
      <c r="BK132" s="4">
        <f t="shared" si="11"/>
        <v>3</v>
      </c>
      <c r="BM132" s="1" t="s">
        <v>232</v>
      </c>
      <c r="BN132" s="1" t="s">
        <v>69</v>
      </c>
      <c r="BO132" s="4">
        <f t="shared" ref="BO132:BU132" si="798">IF(ISNUMBER(SEARCH(BO$1,$BN132)), 1, 0)</f>
        <v>0</v>
      </c>
      <c r="BP132" s="4">
        <f t="shared" si="798"/>
        <v>0</v>
      </c>
      <c r="BQ132" s="4">
        <f t="shared" si="798"/>
        <v>0</v>
      </c>
      <c r="BR132" s="4">
        <f t="shared" si="798"/>
        <v>1</v>
      </c>
      <c r="BS132" s="4">
        <f t="shared" si="798"/>
        <v>0</v>
      </c>
      <c r="BT132" s="4">
        <f t="shared" si="798"/>
        <v>0</v>
      </c>
      <c r="BU132" s="4">
        <f t="shared" si="798"/>
        <v>0</v>
      </c>
      <c r="CX132" s="1" t="s">
        <v>620</v>
      </c>
      <c r="CZ132" s="1" t="s">
        <v>616</v>
      </c>
      <c r="DC132" s="1" t="s">
        <v>238</v>
      </c>
    </row>
    <row r="133" spans="1:107" ht="15.75" customHeight="1" x14ac:dyDescent="0.25">
      <c r="A133" s="1" t="b">
        <v>0</v>
      </c>
      <c r="B133" s="3">
        <v>46170.840462962966</v>
      </c>
      <c r="C133" s="1" t="s">
        <v>767</v>
      </c>
      <c r="D133" s="1" t="s">
        <v>5</v>
      </c>
      <c r="E133" s="4">
        <f t="shared" ref="E133:K133" si="799">IF(ISNUMBER(SEARCH(E$1,$D133)), SEARCH(E$1,$D133), 0)</f>
        <v>0</v>
      </c>
      <c r="F133" s="4">
        <f t="shared" si="799"/>
        <v>1</v>
      </c>
      <c r="G133" s="4">
        <f t="shared" si="799"/>
        <v>0</v>
      </c>
      <c r="H133" s="4">
        <f t="shared" si="799"/>
        <v>0</v>
      </c>
      <c r="I133" s="4">
        <f t="shared" si="799"/>
        <v>0</v>
      </c>
      <c r="J133" s="4">
        <f t="shared" si="799"/>
        <v>0</v>
      </c>
      <c r="K133" s="4">
        <f t="shared" si="799"/>
        <v>0</v>
      </c>
      <c r="L133" s="4">
        <f t="shared" si="1"/>
        <v>1</v>
      </c>
      <c r="N133" s="1" t="s">
        <v>739</v>
      </c>
      <c r="O133" s="4">
        <f t="shared" ref="O133:T133" si="800">IF(ISNUMBER(SEARCH(O$1,$N133)), 1, 0)</f>
        <v>0</v>
      </c>
      <c r="P133" s="4">
        <f t="shared" si="800"/>
        <v>0</v>
      </c>
      <c r="Q133" s="4">
        <f t="shared" si="800"/>
        <v>1</v>
      </c>
      <c r="R133" s="4">
        <f t="shared" si="800"/>
        <v>1</v>
      </c>
      <c r="S133" s="4">
        <f t="shared" si="800"/>
        <v>0</v>
      </c>
      <c r="T133" s="4">
        <f t="shared" si="800"/>
        <v>0</v>
      </c>
      <c r="W133" s="1" t="str">
        <f t="shared" ref="W133:AA144" si="801">IF(W$1=$V133, "True", "False")</f>
        <v>False</v>
      </c>
      <c r="X133" s="1" t="str">
        <f t="shared" si="801"/>
        <v>False</v>
      </c>
      <c r="Y133" s="1" t="str">
        <f t="shared" si="801"/>
        <v>False</v>
      </c>
      <c r="Z133" s="1" t="str">
        <f t="shared" si="801"/>
        <v>False</v>
      </c>
      <c r="AA133" s="1" t="str">
        <f t="shared" si="801"/>
        <v>False</v>
      </c>
      <c r="AC133" s="4">
        <f t="shared" ref="AC133:AH133" si="802">IF(ISNUMBER(SEARCH(AC$1,$AB133)), 1, 0)</f>
        <v>0</v>
      </c>
      <c r="AD133" s="4">
        <f t="shared" si="802"/>
        <v>0</v>
      </c>
      <c r="AE133" s="4">
        <f t="shared" si="802"/>
        <v>0</v>
      </c>
      <c r="AF133" s="4">
        <f t="shared" si="802"/>
        <v>0</v>
      </c>
      <c r="AG133" s="4">
        <f t="shared" si="802"/>
        <v>0</v>
      </c>
      <c r="AH133" s="4">
        <f t="shared" si="802"/>
        <v>0</v>
      </c>
      <c r="AI133" s="1">
        <f t="shared" si="5"/>
        <v>0</v>
      </c>
      <c r="AL133" s="4">
        <f t="shared" ref="AL133:AS133" si="803">IF(ISNUMBER(SEARCH(AL$1,$AK133)), 1, 0)</f>
        <v>0</v>
      </c>
      <c r="AM133" s="4">
        <f t="shared" si="803"/>
        <v>0</v>
      </c>
      <c r="AN133" s="4">
        <f t="shared" si="803"/>
        <v>0</v>
      </c>
      <c r="AO133" s="4">
        <f t="shared" si="803"/>
        <v>0</v>
      </c>
      <c r="AP133" s="4">
        <f t="shared" si="803"/>
        <v>0</v>
      </c>
      <c r="AQ133" s="4">
        <f t="shared" si="803"/>
        <v>0</v>
      </c>
      <c r="AR133" s="4">
        <f t="shared" si="803"/>
        <v>0</v>
      </c>
      <c r="AS133" s="4">
        <f t="shared" si="803"/>
        <v>0</v>
      </c>
      <c r="AV133" s="1">
        <f t="shared" si="7"/>
        <v>0</v>
      </c>
      <c r="AW133" s="1">
        <f t="shared" si="8"/>
        <v>0</v>
      </c>
      <c r="AX133" s="1">
        <f t="shared" si="9"/>
        <v>0</v>
      </c>
      <c r="BB133" s="4">
        <f t="shared" ref="BB133:BJ133" si="804">IF(ISNUMBER(SEARCH(BB$1,$BA133)), 1, 0)</f>
        <v>0</v>
      </c>
      <c r="BC133" s="4">
        <f t="shared" si="804"/>
        <v>0</v>
      </c>
      <c r="BD133" s="4">
        <f t="shared" si="804"/>
        <v>0</v>
      </c>
      <c r="BE133" s="4">
        <f t="shared" si="804"/>
        <v>0</v>
      </c>
      <c r="BF133" s="4">
        <f t="shared" si="804"/>
        <v>0</v>
      </c>
      <c r="BG133" s="4">
        <f t="shared" si="804"/>
        <v>0</v>
      </c>
      <c r="BH133" s="4">
        <f t="shared" si="804"/>
        <v>0</v>
      </c>
      <c r="BI133" s="4">
        <f t="shared" si="804"/>
        <v>0</v>
      </c>
      <c r="BJ133" s="4">
        <f t="shared" si="804"/>
        <v>0</v>
      </c>
      <c r="BK133" s="4">
        <f t="shared" si="11"/>
        <v>0</v>
      </c>
      <c r="BO133" s="4">
        <f t="shared" ref="BO133:BU133" si="805">IF(ISNUMBER(SEARCH(BO$1,$BN133)), 1, 0)</f>
        <v>0</v>
      </c>
      <c r="BP133" s="4">
        <f t="shared" si="805"/>
        <v>0</v>
      </c>
      <c r="BQ133" s="4">
        <f t="shared" si="805"/>
        <v>0</v>
      </c>
      <c r="BR133" s="4">
        <f t="shared" si="805"/>
        <v>0</v>
      </c>
      <c r="BS133" s="4">
        <f t="shared" si="805"/>
        <v>0</v>
      </c>
      <c r="BT133" s="4">
        <f t="shared" si="805"/>
        <v>0</v>
      </c>
      <c r="BU133" s="4">
        <f t="shared" si="805"/>
        <v>0</v>
      </c>
    </row>
    <row r="134" spans="1:107" ht="15.75" customHeight="1" x14ac:dyDescent="0.25">
      <c r="A134" s="1" t="b">
        <v>1</v>
      </c>
      <c r="B134" s="3">
        <v>46171.373171296298</v>
      </c>
      <c r="C134" s="1" t="s">
        <v>768</v>
      </c>
      <c r="D134" s="1" t="s">
        <v>439</v>
      </c>
      <c r="E134" s="4">
        <f t="shared" ref="E134:K134" si="806">IF(ISNUMBER(SEARCH(E$1,$D134)), SEARCH(E$1,$D134), 0)</f>
        <v>1</v>
      </c>
      <c r="F134" s="4">
        <f t="shared" si="806"/>
        <v>30</v>
      </c>
      <c r="G134" s="4">
        <f t="shared" si="806"/>
        <v>0</v>
      </c>
      <c r="H134" s="4">
        <f t="shared" si="806"/>
        <v>0</v>
      </c>
      <c r="I134" s="4">
        <f t="shared" si="806"/>
        <v>105</v>
      </c>
      <c r="J134" s="4">
        <f t="shared" si="806"/>
        <v>0</v>
      </c>
      <c r="K134" s="4">
        <f t="shared" si="806"/>
        <v>0</v>
      </c>
      <c r="L134" s="4">
        <f t="shared" si="1"/>
        <v>105</v>
      </c>
      <c r="N134" s="1" t="s">
        <v>328</v>
      </c>
      <c r="O134" s="4">
        <f t="shared" ref="O134:T134" si="807">IF(ISNUMBER(SEARCH(O$1,$N134)), 1, 0)</f>
        <v>1</v>
      </c>
      <c r="P134" s="4">
        <f t="shared" si="807"/>
        <v>1</v>
      </c>
      <c r="Q134" s="4">
        <f t="shared" si="807"/>
        <v>1</v>
      </c>
      <c r="R134" s="4">
        <f t="shared" si="807"/>
        <v>0</v>
      </c>
      <c r="S134" s="4">
        <f t="shared" si="807"/>
        <v>0</v>
      </c>
      <c r="T134" s="4">
        <f t="shared" si="807"/>
        <v>0</v>
      </c>
      <c r="V134" s="1" t="s">
        <v>25</v>
      </c>
      <c r="W134" s="1" t="str">
        <f t="shared" si="801"/>
        <v>False</v>
      </c>
      <c r="X134" s="1" t="str">
        <f t="shared" si="801"/>
        <v>False</v>
      </c>
      <c r="Y134" s="1" t="str">
        <f t="shared" si="801"/>
        <v>False</v>
      </c>
      <c r="Z134" s="1" t="str">
        <f t="shared" si="801"/>
        <v>True</v>
      </c>
      <c r="AA134" s="1" t="str">
        <f t="shared" si="801"/>
        <v>False</v>
      </c>
      <c r="AB134" s="1" t="s">
        <v>311</v>
      </c>
      <c r="AC134" s="4">
        <f t="shared" ref="AC134:AH134" si="808">IF(ISNUMBER(SEARCH(AC$1,$AB134)), 1, 0)</f>
        <v>1</v>
      </c>
      <c r="AD134" s="4">
        <f t="shared" si="808"/>
        <v>0</v>
      </c>
      <c r="AE134" s="4">
        <f t="shared" si="808"/>
        <v>0</v>
      </c>
      <c r="AF134" s="4">
        <f t="shared" si="808"/>
        <v>0</v>
      </c>
      <c r="AG134" s="4">
        <f t="shared" si="808"/>
        <v>0</v>
      </c>
      <c r="AH134" s="4">
        <f t="shared" si="808"/>
        <v>0</v>
      </c>
      <c r="AI134" s="1">
        <f t="shared" si="5"/>
        <v>1</v>
      </c>
      <c r="AJ134" s="1" t="s">
        <v>769</v>
      </c>
      <c r="AK134" s="1" t="s">
        <v>346</v>
      </c>
      <c r="AL134" s="4">
        <f t="shared" ref="AL134:AS134" si="809">IF(ISNUMBER(SEARCH(AL$1,$AK134)), 1, 0)</f>
        <v>0</v>
      </c>
      <c r="AM134" s="4">
        <f t="shared" si="809"/>
        <v>1</v>
      </c>
      <c r="AN134" s="4">
        <f t="shared" si="809"/>
        <v>1</v>
      </c>
      <c r="AO134" s="4">
        <f t="shared" si="809"/>
        <v>1</v>
      </c>
      <c r="AP134" s="4">
        <f t="shared" si="809"/>
        <v>0</v>
      </c>
      <c r="AQ134" s="4">
        <f t="shared" si="809"/>
        <v>0</v>
      </c>
      <c r="AR134" s="4">
        <f t="shared" si="809"/>
        <v>0</v>
      </c>
      <c r="AS134" s="4">
        <f t="shared" si="809"/>
        <v>0</v>
      </c>
      <c r="AU134" s="1" t="s">
        <v>47</v>
      </c>
      <c r="AV134" s="1">
        <f t="shared" si="7"/>
        <v>1</v>
      </c>
      <c r="AW134" s="1">
        <f t="shared" si="8"/>
        <v>0</v>
      </c>
      <c r="AX134" s="1">
        <f t="shared" si="9"/>
        <v>0</v>
      </c>
      <c r="AY134" s="1" t="s">
        <v>48</v>
      </c>
      <c r="BA134" s="1" t="s">
        <v>419</v>
      </c>
      <c r="BB134" s="4">
        <f t="shared" ref="BB134:BJ134" si="810">IF(ISNUMBER(SEARCH(BB$1,$BA134)), 1, 0)</f>
        <v>0</v>
      </c>
      <c r="BC134" s="4">
        <f t="shared" si="810"/>
        <v>1</v>
      </c>
      <c r="BD134" s="4">
        <f t="shared" si="810"/>
        <v>0</v>
      </c>
      <c r="BE134" s="4">
        <f t="shared" si="810"/>
        <v>1</v>
      </c>
      <c r="BF134" s="4">
        <f t="shared" si="810"/>
        <v>0</v>
      </c>
      <c r="BG134" s="4">
        <f t="shared" si="810"/>
        <v>1</v>
      </c>
      <c r="BH134" s="4">
        <f t="shared" si="810"/>
        <v>0</v>
      </c>
      <c r="BI134" s="4">
        <f t="shared" si="810"/>
        <v>0</v>
      </c>
      <c r="BJ134" s="4">
        <f t="shared" si="810"/>
        <v>1</v>
      </c>
      <c r="BK134" s="4">
        <f t="shared" si="11"/>
        <v>4</v>
      </c>
      <c r="BM134" s="1" t="s">
        <v>232</v>
      </c>
      <c r="BN134" s="1" t="s">
        <v>770</v>
      </c>
      <c r="BO134" s="4">
        <f t="shared" ref="BO134:BU134" si="811">IF(ISNUMBER(SEARCH(BO$1,$BN134)), 1, 0)</f>
        <v>0</v>
      </c>
      <c r="BP134" s="4">
        <f t="shared" si="811"/>
        <v>1</v>
      </c>
      <c r="BQ134" s="4">
        <f t="shared" si="811"/>
        <v>0</v>
      </c>
      <c r="BR134" s="4">
        <f t="shared" si="811"/>
        <v>1</v>
      </c>
      <c r="BS134" s="4">
        <f t="shared" si="811"/>
        <v>0</v>
      </c>
      <c r="BT134" s="4">
        <f t="shared" si="811"/>
        <v>1</v>
      </c>
      <c r="BU134" s="4">
        <f t="shared" si="811"/>
        <v>0</v>
      </c>
      <c r="CH134" s="1" t="s">
        <v>771</v>
      </c>
      <c r="CI134" s="1" t="s">
        <v>772</v>
      </c>
      <c r="CJ134" s="1" t="s">
        <v>549</v>
      </c>
      <c r="CL134" s="1" t="s">
        <v>601</v>
      </c>
      <c r="CX134" s="1" t="s">
        <v>534</v>
      </c>
      <c r="CZ134" s="1" t="s">
        <v>773</v>
      </c>
      <c r="DB134" s="1" t="s">
        <v>774</v>
      </c>
      <c r="DC134" s="1" t="s">
        <v>180</v>
      </c>
    </row>
    <row r="135" spans="1:107" ht="15.75" customHeight="1" x14ac:dyDescent="0.25">
      <c r="A135" s="1" t="b">
        <v>1</v>
      </c>
      <c r="B135" s="3">
        <v>46171.379513888889</v>
      </c>
      <c r="C135" s="1" t="s">
        <v>775</v>
      </c>
      <c r="D135" s="1" t="s">
        <v>776</v>
      </c>
      <c r="E135" s="4">
        <f t="shared" ref="E135:K135" si="812">IF(ISNUMBER(SEARCH(E$1,$D135)), SEARCH(E$1,$D135), 0)</f>
        <v>0</v>
      </c>
      <c r="F135" s="4">
        <f t="shared" si="812"/>
        <v>1</v>
      </c>
      <c r="G135" s="4">
        <f t="shared" si="812"/>
        <v>76</v>
      </c>
      <c r="H135" s="4">
        <f t="shared" si="812"/>
        <v>0</v>
      </c>
      <c r="I135" s="4">
        <f t="shared" si="812"/>
        <v>0</v>
      </c>
      <c r="J135" s="4">
        <f t="shared" si="812"/>
        <v>132</v>
      </c>
      <c r="K135" s="4">
        <f t="shared" si="812"/>
        <v>0</v>
      </c>
      <c r="L135" s="4">
        <f t="shared" si="1"/>
        <v>132</v>
      </c>
      <c r="N135" s="1" t="s">
        <v>244</v>
      </c>
      <c r="O135" s="4">
        <f t="shared" ref="O135:T135" si="813">IF(ISNUMBER(SEARCH(O$1,$N135)), 1, 0)</f>
        <v>1</v>
      </c>
      <c r="P135" s="4">
        <f t="shared" si="813"/>
        <v>0</v>
      </c>
      <c r="Q135" s="4">
        <f t="shared" si="813"/>
        <v>1</v>
      </c>
      <c r="R135" s="4">
        <f t="shared" si="813"/>
        <v>1</v>
      </c>
      <c r="S135" s="4">
        <f t="shared" si="813"/>
        <v>0</v>
      </c>
      <c r="T135" s="4">
        <f t="shared" si="813"/>
        <v>0</v>
      </c>
      <c r="V135" s="1" t="s">
        <v>24</v>
      </c>
      <c r="W135" s="1" t="str">
        <f t="shared" si="801"/>
        <v>False</v>
      </c>
      <c r="X135" s="1" t="str">
        <f t="shared" si="801"/>
        <v>False</v>
      </c>
      <c r="Y135" s="1" t="str">
        <f t="shared" si="801"/>
        <v>True</v>
      </c>
      <c r="Z135" s="1" t="str">
        <f t="shared" si="801"/>
        <v>False</v>
      </c>
      <c r="AA135" s="1" t="str">
        <f t="shared" si="801"/>
        <v>False</v>
      </c>
      <c r="AB135" s="1" t="s">
        <v>28</v>
      </c>
      <c r="AC135" s="4">
        <f t="shared" ref="AC135:AH135" si="814">IF(ISNUMBER(SEARCH(AC$1,$AB135)), 1, 0)</f>
        <v>1</v>
      </c>
      <c r="AD135" s="4">
        <f t="shared" si="814"/>
        <v>0</v>
      </c>
      <c r="AE135" s="4">
        <f t="shared" si="814"/>
        <v>0</v>
      </c>
      <c r="AF135" s="4">
        <f t="shared" si="814"/>
        <v>0</v>
      </c>
      <c r="AG135" s="4">
        <f t="shared" si="814"/>
        <v>0</v>
      </c>
      <c r="AH135" s="4">
        <f t="shared" si="814"/>
        <v>0</v>
      </c>
      <c r="AI135" s="1">
        <f t="shared" si="5"/>
        <v>1</v>
      </c>
      <c r="AK135" s="1" t="s">
        <v>470</v>
      </c>
      <c r="AL135" s="4">
        <f t="shared" ref="AL135:AS135" si="815">IF(ISNUMBER(SEARCH(AL$1,$AK135)), 1, 0)</f>
        <v>0</v>
      </c>
      <c r="AM135" s="4">
        <f t="shared" si="815"/>
        <v>1</v>
      </c>
      <c r="AN135" s="4">
        <f t="shared" si="815"/>
        <v>0</v>
      </c>
      <c r="AO135" s="4">
        <f t="shared" si="815"/>
        <v>1</v>
      </c>
      <c r="AP135" s="4">
        <f t="shared" si="815"/>
        <v>0</v>
      </c>
      <c r="AQ135" s="4">
        <f t="shared" si="815"/>
        <v>1</v>
      </c>
      <c r="AR135" s="4">
        <f t="shared" si="815"/>
        <v>0</v>
      </c>
      <c r="AS135" s="4">
        <f t="shared" si="815"/>
        <v>0</v>
      </c>
      <c r="AU135" s="1" t="s">
        <v>48</v>
      </c>
      <c r="AV135" s="1">
        <f t="shared" si="7"/>
        <v>0</v>
      </c>
      <c r="AW135" s="1">
        <f t="shared" si="8"/>
        <v>1</v>
      </c>
      <c r="AX135" s="1">
        <f t="shared" si="9"/>
        <v>0</v>
      </c>
      <c r="AY135" s="1" t="s">
        <v>48</v>
      </c>
      <c r="BA135" s="1" t="s">
        <v>777</v>
      </c>
      <c r="BB135" s="4">
        <f t="shared" ref="BB135:BJ135" si="816">IF(ISNUMBER(SEARCH(BB$1,$BA135)), 1, 0)</f>
        <v>0</v>
      </c>
      <c r="BC135" s="4">
        <f t="shared" si="816"/>
        <v>0</v>
      </c>
      <c r="BD135" s="4">
        <f t="shared" si="816"/>
        <v>1</v>
      </c>
      <c r="BE135" s="4">
        <f t="shared" si="816"/>
        <v>1</v>
      </c>
      <c r="BF135" s="4">
        <f t="shared" si="816"/>
        <v>0</v>
      </c>
      <c r="BG135" s="4">
        <f t="shared" si="816"/>
        <v>0</v>
      </c>
      <c r="BH135" s="4">
        <f t="shared" si="816"/>
        <v>1</v>
      </c>
      <c r="BI135" s="4">
        <f t="shared" si="816"/>
        <v>0</v>
      </c>
      <c r="BJ135" s="4">
        <f t="shared" si="816"/>
        <v>0</v>
      </c>
      <c r="BK135" s="4">
        <f t="shared" si="11"/>
        <v>3</v>
      </c>
      <c r="BM135" s="1" t="s">
        <v>232</v>
      </c>
      <c r="BN135" s="1" t="s">
        <v>726</v>
      </c>
      <c r="BO135" s="4">
        <f t="shared" ref="BO135:BU135" si="817">IF(ISNUMBER(SEARCH(BO$1,$BN135)), 1, 0)</f>
        <v>0</v>
      </c>
      <c r="BP135" s="4">
        <f t="shared" si="817"/>
        <v>1</v>
      </c>
      <c r="BQ135" s="4">
        <f t="shared" si="817"/>
        <v>0</v>
      </c>
      <c r="BR135" s="4">
        <f t="shared" si="817"/>
        <v>1</v>
      </c>
      <c r="BS135" s="4">
        <f t="shared" si="817"/>
        <v>0</v>
      </c>
      <c r="BT135" s="4">
        <f t="shared" si="817"/>
        <v>0</v>
      </c>
      <c r="BU135" s="4">
        <f t="shared" si="817"/>
        <v>0</v>
      </c>
      <c r="BW135" s="1" t="s">
        <v>169</v>
      </c>
      <c r="BZ135" s="1" t="s">
        <v>465</v>
      </c>
      <c r="CR135" s="1" t="s">
        <v>250</v>
      </c>
      <c r="CT135" s="1" t="s">
        <v>778</v>
      </c>
      <c r="CU135" s="1" t="s">
        <v>250</v>
      </c>
      <c r="CX135" s="1" t="s">
        <v>779</v>
      </c>
      <c r="CY135" s="1" t="s">
        <v>780</v>
      </c>
      <c r="CZ135" s="1" t="s">
        <v>250</v>
      </c>
      <c r="DC135" s="1" t="s">
        <v>180</v>
      </c>
    </row>
    <row r="136" spans="1:107" ht="15.75" customHeight="1" x14ac:dyDescent="0.25">
      <c r="A136" s="1" t="b">
        <v>1</v>
      </c>
      <c r="B136" s="3">
        <v>46171.795347222222</v>
      </c>
      <c r="C136" s="1" t="s">
        <v>781</v>
      </c>
      <c r="D136" s="1" t="s">
        <v>4</v>
      </c>
      <c r="E136" s="4">
        <f t="shared" ref="E136:K136" si="818">IF(ISNUMBER(SEARCH(E$1,$D136)), SEARCH(E$1,$D136), 0)</f>
        <v>1</v>
      </c>
      <c r="F136" s="4">
        <f t="shared" si="818"/>
        <v>0</v>
      </c>
      <c r="G136" s="4">
        <f t="shared" si="818"/>
        <v>0</v>
      </c>
      <c r="H136" s="4">
        <f t="shared" si="818"/>
        <v>0</v>
      </c>
      <c r="I136" s="4">
        <f t="shared" si="818"/>
        <v>0</v>
      </c>
      <c r="J136" s="4">
        <f t="shared" si="818"/>
        <v>0</v>
      </c>
      <c r="K136" s="4">
        <f t="shared" si="818"/>
        <v>0</v>
      </c>
      <c r="L136" s="4">
        <f t="shared" si="1"/>
        <v>1</v>
      </c>
      <c r="N136" s="1" t="s">
        <v>328</v>
      </c>
      <c r="O136" s="4">
        <f t="shared" ref="O136:T136" si="819">IF(ISNUMBER(SEARCH(O$1,$N136)), 1, 0)</f>
        <v>1</v>
      </c>
      <c r="P136" s="4">
        <f t="shared" si="819"/>
        <v>1</v>
      </c>
      <c r="Q136" s="4">
        <f t="shared" si="819"/>
        <v>1</v>
      </c>
      <c r="R136" s="4">
        <f t="shared" si="819"/>
        <v>0</v>
      </c>
      <c r="S136" s="4">
        <f t="shared" si="819"/>
        <v>0</v>
      </c>
      <c r="T136" s="4">
        <f t="shared" si="819"/>
        <v>0</v>
      </c>
      <c r="V136" s="1" t="s">
        <v>26</v>
      </c>
      <c r="W136" s="1" t="str">
        <f t="shared" si="801"/>
        <v>False</v>
      </c>
      <c r="X136" s="1" t="str">
        <f t="shared" si="801"/>
        <v>False</v>
      </c>
      <c r="Y136" s="1" t="str">
        <f t="shared" si="801"/>
        <v>False</v>
      </c>
      <c r="Z136" s="1" t="str">
        <f t="shared" si="801"/>
        <v>False</v>
      </c>
      <c r="AA136" s="1" t="str">
        <f t="shared" si="801"/>
        <v>True</v>
      </c>
      <c r="AB136" s="1" t="s">
        <v>273</v>
      </c>
      <c r="AC136" s="4">
        <f t="shared" ref="AC136:AH136" si="820">IF(ISNUMBER(SEARCH(AC$1,$AB136)), 1, 0)</f>
        <v>0</v>
      </c>
      <c r="AD136" s="4">
        <f t="shared" si="820"/>
        <v>0</v>
      </c>
      <c r="AE136" s="4">
        <f t="shared" si="820"/>
        <v>0</v>
      </c>
      <c r="AF136" s="4">
        <f t="shared" si="820"/>
        <v>0</v>
      </c>
      <c r="AG136" s="4">
        <f t="shared" si="820"/>
        <v>1</v>
      </c>
      <c r="AH136" s="4">
        <f t="shared" si="820"/>
        <v>0</v>
      </c>
      <c r="AI136" s="1">
        <f t="shared" si="5"/>
        <v>1</v>
      </c>
      <c r="AJ136" s="1" t="s">
        <v>782</v>
      </c>
      <c r="AK136" s="1" t="s">
        <v>565</v>
      </c>
      <c r="AL136" s="4">
        <f t="shared" ref="AL136:AS136" si="821">IF(ISNUMBER(SEARCH(AL$1,$AK136)), 1, 0)</f>
        <v>1</v>
      </c>
      <c r="AM136" s="4">
        <f t="shared" si="821"/>
        <v>0</v>
      </c>
      <c r="AN136" s="4">
        <f t="shared" si="821"/>
        <v>0</v>
      </c>
      <c r="AO136" s="4">
        <f t="shared" si="821"/>
        <v>1</v>
      </c>
      <c r="AP136" s="4">
        <f t="shared" si="821"/>
        <v>0</v>
      </c>
      <c r="AQ136" s="4">
        <f t="shared" si="821"/>
        <v>1</v>
      </c>
      <c r="AR136" s="4">
        <f t="shared" si="821"/>
        <v>0</v>
      </c>
      <c r="AS136" s="4">
        <f t="shared" si="821"/>
        <v>0</v>
      </c>
      <c r="AU136" s="1" t="s">
        <v>48</v>
      </c>
      <c r="AV136" s="1">
        <f t="shared" si="7"/>
        <v>0</v>
      </c>
      <c r="AW136" s="1">
        <f t="shared" si="8"/>
        <v>1</v>
      </c>
      <c r="AX136" s="1">
        <f t="shared" si="9"/>
        <v>0</v>
      </c>
      <c r="AY136" s="1" t="s">
        <v>48</v>
      </c>
      <c r="BA136" s="1" t="s">
        <v>783</v>
      </c>
      <c r="BB136" s="4">
        <f t="shared" ref="BB136:BJ136" si="822">IF(ISNUMBER(SEARCH(BB$1,$BA136)), 1, 0)</f>
        <v>0</v>
      </c>
      <c r="BC136" s="4">
        <f t="shared" si="822"/>
        <v>0</v>
      </c>
      <c r="BD136" s="4">
        <f t="shared" si="822"/>
        <v>0</v>
      </c>
      <c r="BE136" s="4">
        <f t="shared" si="822"/>
        <v>0</v>
      </c>
      <c r="BF136" s="4">
        <f t="shared" si="822"/>
        <v>1</v>
      </c>
      <c r="BG136" s="4">
        <f t="shared" si="822"/>
        <v>0</v>
      </c>
      <c r="BH136" s="4">
        <f t="shared" si="822"/>
        <v>0</v>
      </c>
      <c r="BI136" s="4">
        <f t="shared" si="822"/>
        <v>0</v>
      </c>
      <c r="BJ136" s="4">
        <f t="shared" si="822"/>
        <v>1</v>
      </c>
      <c r="BK136" s="4">
        <f t="shared" si="11"/>
        <v>2</v>
      </c>
      <c r="BM136" s="1" t="s">
        <v>166</v>
      </c>
      <c r="BN136" s="1" t="s">
        <v>744</v>
      </c>
      <c r="BO136" s="4">
        <f t="shared" ref="BO136:BU136" si="823">IF(ISNUMBER(SEARCH(BO$1,$BN136)), 1, 0)</f>
        <v>0</v>
      </c>
      <c r="BP136" s="4">
        <f t="shared" si="823"/>
        <v>0</v>
      </c>
      <c r="BQ136" s="4">
        <f t="shared" si="823"/>
        <v>0</v>
      </c>
      <c r="BR136" s="4">
        <f t="shared" si="823"/>
        <v>1</v>
      </c>
      <c r="BS136" s="4">
        <f t="shared" si="823"/>
        <v>0</v>
      </c>
      <c r="BT136" s="4">
        <f t="shared" si="823"/>
        <v>0</v>
      </c>
      <c r="BU136" s="4">
        <f t="shared" si="823"/>
        <v>1</v>
      </c>
      <c r="BW136" s="1" t="s">
        <v>516</v>
      </c>
      <c r="BZ136" s="1" t="s">
        <v>516</v>
      </c>
      <c r="DC136" s="1" t="s">
        <v>238</v>
      </c>
    </row>
    <row r="137" spans="1:107" ht="15.75" customHeight="1" x14ac:dyDescent="0.25">
      <c r="A137" s="1" t="b">
        <v>1</v>
      </c>
      <c r="B137" s="3">
        <v>46171.995300925926</v>
      </c>
      <c r="C137" s="1" t="s">
        <v>784</v>
      </c>
      <c r="D137" s="1" t="s">
        <v>4</v>
      </c>
      <c r="E137" s="4">
        <f t="shared" ref="E137:K137" si="824">IF(ISNUMBER(SEARCH(E$1,$D137)), SEARCH(E$1,$D137), 0)</f>
        <v>1</v>
      </c>
      <c r="F137" s="4">
        <f t="shared" si="824"/>
        <v>0</v>
      </c>
      <c r="G137" s="4">
        <f t="shared" si="824"/>
        <v>0</v>
      </c>
      <c r="H137" s="4">
        <f t="shared" si="824"/>
        <v>0</v>
      </c>
      <c r="I137" s="4">
        <f t="shared" si="824"/>
        <v>0</v>
      </c>
      <c r="J137" s="4">
        <f t="shared" si="824"/>
        <v>0</v>
      </c>
      <c r="K137" s="4">
        <f t="shared" si="824"/>
        <v>0</v>
      </c>
      <c r="L137" s="4">
        <f t="shared" si="1"/>
        <v>1</v>
      </c>
      <c r="N137" s="1" t="s">
        <v>328</v>
      </c>
      <c r="O137" s="4">
        <f t="shared" ref="O137:T137" si="825">IF(ISNUMBER(SEARCH(O$1,$N137)), 1, 0)</f>
        <v>1</v>
      </c>
      <c r="P137" s="4">
        <f t="shared" si="825"/>
        <v>1</v>
      </c>
      <c r="Q137" s="4">
        <f t="shared" si="825"/>
        <v>1</v>
      </c>
      <c r="R137" s="4">
        <f t="shared" si="825"/>
        <v>0</v>
      </c>
      <c r="S137" s="4">
        <f t="shared" si="825"/>
        <v>0</v>
      </c>
      <c r="T137" s="4">
        <f t="shared" si="825"/>
        <v>0</v>
      </c>
      <c r="W137" s="1" t="str">
        <f t="shared" si="801"/>
        <v>False</v>
      </c>
      <c r="X137" s="1" t="str">
        <f t="shared" si="801"/>
        <v>False</v>
      </c>
      <c r="Y137" s="1" t="str">
        <f t="shared" si="801"/>
        <v>False</v>
      </c>
      <c r="Z137" s="1" t="str">
        <f t="shared" si="801"/>
        <v>False</v>
      </c>
      <c r="AA137" s="1" t="str">
        <f t="shared" si="801"/>
        <v>False</v>
      </c>
      <c r="AB137" s="1" t="s">
        <v>188</v>
      </c>
      <c r="AC137" s="4">
        <f t="shared" ref="AC137:AH137" si="826">IF(ISNUMBER(SEARCH(AC$1,$AB137)), 1, 0)</f>
        <v>0</v>
      </c>
      <c r="AD137" s="4">
        <f t="shared" si="826"/>
        <v>0</v>
      </c>
      <c r="AE137" s="4">
        <f t="shared" si="826"/>
        <v>1</v>
      </c>
      <c r="AF137" s="4">
        <f t="shared" si="826"/>
        <v>1</v>
      </c>
      <c r="AG137" s="4">
        <f t="shared" si="826"/>
        <v>0</v>
      </c>
      <c r="AH137" s="4">
        <f t="shared" si="826"/>
        <v>0</v>
      </c>
      <c r="AI137" s="1">
        <f t="shared" si="5"/>
        <v>2</v>
      </c>
      <c r="AK137" s="1" t="s">
        <v>189</v>
      </c>
      <c r="AL137" s="4">
        <f t="shared" ref="AL137:AS137" si="827">IF(ISNUMBER(SEARCH(AL$1,$AK137)), 1, 0)</f>
        <v>1</v>
      </c>
      <c r="AM137" s="4">
        <f t="shared" si="827"/>
        <v>1</v>
      </c>
      <c r="AN137" s="4">
        <f t="shared" si="827"/>
        <v>1</v>
      </c>
      <c r="AO137" s="4">
        <f t="shared" si="827"/>
        <v>1</v>
      </c>
      <c r="AP137" s="4">
        <f t="shared" si="827"/>
        <v>0</v>
      </c>
      <c r="AQ137" s="4">
        <f t="shared" si="827"/>
        <v>1</v>
      </c>
      <c r="AR137" s="4">
        <f t="shared" si="827"/>
        <v>0</v>
      </c>
      <c r="AS137" s="4">
        <f t="shared" si="827"/>
        <v>0</v>
      </c>
      <c r="AU137" s="1" t="s">
        <v>47</v>
      </c>
      <c r="AV137" s="1">
        <f t="shared" si="7"/>
        <v>1</v>
      </c>
      <c r="AW137" s="1">
        <f t="shared" si="8"/>
        <v>0</v>
      </c>
      <c r="AX137" s="1">
        <f t="shared" si="9"/>
        <v>0</v>
      </c>
      <c r="AY137" s="1" t="s">
        <v>48</v>
      </c>
      <c r="BA137" s="1" t="s">
        <v>61</v>
      </c>
      <c r="BB137" s="4">
        <f t="shared" ref="BB137:BJ137" si="828">IF(ISNUMBER(SEARCH(BB$1,$BA137)), 1, 0)</f>
        <v>0</v>
      </c>
      <c r="BC137" s="4">
        <f t="shared" si="828"/>
        <v>0</v>
      </c>
      <c r="BD137" s="4">
        <f t="shared" si="828"/>
        <v>0</v>
      </c>
      <c r="BE137" s="4">
        <f t="shared" si="828"/>
        <v>0</v>
      </c>
      <c r="BF137" s="4">
        <f t="shared" si="828"/>
        <v>0</v>
      </c>
      <c r="BG137" s="4">
        <f t="shared" si="828"/>
        <v>0</v>
      </c>
      <c r="BH137" s="4">
        <f t="shared" si="828"/>
        <v>0</v>
      </c>
      <c r="BI137" s="4">
        <f t="shared" si="828"/>
        <v>0</v>
      </c>
      <c r="BJ137" s="4">
        <f t="shared" si="828"/>
        <v>1</v>
      </c>
      <c r="BK137" s="4">
        <f t="shared" si="11"/>
        <v>1</v>
      </c>
      <c r="BM137" s="1" t="s">
        <v>190</v>
      </c>
      <c r="BN137" s="1" t="s">
        <v>72</v>
      </c>
      <c r="BO137" s="4">
        <f t="shared" ref="BO137:BU137" si="829">IF(ISNUMBER(SEARCH(BO$1,$BN137)), 1, 0)</f>
        <v>0</v>
      </c>
      <c r="BP137" s="4">
        <f t="shared" si="829"/>
        <v>0</v>
      </c>
      <c r="BQ137" s="4">
        <f t="shared" si="829"/>
        <v>0</v>
      </c>
      <c r="BR137" s="4">
        <f t="shared" si="829"/>
        <v>0</v>
      </c>
      <c r="BS137" s="4">
        <f t="shared" si="829"/>
        <v>0</v>
      </c>
      <c r="BT137" s="4">
        <f t="shared" si="829"/>
        <v>0</v>
      </c>
      <c r="BU137" s="4">
        <f t="shared" si="829"/>
        <v>1</v>
      </c>
      <c r="DC137" s="1" t="s">
        <v>238</v>
      </c>
    </row>
    <row r="138" spans="1:107" ht="15.75" customHeight="1" x14ac:dyDescent="0.25">
      <c r="A138" s="1" t="b">
        <v>1</v>
      </c>
      <c r="B138" s="3">
        <v>46172.179236111115</v>
      </c>
      <c r="C138" s="1" t="s">
        <v>785</v>
      </c>
      <c r="D138" s="1" t="s">
        <v>4</v>
      </c>
      <c r="E138" s="4">
        <f t="shared" ref="E138:K138" si="830">IF(ISNUMBER(SEARCH(E$1,$D138)), SEARCH(E$1,$D138), 0)</f>
        <v>1</v>
      </c>
      <c r="F138" s="4">
        <f t="shared" si="830"/>
        <v>0</v>
      </c>
      <c r="G138" s="4">
        <f t="shared" si="830"/>
        <v>0</v>
      </c>
      <c r="H138" s="4">
        <f t="shared" si="830"/>
        <v>0</v>
      </c>
      <c r="I138" s="4">
        <f t="shared" si="830"/>
        <v>0</v>
      </c>
      <c r="J138" s="4">
        <f t="shared" si="830"/>
        <v>0</v>
      </c>
      <c r="K138" s="4">
        <f t="shared" si="830"/>
        <v>0</v>
      </c>
      <c r="L138" s="4">
        <f t="shared" si="1"/>
        <v>1</v>
      </c>
      <c r="N138" s="1" t="s">
        <v>14</v>
      </c>
      <c r="O138" s="4">
        <f t="shared" ref="O138:T138" si="831">IF(ISNUMBER(SEARCH(O$1,$N138)), 1, 0)</f>
        <v>1</v>
      </c>
      <c r="P138" s="4">
        <f t="shared" si="831"/>
        <v>0</v>
      </c>
      <c r="Q138" s="4">
        <f t="shared" si="831"/>
        <v>0</v>
      </c>
      <c r="R138" s="4">
        <f t="shared" si="831"/>
        <v>0</v>
      </c>
      <c r="S138" s="4">
        <f t="shared" si="831"/>
        <v>0</v>
      </c>
      <c r="T138" s="4">
        <f t="shared" si="831"/>
        <v>0</v>
      </c>
      <c r="V138" s="1" t="s">
        <v>24</v>
      </c>
      <c r="W138" s="1" t="str">
        <f t="shared" si="801"/>
        <v>False</v>
      </c>
      <c r="X138" s="1" t="str">
        <f t="shared" si="801"/>
        <v>False</v>
      </c>
      <c r="Y138" s="1" t="str">
        <f t="shared" si="801"/>
        <v>True</v>
      </c>
      <c r="Z138" s="1" t="str">
        <f t="shared" si="801"/>
        <v>False</v>
      </c>
      <c r="AA138" s="1" t="str">
        <f t="shared" si="801"/>
        <v>False</v>
      </c>
      <c r="AB138" s="1" t="s">
        <v>33</v>
      </c>
      <c r="AC138" s="4">
        <f t="shared" ref="AC138:AH138" si="832">IF(ISNUMBER(SEARCH(AC$1,$AB138)), 1, 0)</f>
        <v>0</v>
      </c>
      <c r="AD138" s="4">
        <f t="shared" si="832"/>
        <v>0</v>
      </c>
      <c r="AE138" s="4">
        <f t="shared" si="832"/>
        <v>0</v>
      </c>
      <c r="AF138" s="4">
        <f t="shared" si="832"/>
        <v>0</v>
      </c>
      <c r="AG138" s="4">
        <f t="shared" si="832"/>
        <v>0</v>
      </c>
      <c r="AH138" s="4">
        <f t="shared" si="832"/>
        <v>1</v>
      </c>
      <c r="AI138" s="1">
        <f t="shared" si="5"/>
        <v>1</v>
      </c>
      <c r="AK138" s="1" t="s">
        <v>481</v>
      </c>
      <c r="AL138" s="4">
        <f t="shared" ref="AL138:AS138" si="833">IF(ISNUMBER(SEARCH(AL$1,$AK138)), 1, 0)</f>
        <v>0</v>
      </c>
      <c r="AM138" s="4">
        <f t="shared" si="833"/>
        <v>0</v>
      </c>
      <c r="AN138" s="4">
        <f t="shared" si="833"/>
        <v>0</v>
      </c>
      <c r="AO138" s="4">
        <f t="shared" si="833"/>
        <v>1</v>
      </c>
      <c r="AP138" s="4">
        <f t="shared" si="833"/>
        <v>0</v>
      </c>
      <c r="AQ138" s="4">
        <f t="shared" si="833"/>
        <v>1</v>
      </c>
      <c r="AR138" s="4">
        <f t="shared" si="833"/>
        <v>0</v>
      </c>
      <c r="AS138" s="4">
        <f t="shared" si="833"/>
        <v>0</v>
      </c>
      <c r="AU138" s="1" t="s">
        <v>47</v>
      </c>
      <c r="AV138" s="1">
        <f t="shared" si="7"/>
        <v>1</v>
      </c>
      <c r="AW138" s="1">
        <f t="shared" si="8"/>
        <v>0</v>
      </c>
      <c r="AX138" s="1">
        <f t="shared" si="9"/>
        <v>0</v>
      </c>
      <c r="AY138" s="1" t="s">
        <v>48</v>
      </c>
      <c r="BA138" s="1" t="s">
        <v>61</v>
      </c>
      <c r="BB138" s="4">
        <f t="shared" ref="BB138:BJ138" si="834">IF(ISNUMBER(SEARCH(BB$1,$BA138)), 1, 0)</f>
        <v>0</v>
      </c>
      <c r="BC138" s="4">
        <f t="shared" si="834"/>
        <v>0</v>
      </c>
      <c r="BD138" s="4">
        <f t="shared" si="834"/>
        <v>0</v>
      </c>
      <c r="BE138" s="4">
        <f t="shared" si="834"/>
        <v>0</v>
      </c>
      <c r="BF138" s="4">
        <f t="shared" si="834"/>
        <v>0</v>
      </c>
      <c r="BG138" s="4">
        <f t="shared" si="834"/>
        <v>0</v>
      </c>
      <c r="BH138" s="4">
        <f t="shared" si="834"/>
        <v>0</v>
      </c>
      <c r="BI138" s="4">
        <f t="shared" si="834"/>
        <v>0</v>
      </c>
      <c r="BJ138" s="4">
        <f t="shared" si="834"/>
        <v>1</v>
      </c>
      <c r="BK138" s="4">
        <f t="shared" si="11"/>
        <v>1</v>
      </c>
      <c r="BM138" s="1" t="s">
        <v>190</v>
      </c>
      <c r="BN138" s="1" t="s">
        <v>68</v>
      </c>
      <c r="BO138" s="4">
        <f t="shared" ref="BO138:BU138" si="835">IF(ISNUMBER(SEARCH(BO$1,$BN138)), 1, 0)</f>
        <v>0</v>
      </c>
      <c r="BP138" s="4">
        <f t="shared" si="835"/>
        <v>0</v>
      </c>
      <c r="BQ138" s="4">
        <f t="shared" si="835"/>
        <v>1</v>
      </c>
      <c r="BR138" s="4">
        <f t="shared" si="835"/>
        <v>0</v>
      </c>
      <c r="BS138" s="4">
        <f t="shared" si="835"/>
        <v>0</v>
      </c>
      <c r="BT138" s="4">
        <f t="shared" si="835"/>
        <v>0</v>
      </c>
      <c r="BU138" s="4">
        <f t="shared" si="835"/>
        <v>0</v>
      </c>
      <c r="DC138" s="1" t="s">
        <v>180</v>
      </c>
    </row>
    <row r="139" spans="1:107" ht="15.75" customHeight="1" x14ac:dyDescent="0.25">
      <c r="A139" s="1" t="b">
        <v>1</v>
      </c>
      <c r="B139" s="3">
        <v>46172.71056712963</v>
      </c>
      <c r="C139" s="1" t="s">
        <v>786</v>
      </c>
      <c r="D139" s="1" t="s">
        <v>4</v>
      </c>
      <c r="E139" s="4">
        <f t="shared" ref="E139:K139" si="836">IF(ISNUMBER(SEARCH(E$1,$D139)), SEARCH(E$1,$D139), 0)</f>
        <v>1</v>
      </c>
      <c r="F139" s="4">
        <f t="shared" si="836"/>
        <v>0</v>
      </c>
      <c r="G139" s="4">
        <f t="shared" si="836"/>
        <v>0</v>
      </c>
      <c r="H139" s="4">
        <f t="shared" si="836"/>
        <v>0</v>
      </c>
      <c r="I139" s="4">
        <f t="shared" si="836"/>
        <v>0</v>
      </c>
      <c r="J139" s="4">
        <f t="shared" si="836"/>
        <v>0</v>
      </c>
      <c r="K139" s="4">
        <f t="shared" si="836"/>
        <v>0</v>
      </c>
      <c r="L139" s="4">
        <f t="shared" si="1"/>
        <v>1</v>
      </c>
      <c r="N139" s="1" t="s">
        <v>272</v>
      </c>
      <c r="O139" s="4">
        <f t="shared" ref="O139:T139" si="837">IF(ISNUMBER(SEARCH(O$1,$N139)), 1, 0)</f>
        <v>1</v>
      </c>
      <c r="P139" s="4">
        <f t="shared" si="837"/>
        <v>1</v>
      </c>
      <c r="Q139" s="4">
        <f t="shared" si="837"/>
        <v>1</v>
      </c>
      <c r="R139" s="4">
        <f t="shared" si="837"/>
        <v>1</v>
      </c>
      <c r="S139" s="4">
        <f t="shared" si="837"/>
        <v>1</v>
      </c>
      <c r="T139" s="4">
        <f t="shared" si="837"/>
        <v>0</v>
      </c>
      <c r="W139" s="1" t="str">
        <f t="shared" si="801"/>
        <v>False</v>
      </c>
      <c r="X139" s="1" t="str">
        <f t="shared" si="801"/>
        <v>False</v>
      </c>
      <c r="Y139" s="1" t="str">
        <f t="shared" si="801"/>
        <v>False</v>
      </c>
      <c r="Z139" s="1" t="str">
        <f t="shared" si="801"/>
        <v>False</v>
      </c>
      <c r="AA139" s="1" t="str">
        <f t="shared" si="801"/>
        <v>False</v>
      </c>
      <c r="AB139" s="1" t="s">
        <v>28</v>
      </c>
      <c r="AC139" s="4">
        <f t="shared" ref="AC139:AH139" si="838">IF(ISNUMBER(SEARCH(AC$1,$AB139)), 1, 0)</f>
        <v>1</v>
      </c>
      <c r="AD139" s="4">
        <f t="shared" si="838"/>
        <v>0</v>
      </c>
      <c r="AE139" s="4">
        <f t="shared" si="838"/>
        <v>0</v>
      </c>
      <c r="AF139" s="4">
        <f t="shared" si="838"/>
        <v>0</v>
      </c>
      <c r="AG139" s="4">
        <f t="shared" si="838"/>
        <v>0</v>
      </c>
      <c r="AH139" s="4">
        <f t="shared" si="838"/>
        <v>0</v>
      </c>
      <c r="AI139" s="1">
        <f t="shared" si="5"/>
        <v>1</v>
      </c>
      <c r="AK139" s="1" t="s">
        <v>38</v>
      </c>
      <c r="AL139" s="4">
        <f t="shared" ref="AL139:AS139" si="839">IF(ISNUMBER(SEARCH(AL$1,$AK139)), 1, 0)</f>
        <v>0</v>
      </c>
      <c r="AM139" s="4">
        <f t="shared" si="839"/>
        <v>1</v>
      </c>
      <c r="AN139" s="4">
        <f t="shared" si="839"/>
        <v>0</v>
      </c>
      <c r="AO139" s="4">
        <f t="shared" si="839"/>
        <v>0</v>
      </c>
      <c r="AP139" s="4">
        <f t="shared" si="839"/>
        <v>0</v>
      </c>
      <c r="AQ139" s="4">
        <f t="shared" si="839"/>
        <v>0</v>
      </c>
      <c r="AR139" s="4">
        <f t="shared" si="839"/>
        <v>0</v>
      </c>
      <c r="AS139" s="4">
        <f t="shared" si="839"/>
        <v>0</v>
      </c>
      <c r="AU139" s="1" t="s">
        <v>47</v>
      </c>
      <c r="AV139" s="1">
        <f t="shared" si="7"/>
        <v>1</v>
      </c>
      <c r="AW139" s="1">
        <f t="shared" si="8"/>
        <v>0</v>
      </c>
      <c r="AX139" s="1">
        <f t="shared" si="9"/>
        <v>0</v>
      </c>
      <c r="AY139" s="1" t="s">
        <v>48</v>
      </c>
      <c r="BA139" s="1" t="s">
        <v>231</v>
      </c>
      <c r="BB139" s="4">
        <f t="shared" ref="BB139:BJ139" si="840">IF(ISNUMBER(SEARCH(BB$1,$BA139)), 1, 0)</f>
        <v>1</v>
      </c>
      <c r="BC139" s="4">
        <f t="shared" si="840"/>
        <v>1</v>
      </c>
      <c r="BD139" s="4">
        <f t="shared" si="840"/>
        <v>1</v>
      </c>
      <c r="BE139" s="4">
        <f t="shared" si="840"/>
        <v>1</v>
      </c>
      <c r="BF139" s="4">
        <f t="shared" si="840"/>
        <v>1</v>
      </c>
      <c r="BG139" s="4">
        <f t="shared" si="840"/>
        <v>1</v>
      </c>
      <c r="BH139" s="4">
        <f t="shared" si="840"/>
        <v>0</v>
      </c>
      <c r="BI139" s="4">
        <f t="shared" si="840"/>
        <v>0</v>
      </c>
      <c r="BJ139" s="4">
        <f t="shared" si="840"/>
        <v>1</v>
      </c>
      <c r="BK139" s="4">
        <f t="shared" si="11"/>
        <v>7</v>
      </c>
      <c r="BM139" s="1" t="s">
        <v>166</v>
      </c>
      <c r="BN139" s="1" t="s">
        <v>787</v>
      </c>
      <c r="BO139" s="4">
        <f t="shared" ref="BO139:BU139" si="841">IF(ISNUMBER(SEARCH(BO$1,$BN139)), 1, 0)</f>
        <v>1</v>
      </c>
      <c r="BP139" s="4">
        <f t="shared" si="841"/>
        <v>1</v>
      </c>
      <c r="BQ139" s="4">
        <f t="shared" si="841"/>
        <v>1</v>
      </c>
      <c r="BR139" s="4">
        <f t="shared" si="841"/>
        <v>0</v>
      </c>
      <c r="BS139" s="4">
        <f t="shared" si="841"/>
        <v>1</v>
      </c>
      <c r="BT139" s="4">
        <f t="shared" si="841"/>
        <v>1</v>
      </c>
      <c r="BU139" s="4">
        <f t="shared" si="841"/>
        <v>0</v>
      </c>
      <c r="DC139" s="1" t="s">
        <v>180</v>
      </c>
    </row>
    <row r="140" spans="1:107" ht="15.75" customHeight="1" x14ac:dyDescent="0.25">
      <c r="A140" s="1" t="b">
        <v>1</v>
      </c>
      <c r="B140" s="3">
        <v>46172.815821759257</v>
      </c>
      <c r="C140" s="1" t="s">
        <v>788</v>
      </c>
      <c r="D140" s="1" t="s">
        <v>751</v>
      </c>
      <c r="E140" s="4">
        <f t="shared" ref="E140:K140" si="842">IF(ISNUMBER(SEARCH(E$1,$D140)), SEARCH(E$1,$D140), 0)</f>
        <v>1</v>
      </c>
      <c r="F140" s="4">
        <f t="shared" si="842"/>
        <v>0</v>
      </c>
      <c r="G140" s="4">
        <f t="shared" si="842"/>
        <v>0</v>
      </c>
      <c r="H140" s="4">
        <f t="shared" si="842"/>
        <v>30</v>
      </c>
      <c r="I140" s="4">
        <f t="shared" si="842"/>
        <v>0</v>
      </c>
      <c r="J140" s="4">
        <f t="shared" si="842"/>
        <v>0</v>
      </c>
      <c r="K140" s="4">
        <f t="shared" si="842"/>
        <v>0</v>
      </c>
      <c r="L140" s="4">
        <f t="shared" si="1"/>
        <v>30</v>
      </c>
      <c r="N140" s="1" t="s">
        <v>789</v>
      </c>
      <c r="O140" s="4">
        <f t="shared" ref="O140:T140" si="843">IF(ISNUMBER(SEARCH(O$1,$N140)), 1, 0)</f>
        <v>1</v>
      </c>
      <c r="P140" s="4">
        <f t="shared" si="843"/>
        <v>1</v>
      </c>
      <c r="Q140" s="4">
        <f t="shared" si="843"/>
        <v>1</v>
      </c>
      <c r="R140" s="4">
        <f t="shared" si="843"/>
        <v>0</v>
      </c>
      <c r="S140" s="4">
        <f t="shared" si="843"/>
        <v>1</v>
      </c>
      <c r="T140" s="4">
        <f t="shared" si="843"/>
        <v>1</v>
      </c>
      <c r="V140" s="1" t="s">
        <v>23</v>
      </c>
      <c r="W140" s="1" t="str">
        <f t="shared" si="801"/>
        <v>False</v>
      </c>
      <c r="X140" s="1" t="str">
        <f t="shared" si="801"/>
        <v>True</v>
      </c>
      <c r="Y140" s="1" t="str">
        <f t="shared" si="801"/>
        <v>False</v>
      </c>
      <c r="Z140" s="1" t="str">
        <f t="shared" si="801"/>
        <v>False</v>
      </c>
      <c r="AA140" s="1" t="str">
        <f t="shared" si="801"/>
        <v>False</v>
      </c>
      <c r="AB140" s="1" t="s">
        <v>183</v>
      </c>
      <c r="AC140" s="4">
        <f t="shared" ref="AC140:AH140" si="844">IF(ISNUMBER(SEARCH(AC$1,$AB140)), 1, 0)</f>
        <v>0</v>
      </c>
      <c r="AD140" s="4">
        <f t="shared" si="844"/>
        <v>0</v>
      </c>
      <c r="AE140" s="4">
        <f t="shared" si="844"/>
        <v>0</v>
      </c>
      <c r="AF140" s="4">
        <f t="shared" si="844"/>
        <v>0</v>
      </c>
      <c r="AG140" s="4">
        <f t="shared" si="844"/>
        <v>0</v>
      </c>
      <c r="AH140" s="4">
        <f t="shared" si="844"/>
        <v>0</v>
      </c>
      <c r="AI140" s="1">
        <f t="shared" si="5"/>
        <v>0</v>
      </c>
      <c r="AJ140" s="1" t="s">
        <v>790</v>
      </c>
      <c r="AK140" s="1" t="s">
        <v>791</v>
      </c>
      <c r="AL140" s="4">
        <f t="shared" ref="AL140:AS140" si="845">IF(ISNUMBER(SEARCH(AL$1,$AK140)), 1, 0)</f>
        <v>1</v>
      </c>
      <c r="AM140" s="4">
        <f t="shared" si="845"/>
        <v>0</v>
      </c>
      <c r="AN140" s="4">
        <f t="shared" si="845"/>
        <v>0</v>
      </c>
      <c r="AO140" s="4">
        <f t="shared" si="845"/>
        <v>0</v>
      </c>
      <c r="AP140" s="4">
        <f t="shared" si="845"/>
        <v>0</v>
      </c>
      <c r="AQ140" s="4">
        <f t="shared" si="845"/>
        <v>1</v>
      </c>
      <c r="AR140" s="4">
        <f t="shared" si="845"/>
        <v>1</v>
      </c>
      <c r="AS140" s="4">
        <f t="shared" si="845"/>
        <v>0</v>
      </c>
      <c r="AU140" s="1" t="s">
        <v>48</v>
      </c>
      <c r="AV140" s="1">
        <f t="shared" si="7"/>
        <v>0</v>
      </c>
      <c r="AW140" s="1">
        <f t="shared" si="8"/>
        <v>1</v>
      </c>
      <c r="AX140" s="1">
        <f t="shared" si="9"/>
        <v>0</v>
      </c>
      <c r="AY140" s="1" t="s">
        <v>47</v>
      </c>
      <c r="AZ140" s="1" t="s">
        <v>48</v>
      </c>
      <c r="BA140" s="1" t="s">
        <v>61</v>
      </c>
      <c r="BB140" s="4">
        <f t="shared" ref="BB140:BJ140" si="846">IF(ISNUMBER(SEARCH(BB$1,$BA140)), 1, 0)</f>
        <v>0</v>
      </c>
      <c r="BC140" s="4">
        <f t="shared" si="846"/>
        <v>0</v>
      </c>
      <c r="BD140" s="4">
        <f t="shared" si="846"/>
        <v>0</v>
      </c>
      <c r="BE140" s="4">
        <f t="shared" si="846"/>
        <v>0</v>
      </c>
      <c r="BF140" s="4">
        <f t="shared" si="846"/>
        <v>0</v>
      </c>
      <c r="BG140" s="4">
        <f t="shared" si="846"/>
        <v>0</v>
      </c>
      <c r="BH140" s="4">
        <f t="shared" si="846"/>
        <v>0</v>
      </c>
      <c r="BI140" s="4">
        <f t="shared" si="846"/>
        <v>0</v>
      </c>
      <c r="BJ140" s="4">
        <f t="shared" si="846"/>
        <v>1</v>
      </c>
      <c r="BK140" s="4">
        <f t="shared" si="11"/>
        <v>1</v>
      </c>
      <c r="BO140" s="4">
        <f t="shared" ref="BO140:BU140" si="847">IF(ISNUMBER(SEARCH(BO$1,$BN140)), 1, 0)</f>
        <v>0</v>
      </c>
      <c r="BP140" s="4">
        <f t="shared" si="847"/>
        <v>0</v>
      </c>
      <c r="BQ140" s="4">
        <f t="shared" si="847"/>
        <v>0</v>
      </c>
      <c r="BR140" s="4">
        <f t="shared" si="847"/>
        <v>0</v>
      </c>
      <c r="BS140" s="4">
        <f t="shared" si="847"/>
        <v>0</v>
      </c>
      <c r="BT140" s="4">
        <f t="shared" si="847"/>
        <v>0</v>
      </c>
      <c r="BU140" s="4">
        <f t="shared" si="847"/>
        <v>0</v>
      </c>
      <c r="BW140" s="1" t="s">
        <v>516</v>
      </c>
      <c r="BY140" s="1" t="s">
        <v>792</v>
      </c>
      <c r="BZ140" s="1" t="s">
        <v>793</v>
      </c>
      <c r="CB140" s="1" t="s">
        <v>49</v>
      </c>
      <c r="CF140" s="1" t="s">
        <v>387</v>
      </c>
      <c r="CG140" s="1" t="s">
        <v>388</v>
      </c>
      <c r="DC140" s="1" t="s">
        <v>180</v>
      </c>
    </row>
    <row r="141" spans="1:107" ht="15.75" customHeight="1" x14ac:dyDescent="0.25">
      <c r="A141" s="1" t="b">
        <v>1</v>
      </c>
      <c r="B141" s="3">
        <v>46172.989675925928</v>
      </c>
      <c r="C141" s="1" t="s">
        <v>794</v>
      </c>
      <c r="D141" s="1" t="s">
        <v>207</v>
      </c>
      <c r="E141" s="4">
        <f t="shared" ref="E141:K141" si="848">IF(ISNUMBER(SEARCH(E$1,$D141)), SEARCH(E$1,$D141), 0)</f>
        <v>1</v>
      </c>
      <c r="F141" s="4">
        <f t="shared" si="848"/>
        <v>30</v>
      </c>
      <c r="G141" s="4">
        <f t="shared" si="848"/>
        <v>0</v>
      </c>
      <c r="H141" s="4">
        <f t="shared" si="848"/>
        <v>0</v>
      </c>
      <c r="I141" s="4">
        <f t="shared" si="848"/>
        <v>0</v>
      </c>
      <c r="J141" s="4">
        <f t="shared" si="848"/>
        <v>0</v>
      </c>
      <c r="K141" s="4">
        <f t="shared" si="848"/>
        <v>0</v>
      </c>
      <c r="L141" s="4">
        <f t="shared" si="1"/>
        <v>30</v>
      </c>
      <c r="N141" s="1" t="s">
        <v>240</v>
      </c>
      <c r="O141" s="4">
        <f t="shared" ref="O141:T141" si="849">IF(ISNUMBER(SEARCH(O$1,$N141)), 1, 0)</f>
        <v>1</v>
      </c>
      <c r="P141" s="4">
        <f t="shared" si="849"/>
        <v>1</v>
      </c>
      <c r="Q141" s="4">
        <f t="shared" si="849"/>
        <v>1</v>
      </c>
      <c r="R141" s="4">
        <f t="shared" si="849"/>
        <v>1</v>
      </c>
      <c r="S141" s="4">
        <f t="shared" si="849"/>
        <v>0</v>
      </c>
      <c r="T141" s="4">
        <f t="shared" si="849"/>
        <v>0</v>
      </c>
      <c r="W141" s="1" t="str">
        <f t="shared" si="801"/>
        <v>False</v>
      </c>
      <c r="X141" s="1" t="str">
        <f t="shared" si="801"/>
        <v>False</v>
      </c>
      <c r="Y141" s="1" t="str">
        <f t="shared" si="801"/>
        <v>False</v>
      </c>
      <c r="Z141" s="1" t="str">
        <f t="shared" si="801"/>
        <v>False</v>
      </c>
      <c r="AA141" s="1" t="str">
        <f t="shared" si="801"/>
        <v>False</v>
      </c>
      <c r="AB141" s="1" t="s">
        <v>477</v>
      </c>
      <c r="AC141" s="4">
        <f t="shared" ref="AC141:AH141" si="850">IF(ISNUMBER(SEARCH(AC$1,$AB141)), 1, 0)</f>
        <v>1</v>
      </c>
      <c r="AD141" s="4">
        <f t="shared" si="850"/>
        <v>1</v>
      </c>
      <c r="AE141" s="4">
        <f t="shared" si="850"/>
        <v>0</v>
      </c>
      <c r="AF141" s="4">
        <f t="shared" si="850"/>
        <v>0</v>
      </c>
      <c r="AG141" s="4">
        <f t="shared" si="850"/>
        <v>0</v>
      </c>
      <c r="AH141" s="4">
        <f t="shared" si="850"/>
        <v>1</v>
      </c>
      <c r="AI141" s="1">
        <f t="shared" si="5"/>
        <v>3</v>
      </c>
      <c r="AK141" s="1" t="s">
        <v>470</v>
      </c>
      <c r="AL141" s="4">
        <f t="shared" ref="AL141:AS141" si="851">IF(ISNUMBER(SEARCH(AL$1,$AK141)), 1, 0)</f>
        <v>0</v>
      </c>
      <c r="AM141" s="4">
        <f t="shared" si="851"/>
        <v>1</v>
      </c>
      <c r="AN141" s="4">
        <f t="shared" si="851"/>
        <v>0</v>
      </c>
      <c r="AO141" s="4">
        <f t="shared" si="851"/>
        <v>1</v>
      </c>
      <c r="AP141" s="4">
        <f t="shared" si="851"/>
        <v>0</v>
      </c>
      <c r="AQ141" s="4">
        <f t="shared" si="851"/>
        <v>1</v>
      </c>
      <c r="AR141" s="4">
        <f t="shared" si="851"/>
        <v>0</v>
      </c>
      <c r="AS141" s="4">
        <f t="shared" si="851"/>
        <v>0</v>
      </c>
      <c r="AU141" s="1" t="s">
        <v>48</v>
      </c>
      <c r="AV141" s="1">
        <f t="shared" si="7"/>
        <v>0</v>
      </c>
      <c r="AW141" s="1">
        <f t="shared" si="8"/>
        <v>1</v>
      </c>
      <c r="AX141" s="1">
        <f t="shared" si="9"/>
        <v>0</v>
      </c>
      <c r="AY141" s="1" t="s">
        <v>48</v>
      </c>
      <c r="BA141" s="1" t="s">
        <v>457</v>
      </c>
      <c r="BB141" s="4">
        <f t="shared" ref="BB141:BJ141" si="852">IF(ISNUMBER(SEARCH(BB$1,$BA141)), 1, 0)</f>
        <v>0</v>
      </c>
      <c r="BC141" s="4">
        <f t="shared" si="852"/>
        <v>0</v>
      </c>
      <c r="BD141" s="4">
        <f t="shared" si="852"/>
        <v>0</v>
      </c>
      <c r="BE141" s="4">
        <f t="shared" si="852"/>
        <v>0</v>
      </c>
      <c r="BF141" s="4">
        <f t="shared" si="852"/>
        <v>1</v>
      </c>
      <c r="BG141" s="4">
        <f t="shared" si="852"/>
        <v>1</v>
      </c>
      <c r="BH141" s="4">
        <f t="shared" si="852"/>
        <v>0</v>
      </c>
      <c r="BI141" s="4">
        <f t="shared" si="852"/>
        <v>0</v>
      </c>
      <c r="BJ141" s="4">
        <f t="shared" si="852"/>
        <v>1</v>
      </c>
      <c r="BK141" s="4">
        <f t="shared" si="11"/>
        <v>3</v>
      </c>
      <c r="BM141" s="1" t="s">
        <v>232</v>
      </c>
      <c r="BN141" s="1" t="s">
        <v>677</v>
      </c>
      <c r="BO141" s="4">
        <f t="shared" ref="BO141:BU141" si="853">IF(ISNUMBER(SEARCH(BO$1,$BN141)), 1, 0)</f>
        <v>0</v>
      </c>
      <c r="BP141" s="4">
        <f t="shared" si="853"/>
        <v>1</v>
      </c>
      <c r="BQ141" s="4">
        <f t="shared" si="853"/>
        <v>1</v>
      </c>
      <c r="BR141" s="4">
        <f t="shared" si="853"/>
        <v>0</v>
      </c>
      <c r="BS141" s="4">
        <f t="shared" si="853"/>
        <v>0</v>
      </c>
      <c r="BT141" s="4">
        <f t="shared" si="853"/>
        <v>1</v>
      </c>
      <c r="BU141" s="4">
        <f t="shared" si="853"/>
        <v>0</v>
      </c>
      <c r="BW141" s="1" t="s">
        <v>255</v>
      </c>
      <c r="BY141" s="1" t="s">
        <v>795</v>
      </c>
      <c r="BZ141" s="1" t="s">
        <v>278</v>
      </c>
      <c r="CX141" s="1" t="s">
        <v>550</v>
      </c>
      <c r="CZ141" s="1" t="s">
        <v>449</v>
      </c>
      <c r="DC141" s="1" t="s">
        <v>180</v>
      </c>
    </row>
    <row r="142" spans="1:107" ht="15.75" customHeight="1" x14ac:dyDescent="0.25">
      <c r="A142" s="1" t="b">
        <v>1</v>
      </c>
      <c r="B142" s="3">
        <v>46173.182106481479</v>
      </c>
      <c r="C142" s="1" t="s">
        <v>796</v>
      </c>
      <c r="D142" s="1" t="s">
        <v>4</v>
      </c>
      <c r="E142" s="4">
        <f t="shared" ref="E142:K142" si="854">IF(ISNUMBER(SEARCH(E$1,$D142)), SEARCH(E$1,$D142), 0)</f>
        <v>1</v>
      </c>
      <c r="F142" s="4">
        <f t="shared" si="854"/>
        <v>0</v>
      </c>
      <c r="G142" s="4">
        <f t="shared" si="854"/>
        <v>0</v>
      </c>
      <c r="H142" s="4">
        <f t="shared" si="854"/>
        <v>0</v>
      </c>
      <c r="I142" s="4">
        <f t="shared" si="854"/>
        <v>0</v>
      </c>
      <c r="J142" s="4">
        <f t="shared" si="854"/>
        <v>0</v>
      </c>
      <c r="K142" s="4">
        <f t="shared" si="854"/>
        <v>0</v>
      </c>
      <c r="L142" s="4">
        <f t="shared" si="1"/>
        <v>1</v>
      </c>
      <c r="N142" s="1" t="s">
        <v>240</v>
      </c>
      <c r="O142" s="4">
        <f t="shared" ref="O142:T142" si="855">IF(ISNUMBER(SEARCH(O$1,$N142)), 1, 0)</f>
        <v>1</v>
      </c>
      <c r="P142" s="4">
        <f t="shared" si="855"/>
        <v>1</v>
      </c>
      <c r="Q142" s="4">
        <f t="shared" si="855"/>
        <v>1</v>
      </c>
      <c r="R142" s="4">
        <f t="shared" si="855"/>
        <v>1</v>
      </c>
      <c r="S142" s="4">
        <f t="shared" si="855"/>
        <v>0</v>
      </c>
      <c r="T142" s="4">
        <f t="shared" si="855"/>
        <v>0</v>
      </c>
      <c r="V142" s="1" t="s">
        <v>24</v>
      </c>
      <c r="W142" s="1" t="str">
        <f t="shared" si="801"/>
        <v>False</v>
      </c>
      <c r="X142" s="1" t="str">
        <f t="shared" si="801"/>
        <v>False</v>
      </c>
      <c r="Y142" s="1" t="str">
        <f t="shared" si="801"/>
        <v>True</v>
      </c>
      <c r="Z142" s="1" t="str">
        <f t="shared" si="801"/>
        <v>False</v>
      </c>
      <c r="AA142" s="1" t="str">
        <f t="shared" si="801"/>
        <v>False</v>
      </c>
      <c r="AB142" s="1" t="s">
        <v>685</v>
      </c>
      <c r="AC142" s="4">
        <f t="shared" ref="AC142:AH142" si="856">IF(ISNUMBER(SEARCH(AC$1,$AB142)), 1, 0)</f>
        <v>0</v>
      </c>
      <c r="AD142" s="4">
        <f t="shared" si="856"/>
        <v>0</v>
      </c>
      <c r="AE142" s="4">
        <f t="shared" si="856"/>
        <v>0</v>
      </c>
      <c r="AF142" s="4">
        <f t="shared" si="856"/>
        <v>1</v>
      </c>
      <c r="AG142" s="4">
        <f t="shared" si="856"/>
        <v>1</v>
      </c>
      <c r="AH142" s="4">
        <f t="shared" si="856"/>
        <v>1</v>
      </c>
      <c r="AI142" s="1">
        <f t="shared" si="5"/>
        <v>3</v>
      </c>
      <c r="AK142" s="1" t="s">
        <v>553</v>
      </c>
      <c r="AL142" s="4">
        <f t="shared" ref="AL142:AS142" si="857">IF(ISNUMBER(SEARCH(AL$1,$AK142)), 1, 0)</f>
        <v>1</v>
      </c>
      <c r="AM142" s="4">
        <f t="shared" si="857"/>
        <v>1</v>
      </c>
      <c r="AN142" s="4">
        <f t="shared" si="857"/>
        <v>1</v>
      </c>
      <c r="AO142" s="4">
        <f t="shared" si="857"/>
        <v>1</v>
      </c>
      <c r="AP142" s="4">
        <f t="shared" si="857"/>
        <v>0</v>
      </c>
      <c r="AQ142" s="4">
        <f t="shared" si="857"/>
        <v>1</v>
      </c>
      <c r="AR142" s="4">
        <f t="shared" si="857"/>
        <v>1</v>
      </c>
      <c r="AS142" s="4">
        <f t="shared" si="857"/>
        <v>0</v>
      </c>
      <c r="AU142" s="1" t="s">
        <v>48</v>
      </c>
      <c r="AV142" s="1">
        <f t="shared" si="7"/>
        <v>0</v>
      </c>
      <c r="AW142" s="1">
        <f t="shared" si="8"/>
        <v>1</v>
      </c>
      <c r="AX142" s="1">
        <f t="shared" si="9"/>
        <v>0</v>
      </c>
      <c r="AY142" s="1" t="s">
        <v>48</v>
      </c>
      <c r="BA142" s="1" t="s">
        <v>797</v>
      </c>
      <c r="BB142" s="4">
        <f t="shared" ref="BB142:BJ142" si="858">IF(ISNUMBER(SEARCH(BB$1,$BA142)), 1, 0)</f>
        <v>0</v>
      </c>
      <c r="BC142" s="4">
        <f t="shared" si="858"/>
        <v>1</v>
      </c>
      <c r="BD142" s="4">
        <f t="shared" si="858"/>
        <v>0</v>
      </c>
      <c r="BE142" s="4">
        <f t="shared" si="858"/>
        <v>1</v>
      </c>
      <c r="BF142" s="4">
        <f t="shared" si="858"/>
        <v>1</v>
      </c>
      <c r="BG142" s="4">
        <f t="shared" si="858"/>
        <v>0</v>
      </c>
      <c r="BH142" s="4">
        <f t="shared" si="858"/>
        <v>0</v>
      </c>
      <c r="BI142" s="4">
        <f t="shared" si="858"/>
        <v>0</v>
      </c>
      <c r="BJ142" s="4">
        <f t="shared" si="858"/>
        <v>1</v>
      </c>
      <c r="BK142" s="4">
        <f t="shared" si="11"/>
        <v>4</v>
      </c>
      <c r="BM142" s="1" t="s">
        <v>190</v>
      </c>
      <c r="BN142" s="1" t="s">
        <v>72</v>
      </c>
      <c r="BO142" s="4">
        <f t="shared" ref="BO142:BU142" si="859">IF(ISNUMBER(SEARCH(BO$1,$BN142)), 1, 0)</f>
        <v>0</v>
      </c>
      <c r="BP142" s="4">
        <f t="shared" si="859"/>
        <v>0</v>
      </c>
      <c r="BQ142" s="4">
        <f t="shared" si="859"/>
        <v>0</v>
      </c>
      <c r="BR142" s="4">
        <f t="shared" si="859"/>
        <v>0</v>
      </c>
      <c r="BS142" s="4">
        <f t="shared" si="859"/>
        <v>0</v>
      </c>
      <c r="BT142" s="4">
        <f t="shared" si="859"/>
        <v>0</v>
      </c>
      <c r="BU142" s="4">
        <f t="shared" si="859"/>
        <v>1</v>
      </c>
      <c r="BW142" s="1" t="s">
        <v>255</v>
      </c>
      <c r="BZ142" s="1" t="s">
        <v>516</v>
      </c>
      <c r="DC142" s="1" t="s">
        <v>180</v>
      </c>
    </row>
    <row r="143" spans="1:107" ht="15.75" customHeight="1" x14ac:dyDescent="0.25">
      <c r="A143" s="1" t="b">
        <v>1</v>
      </c>
      <c r="B143" s="3">
        <v>46173.256076388891</v>
      </c>
      <c r="C143" s="1" t="s">
        <v>798</v>
      </c>
      <c r="D143" s="1" t="s">
        <v>207</v>
      </c>
      <c r="E143" s="4">
        <f t="shared" ref="E143:K143" si="860">IF(ISNUMBER(SEARCH(E$1,$D143)), SEARCH(E$1,$D143), 0)</f>
        <v>1</v>
      </c>
      <c r="F143" s="4">
        <f t="shared" si="860"/>
        <v>30</v>
      </c>
      <c r="G143" s="4">
        <f t="shared" si="860"/>
        <v>0</v>
      </c>
      <c r="H143" s="4">
        <f t="shared" si="860"/>
        <v>0</v>
      </c>
      <c r="I143" s="4">
        <f t="shared" si="860"/>
        <v>0</v>
      </c>
      <c r="J143" s="4">
        <f t="shared" si="860"/>
        <v>0</v>
      </c>
      <c r="K143" s="4">
        <f t="shared" si="860"/>
        <v>0</v>
      </c>
      <c r="L143" s="4">
        <f t="shared" si="1"/>
        <v>30</v>
      </c>
      <c r="N143" s="1" t="s">
        <v>272</v>
      </c>
      <c r="O143" s="4">
        <f t="shared" ref="O143:T143" si="861">IF(ISNUMBER(SEARCH(O$1,$N143)), 1, 0)</f>
        <v>1</v>
      </c>
      <c r="P143" s="4">
        <f t="shared" si="861"/>
        <v>1</v>
      </c>
      <c r="Q143" s="4">
        <f t="shared" si="861"/>
        <v>1</v>
      </c>
      <c r="R143" s="4">
        <f t="shared" si="861"/>
        <v>1</v>
      </c>
      <c r="S143" s="4">
        <f t="shared" si="861"/>
        <v>1</v>
      </c>
      <c r="T143" s="4">
        <f t="shared" si="861"/>
        <v>0</v>
      </c>
      <c r="V143" s="1" t="s">
        <v>23</v>
      </c>
      <c r="W143" s="1" t="str">
        <f t="shared" si="801"/>
        <v>False</v>
      </c>
      <c r="X143" s="1" t="str">
        <f t="shared" si="801"/>
        <v>True</v>
      </c>
      <c r="Y143" s="1" t="str">
        <f t="shared" si="801"/>
        <v>False</v>
      </c>
      <c r="Z143" s="1" t="str">
        <f t="shared" si="801"/>
        <v>False</v>
      </c>
      <c r="AA143" s="1" t="str">
        <f t="shared" si="801"/>
        <v>False</v>
      </c>
      <c r="AB143" s="1" t="s">
        <v>799</v>
      </c>
      <c r="AC143" s="4">
        <f t="shared" ref="AC143:AH143" si="862">IF(ISNUMBER(SEARCH(AC$1,$AB143)), 1, 0)</f>
        <v>1</v>
      </c>
      <c r="AD143" s="4">
        <f t="shared" si="862"/>
        <v>0</v>
      </c>
      <c r="AE143" s="4">
        <f t="shared" si="862"/>
        <v>0</v>
      </c>
      <c r="AF143" s="4">
        <f t="shared" si="862"/>
        <v>0</v>
      </c>
      <c r="AG143" s="4">
        <f t="shared" si="862"/>
        <v>1</v>
      </c>
      <c r="AH143" s="4">
        <f t="shared" si="862"/>
        <v>1</v>
      </c>
      <c r="AI143" s="1">
        <f t="shared" si="5"/>
        <v>3</v>
      </c>
      <c r="AK143" s="1" t="s">
        <v>346</v>
      </c>
      <c r="AL143" s="4">
        <f t="shared" ref="AL143:AS143" si="863">IF(ISNUMBER(SEARCH(AL$1,$AK143)), 1, 0)</f>
        <v>0</v>
      </c>
      <c r="AM143" s="4">
        <f t="shared" si="863"/>
        <v>1</v>
      </c>
      <c r="AN143" s="4">
        <f t="shared" si="863"/>
        <v>1</v>
      </c>
      <c r="AO143" s="4">
        <f t="shared" si="863"/>
        <v>1</v>
      </c>
      <c r="AP143" s="4">
        <f t="shared" si="863"/>
        <v>0</v>
      </c>
      <c r="AQ143" s="4">
        <f t="shared" si="863"/>
        <v>0</v>
      </c>
      <c r="AR143" s="4">
        <f t="shared" si="863"/>
        <v>0</v>
      </c>
      <c r="AS143" s="4">
        <f t="shared" si="863"/>
        <v>0</v>
      </c>
      <c r="AU143" s="1" t="s">
        <v>48</v>
      </c>
      <c r="AV143" s="1">
        <f t="shared" si="7"/>
        <v>0</v>
      </c>
      <c r="AW143" s="1">
        <f t="shared" si="8"/>
        <v>1</v>
      </c>
      <c r="AX143" s="1">
        <f t="shared" si="9"/>
        <v>0</v>
      </c>
      <c r="AY143" s="1" t="s">
        <v>48</v>
      </c>
      <c r="BA143" s="1" t="s">
        <v>800</v>
      </c>
      <c r="BB143" s="4">
        <f t="shared" ref="BB143:BJ143" si="864">IF(ISNUMBER(SEARCH(BB$1,$BA143)), 1, 0)</f>
        <v>1</v>
      </c>
      <c r="BC143" s="4">
        <f t="shared" si="864"/>
        <v>1</v>
      </c>
      <c r="BD143" s="4">
        <f t="shared" si="864"/>
        <v>1</v>
      </c>
      <c r="BE143" s="4">
        <f t="shared" si="864"/>
        <v>1</v>
      </c>
      <c r="BF143" s="4">
        <f t="shared" si="864"/>
        <v>1</v>
      </c>
      <c r="BG143" s="4">
        <f t="shared" si="864"/>
        <v>1</v>
      </c>
      <c r="BH143" s="4">
        <f t="shared" si="864"/>
        <v>0</v>
      </c>
      <c r="BI143" s="4">
        <f t="shared" si="864"/>
        <v>0</v>
      </c>
      <c r="BJ143" s="4">
        <f t="shared" si="864"/>
        <v>0</v>
      </c>
      <c r="BK143" s="4">
        <f t="shared" si="11"/>
        <v>6</v>
      </c>
      <c r="BM143" s="1" t="s">
        <v>232</v>
      </c>
      <c r="BN143" s="1" t="s">
        <v>666</v>
      </c>
      <c r="BO143" s="4">
        <f t="shared" ref="BO143:BU143" si="865">IF(ISNUMBER(SEARCH(BO$1,$BN143)), 1, 0)</f>
        <v>0</v>
      </c>
      <c r="BP143" s="4">
        <f t="shared" si="865"/>
        <v>0</v>
      </c>
      <c r="BQ143" s="4">
        <f t="shared" si="865"/>
        <v>0</v>
      </c>
      <c r="BR143" s="4">
        <f t="shared" si="865"/>
        <v>1</v>
      </c>
      <c r="BS143" s="4">
        <f t="shared" si="865"/>
        <v>1</v>
      </c>
      <c r="BT143" s="4">
        <f t="shared" si="865"/>
        <v>0</v>
      </c>
      <c r="BU143" s="4">
        <f t="shared" si="865"/>
        <v>1</v>
      </c>
      <c r="BW143" s="1" t="s">
        <v>220</v>
      </c>
      <c r="CX143" s="1" t="s">
        <v>678</v>
      </c>
      <c r="CZ143" s="1" t="s">
        <v>644</v>
      </c>
      <c r="DC143" s="1" t="s">
        <v>180</v>
      </c>
    </row>
    <row r="144" spans="1:107" ht="15.75" customHeight="1" x14ac:dyDescent="0.25">
      <c r="A144" s="1" t="b">
        <v>1</v>
      </c>
      <c r="B144" s="3">
        <v>46173.283958333333</v>
      </c>
      <c r="C144" s="1" t="s">
        <v>801</v>
      </c>
      <c r="D144" s="1" t="s">
        <v>8</v>
      </c>
      <c r="E144" s="4">
        <f t="shared" ref="E144:K144" si="866">IF(ISNUMBER(SEARCH(E$1,$D144)), SEARCH(E$1,$D144), 0)</f>
        <v>0</v>
      </c>
      <c r="F144" s="4">
        <f t="shared" si="866"/>
        <v>0</v>
      </c>
      <c r="G144" s="4">
        <f t="shared" si="866"/>
        <v>0</v>
      </c>
      <c r="H144" s="4">
        <f t="shared" si="866"/>
        <v>0</v>
      </c>
      <c r="I144" s="4">
        <f t="shared" si="866"/>
        <v>1</v>
      </c>
      <c r="J144" s="4">
        <f t="shared" si="866"/>
        <v>0</v>
      </c>
      <c r="K144" s="4">
        <f t="shared" si="866"/>
        <v>0</v>
      </c>
      <c r="L144" s="4">
        <f t="shared" si="1"/>
        <v>1</v>
      </c>
      <c r="N144" s="1" t="s">
        <v>14</v>
      </c>
      <c r="O144" s="4">
        <f t="shared" ref="O144:T144" si="867">IF(ISNUMBER(SEARCH(O$1,$N144)), 1, 0)</f>
        <v>1</v>
      </c>
      <c r="P144" s="4">
        <f t="shared" si="867"/>
        <v>0</v>
      </c>
      <c r="Q144" s="4">
        <f t="shared" si="867"/>
        <v>0</v>
      </c>
      <c r="R144" s="4">
        <f t="shared" si="867"/>
        <v>0</v>
      </c>
      <c r="S144" s="4">
        <f t="shared" si="867"/>
        <v>0</v>
      </c>
      <c r="T144" s="4">
        <f t="shared" si="867"/>
        <v>0</v>
      </c>
      <c r="V144" s="1" t="s">
        <v>25</v>
      </c>
      <c r="W144" s="1" t="str">
        <f t="shared" si="801"/>
        <v>False</v>
      </c>
      <c r="X144" s="1" t="str">
        <f t="shared" si="801"/>
        <v>False</v>
      </c>
      <c r="Y144" s="1" t="str">
        <f t="shared" si="801"/>
        <v>False</v>
      </c>
      <c r="Z144" s="1" t="str">
        <f t="shared" si="801"/>
        <v>True</v>
      </c>
      <c r="AA144" s="1" t="str">
        <f t="shared" si="801"/>
        <v>False</v>
      </c>
      <c r="AC144" s="4">
        <f t="shared" ref="AC144:AH144" si="868">IF(ISNUMBER(SEARCH(AC$1,$AB144)), 1, 0)</f>
        <v>0</v>
      </c>
      <c r="AD144" s="4">
        <f t="shared" si="868"/>
        <v>0</v>
      </c>
      <c r="AE144" s="4">
        <f t="shared" si="868"/>
        <v>0</v>
      </c>
      <c r="AF144" s="4">
        <f t="shared" si="868"/>
        <v>0</v>
      </c>
      <c r="AG144" s="4">
        <f t="shared" si="868"/>
        <v>0</v>
      </c>
      <c r="AH144" s="4">
        <f t="shared" si="868"/>
        <v>0</v>
      </c>
      <c r="AI144" s="1">
        <f t="shared" si="5"/>
        <v>0</v>
      </c>
      <c r="AK144" s="1" t="s">
        <v>40</v>
      </c>
      <c r="AL144" s="4">
        <f t="shared" ref="AL144:AS144" si="869">IF(ISNUMBER(SEARCH(AL$1,$AK144)), 1, 0)</f>
        <v>0</v>
      </c>
      <c r="AM144" s="4">
        <f t="shared" si="869"/>
        <v>0</v>
      </c>
      <c r="AN144" s="4">
        <f t="shared" si="869"/>
        <v>0</v>
      </c>
      <c r="AO144" s="4">
        <f t="shared" si="869"/>
        <v>1</v>
      </c>
      <c r="AP144" s="4">
        <f t="shared" si="869"/>
        <v>0</v>
      </c>
      <c r="AQ144" s="4">
        <f t="shared" si="869"/>
        <v>0</v>
      </c>
      <c r="AR144" s="4">
        <f t="shared" si="869"/>
        <v>0</v>
      </c>
      <c r="AS144" s="4">
        <f t="shared" si="869"/>
        <v>0</v>
      </c>
      <c r="AU144" s="1" t="s">
        <v>47</v>
      </c>
      <c r="AV144" s="1">
        <f t="shared" si="7"/>
        <v>1</v>
      </c>
      <c r="AW144" s="1">
        <f t="shared" si="8"/>
        <v>0</v>
      </c>
      <c r="AX144" s="1">
        <f t="shared" si="9"/>
        <v>0</v>
      </c>
      <c r="AY144" s="1" t="s">
        <v>48</v>
      </c>
      <c r="BB144" s="4">
        <f t="shared" ref="BB144:BJ144" si="870">IF(ISNUMBER(SEARCH(BB$1,$BA144)), 1, 0)</f>
        <v>0</v>
      </c>
      <c r="BC144" s="4">
        <f t="shared" si="870"/>
        <v>0</v>
      </c>
      <c r="BD144" s="4">
        <f t="shared" si="870"/>
        <v>0</v>
      </c>
      <c r="BE144" s="4">
        <f t="shared" si="870"/>
        <v>0</v>
      </c>
      <c r="BF144" s="4">
        <f t="shared" si="870"/>
        <v>0</v>
      </c>
      <c r="BG144" s="4">
        <f t="shared" si="870"/>
        <v>0</v>
      </c>
      <c r="BH144" s="4">
        <f t="shared" si="870"/>
        <v>0</v>
      </c>
      <c r="BI144" s="4">
        <f t="shared" si="870"/>
        <v>0</v>
      </c>
      <c r="BJ144" s="4">
        <f t="shared" si="870"/>
        <v>0</v>
      </c>
      <c r="BK144" s="4">
        <f t="shared" si="11"/>
        <v>0</v>
      </c>
      <c r="BM144" s="1" t="s">
        <v>267</v>
      </c>
      <c r="BO144" s="4">
        <f t="shared" ref="BO144:BU144" si="871">IF(ISNUMBER(SEARCH(BO$1,$BN144)), 1, 0)</f>
        <v>0</v>
      </c>
      <c r="BP144" s="4">
        <f t="shared" si="871"/>
        <v>0</v>
      </c>
      <c r="BQ144" s="4">
        <f t="shared" si="871"/>
        <v>0</v>
      </c>
      <c r="BR144" s="4">
        <f t="shared" si="871"/>
        <v>0</v>
      </c>
      <c r="BS144" s="4">
        <f t="shared" si="871"/>
        <v>0</v>
      </c>
      <c r="BT144" s="4">
        <f t="shared" si="871"/>
        <v>0</v>
      </c>
      <c r="BU144" s="4">
        <f t="shared" si="871"/>
        <v>0</v>
      </c>
      <c r="CH144" s="1" t="s">
        <v>802</v>
      </c>
      <c r="CJ144" s="1" t="s">
        <v>803</v>
      </c>
      <c r="CL144" s="1" t="s">
        <v>447</v>
      </c>
    </row>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3:A144">
    <cfRule type="cellIs" dxfId="45" priority="1" operator="equal">
      <formula>"FALSE"</formula>
    </cfRule>
    <cfRule type="expression" dxfId="44" priority="2">
      <formula>D1:D146="Game Enthusiast or Collector"</formula>
    </cfRule>
  </conditionalFormatting>
  <conditionalFormatting sqref="W3:AA144">
    <cfRule type="cellIs" dxfId="43" priority="3" operator="equal">
      <formula>"False"</formula>
    </cfRule>
    <cfRule type="cellIs" dxfId="42" priority="4" operator="equal">
      <formula>"True"</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C1000"/>
  <sheetViews>
    <sheetView topLeftCell="CN1" workbookViewId="0">
      <pane ySplit="2" topLeftCell="A3" activePane="bottomLeft" state="frozen"/>
      <selection pane="bottomLeft" activeCell="DB3" sqref="DB3"/>
    </sheetView>
  </sheetViews>
  <sheetFormatPr defaultColWidth="12.6640625" defaultRowHeight="15" customHeight="1" x14ac:dyDescent="0.25"/>
  <cols>
    <col min="1" max="4" width="12.6640625" customWidth="1"/>
    <col min="5" max="5" width="8.109375" customWidth="1"/>
    <col min="6" max="6" width="7" customWidth="1"/>
    <col min="7" max="7" width="6.88671875" customWidth="1"/>
    <col min="8" max="8" width="5.33203125" customWidth="1"/>
    <col min="9" max="9" width="4.6640625" customWidth="1"/>
    <col min="10" max="10" width="5.33203125" customWidth="1"/>
    <col min="11" max="11" width="6" customWidth="1"/>
    <col min="12" max="12" width="8" customWidth="1"/>
  </cols>
  <sheetData>
    <row r="1" spans="1:107" ht="15.75" customHeight="1" x14ac:dyDescent="0.2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ht="15.75" customHeight="1" x14ac:dyDescent="0.25">
      <c r="A2" s="1" t="s">
        <v>0</v>
      </c>
      <c r="B2" s="1" t="s">
        <v>107</v>
      </c>
      <c r="C2" s="1" t="s">
        <v>108</v>
      </c>
      <c r="D2" s="1" t="s">
        <v>109</v>
      </c>
      <c r="E2" s="1"/>
      <c r="F2" s="1"/>
      <c r="G2" s="1"/>
      <c r="H2" s="1"/>
      <c r="I2" s="1"/>
      <c r="J2" s="1"/>
      <c r="K2" s="1"/>
      <c r="L2" s="1"/>
      <c r="M2" s="1" t="s">
        <v>110</v>
      </c>
      <c r="N2" s="1" t="s">
        <v>111</v>
      </c>
      <c r="O2" s="1"/>
      <c r="P2" s="1"/>
      <c r="Q2" s="1"/>
      <c r="R2" s="1"/>
      <c r="S2" s="1"/>
      <c r="T2" s="1"/>
      <c r="U2" s="1" t="s">
        <v>112</v>
      </c>
      <c r="V2" s="1" t="s">
        <v>113</v>
      </c>
      <c r="W2" s="1"/>
      <c r="X2" s="1"/>
      <c r="Y2" s="1"/>
      <c r="Z2" s="1"/>
      <c r="AA2" s="1"/>
      <c r="AB2" s="1" t="s">
        <v>114</v>
      </c>
      <c r="AC2" s="1"/>
      <c r="AD2" s="1"/>
      <c r="AE2" s="1"/>
      <c r="AF2" s="1"/>
      <c r="AG2" s="1"/>
      <c r="AH2" s="1"/>
      <c r="AI2" s="1"/>
      <c r="AJ2" s="1" t="s">
        <v>115</v>
      </c>
      <c r="AK2" s="1" t="s">
        <v>116</v>
      </c>
      <c r="AL2" s="1"/>
      <c r="AM2" s="1"/>
      <c r="AN2" s="1"/>
      <c r="AO2" s="1"/>
      <c r="AP2" s="1"/>
      <c r="AQ2" s="1"/>
      <c r="AR2" s="1"/>
      <c r="AS2" s="1"/>
      <c r="AT2" s="1" t="s">
        <v>117</v>
      </c>
      <c r="AU2" s="1" t="s">
        <v>118</v>
      </c>
      <c r="AV2" s="1"/>
      <c r="AW2" s="1"/>
      <c r="AX2" s="1"/>
      <c r="AY2" s="1" t="s">
        <v>119</v>
      </c>
      <c r="AZ2" s="1" t="s">
        <v>120</v>
      </c>
      <c r="BA2" s="1" t="s">
        <v>121</v>
      </c>
      <c r="BB2" s="1"/>
      <c r="BC2" s="1"/>
      <c r="BD2" s="1"/>
      <c r="BE2" s="1"/>
      <c r="BF2" s="1"/>
      <c r="BG2" s="1"/>
      <c r="BH2" s="1"/>
      <c r="BI2" s="1"/>
      <c r="BJ2" s="1"/>
      <c r="BK2" s="1"/>
      <c r="BL2" s="1" t="s">
        <v>122</v>
      </c>
      <c r="BM2" s="1" t="s">
        <v>123</v>
      </c>
      <c r="BN2" s="1" t="s">
        <v>124</v>
      </c>
      <c r="BO2" s="1"/>
      <c r="BP2" s="1"/>
      <c r="BQ2" s="1"/>
      <c r="BR2" s="1"/>
      <c r="BS2" s="1"/>
      <c r="BT2" s="1"/>
      <c r="BU2" s="1"/>
      <c r="BV2" s="1" t="s">
        <v>125</v>
      </c>
      <c r="BW2" s="1" t="s">
        <v>126</v>
      </c>
      <c r="BX2" s="1" t="s">
        <v>127</v>
      </c>
      <c r="BY2" s="1" t="s">
        <v>128</v>
      </c>
      <c r="BZ2" s="1" t="s">
        <v>129</v>
      </c>
      <c r="CA2" s="1" t="s">
        <v>130</v>
      </c>
      <c r="CB2" s="1" t="s">
        <v>131</v>
      </c>
      <c r="CC2" s="1" t="s">
        <v>132</v>
      </c>
      <c r="CD2" s="1" t="s">
        <v>133</v>
      </c>
      <c r="CE2" s="1" t="s">
        <v>134</v>
      </c>
      <c r="CF2" s="1" t="s">
        <v>135</v>
      </c>
      <c r="CG2" s="1" t="s">
        <v>136</v>
      </c>
      <c r="CH2" s="1" t="s">
        <v>137</v>
      </c>
      <c r="CI2" s="1" t="s">
        <v>138</v>
      </c>
      <c r="CJ2" s="1" t="s">
        <v>139</v>
      </c>
      <c r="CK2" s="1" t="s">
        <v>140</v>
      </c>
      <c r="CL2" s="1" t="s">
        <v>141</v>
      </c>
      <c r="CM2" s="1" t="s">
        <v>142</v>
      </c>
      <c r="CN2" s="1" t="s">
        <v>143</v>
      </c>
      <c r="CO2" s="1" t="s">
        <v>144</v>
      </c>
      <c r="CP2" s="1" t="s">
        <v>145</v>
      </c>
      <c r="CQ2" s="1" t="s">
        <v>146</v>
      </c>
      <c r="CR2" s="1" t="s">
        <v>147</v>
      </c>
      <c r="CS2" s="1" t="s">
        <v>148</v>
      </c>
      <c r="CT2" s="1" t="s">
        <v>149</v>
      </c>
      <c r="CU2" s="1" t="s">
        <v>150</v>
      </c>
      <c r="CV2" s="1" t="s">
        <v>151</v>
      </c>
      <c r="CW2" s="1" t="s">
        <v>152</v>
      </c>
      <c r="CX2" s="1" t="s">
        <v>153</v>
      </c>
      <c r="CY2" s="1" t="s">
        <v>154</v>
      </c>
      <c r="CZ2" s="1" t="s">
        <v>155</v>
      </c>
      <c r="DA2" s="1" t="s">
        <v>156</v>
      </c>
      <c r="DB2" s="1" t="s">
        <v>152</v>
      </c>
      <c r="DC2" s="1" t="s">
        <v>157</v>
      </c>
    </row>
    <row r="3" spans="1:107" ht="15.75" customHeight="1" x14ac:dyDescent="0.25">
      <c r="A3" s="1" t="b">
        <v>1</v>
      </c>
      <c r="B3" s="3">
        <v>46165.302349537036</v>
      </c>
      <c r="C3" s="1" t="s">
        <v>602</v>
      </c>
      <c r="D3" s="1" t="s">
        <v>391</v>
      </c>
      <c r="E3" s="4">
        <f t="shared" ref="E3:K3" si="0">IF(ISNUMBER(SEARCH(E$1,$D3)), SEARCH(E$1,$D3), 0)</f>
        <v>1</v>
      </c>
      <c r="F3" s="4">
        <f t="shared" si="0"/>
        <v>30</v>
      </c>
      <c r="G3" s="4">
        <f t="shared" si="0"/>
        <v>105</v>
      </c>
      <c r="H3" s="4">
        <f t="shared" si="0"/>
        <v>161</v>
      </c>
      <c r="I3" s="4">
        <f t="shared" si="0"/>
        <v>199</v>
      </c>
      <c r="J3" s="4">
        <f t="shared" si="0"/>
        <v>231</v>
      </c>
      <c r="K3" s="4">
        <f t="shared" si="0"/>
        <v>268</v>
      </c>
      <c r="L3" s="4">
        <f t="shared" ref="L3:L135" si="1">(MAX(E3:K3))</f>
        <v>268</v>
      </c>
      <c r="N3" s="1" t="s">
        <v>505</v>
      </c>
      <c r="O3" s="4">
        <f t="shared" ref="O3:T3" si="2">IF(ISNUMBER(SEARCH(O$1,$N3)), 1, 0)</f>
        <v>1</v>
      </c>
      <c r="P3" s="4">
        <f t="shared" si="2"/>
        <v>1</v>
      </c>
      <c r="Q3" s="4">
        <f t="shared" si="2"/>
        <v>0</v>
      </c>
      <c r="R3" s="4">
        <f t="shared" si="2"/>
        <v>1</v>
      </c>
      <c r="S3" s="4">
        <f t="shared" si="2"/>
        <v>1</v>
      </c>
      <c r="T3" s="4">
        <f t="shared" si="2"/>
        <v>1</v>
      </c>
      <c r="W3" s="1" t="str">
        <f t="shared" ref="W3:AA12" si="3">IF(W$1=$V3, "True", "False")</f>
        <v>False</v>
      </c>
      <c r="X3" s="1" t="str">
        <f t="shared" si="3"/>
        <v>False</v>
      </c>
      <c r="Y3" s="1" t="str">
        <f t="shared" si="3"/>
        <v>False</v>
      </c>
      <c r="Z3" s="1" t="str">
        <f t="shared" si="3"/>
        <v>False</v>
      </c>
      <c r="AA3" s="1" t="str">
        <f t="shared" si="3"/>
        <v>False</v>
      </c>
      <c r="AB3" s="1" t="s">
        <v>603</v>
      </c>
      <c r="AC3" s="4">
        <f t="shared" ref="AC3:AH3" si="4">IF(ISNUMBER(SEARCH(AC$1,$AB3)), 1, 0)</f>
        <v>1</v>
      </c>
      <c r="AD3" s="4">
        <f t="shared" si="4"/>
        <v>1</v>
      </c>
      <c r="AE3" s="4">
        <f t="shared" si="4"/>
        <v>1</v>
      </c>
      <c r="AF3" s="4">
        <f t="shared" si="4"/>
        <v>1</v>
      </c>
      <c r="AG3" s="4">
        <f t="shared" si="4"/>
        <v>0</v>
      </c>
      <c r="AH3" s="4">
        <f t="shared" si="4"/>
        <v>1</v>
      </c>
      <c r="AI3" s="1">
        <f t="shared" ref="AI3:AI135" si="5">SUM(AC3:AH3)</f>
        <v>5</v>
      </c>
      <c r="AK3" s="1" t="s">
        <v>604</v>
      </c>
      <c r="AL3" s="4">
        <f t="shared" ref="AL3:AS3" si="6">IF(ISNUMBER(SEARCH(AL$1,$AK3)), 1, 0)</f>
        <v>1</v>
      </c>
      <c r="AM3" s="4">
        <f t="shared" si="6"/>
        <v>1</v>
      </c>
      <c r="AN3" s="4">
        <f t="shared" si="6"/>
        <v>1</v>
      </c>
      <c r="AO3" s="4">
        <f t="shared" si="6"/>
        <v>1</v>
      </c>
      <c r="AP3" s="4">
        <f t="shared" si="6"/>
        <v>1</v>
      </c>
      <c r="AQ3" s="4">
        <f t="shared" si="6"/>
        <v>1</v>
      </c>
      <c r="AR3" s="4">
        <f t="shared" si="6"/>
        <v>1</v>
      </c>
      <c r="AS3" s="4">
        <f t="shared" si="6"/>
        <v>1</v>
      </c>
      <c r="AU3" s="1" t="s">
        <v>48</v>
      </c>
      <c r="AV3" s="1">
        <f t="shared" ref="AV3:AV135" si="7">IF($AU3="No",1,0)</f>
        <v>0</v>
      </c>
      <c r="AW3" s="1">
        <f t="shared" ref="AW3:AW135" si="8">IF($AU3="Yes",1,0)</f>
        <v>1</v>
      </c>
      <c r="AX3" s="1">
        <f t="shared" ref="AX3:AX135" si="9">IF($AU3="Unsure",1,0)</f>
        <v>0</v>
      </c>
      <c r="AY3" s="1" t="s">
        <v>48</v>
      </c>
      <c r="BA3" s="1" t="s">
        <v>605</v>
      </c>
      <c r="BB3" s="4">
        <f t="shared" ref="BB3:BJ3" si="10">IF(ISNUMBER(SEARCH(BB$1,$BA3)), 1, 0)</f>
        <v>1</v>
      </c>
      <c r="BC3" s="4">
        <f t="shared" si="10"/>
        <v>1</v>
      </c>
      <c r="BD3" s="4">
        <f t="shared" si="10"/>
        <v>1</v>
      </c>
      <c r="BE3" s="4">
        <f t="shared" si="10"/>
        <v>1</v>
      </c>
      <c r="BF3" s="4">
        <f t="shared" si="10"/>
        <v>1</v>
      </c>
      <c r="BG3" s="4">
        <f t="shared" si="10"/>
        <v>1</v>
      </c>
      <c r="BH3" s="4">
        <f t="shared" si="10"/>
        <v>1</v>
      </c>
      <c r="BI3" s="4">
        <f t="shared" si="10"/>
        <v>1</v>
      </c>
      <c r="BJ3" s="4">
        <f t="shared" si="10"/>
        <v>1</v>
      </c>
      <c r="BK3" s="4">
        <f t="shared" ref="BK3:BK135" si="11">SUM(BB3:BJ3)</f>
        <v>9</v>
      </c>
      <c r="BO3" s="4">
        <f t="shared" ref="BO3:BU3" si="12">IF(ISNUMBER(SEARCH(BO$1,$BN3)), 1, 0)</f>
        <v>0</v>
      </c>
      <c r="BP3" s="4">
        <f t="shared" si="12"/>
        <v>0</v>
      </c>
      <c r="BQ3" s="4">
        <f t="shared" si="12"/>
        <v>0</v>
      </c>
      <c r="BR3" s="4">
        <f t="shared" si="12"/>
        <v>0</v>
      </c>
      <c r="BS3" s="4">
        <f t="shared" si="12"/>
        <v>0</v>
      </c>
      <c r="BT3" s="4">
        <f t="shared" si="12"/>
        <v>0</v>
      </c>
      <c r="BU3" s="4">
        <f t="shared" si="12"/>
        <v>0</v>
      </c>
      <c r="BZ3" s="1" t="s">
        <v>171</v>
      </c>
      <c r="CB3" s="1" t="s">
        <v>48</v>
      </c>
      <c r="CC3" s="1" t="s">
        <v>48</v>
      </c>
      <c r="CD3" s="1" t="s">
        <v>444</v>
      </c>
      <c r="CF3" s="1" t="s">
        <v>606</v>
      </c>
      <c r="CG3" s="1" t="s">
        <v>607</v>
      </c>
      <c r="CH3" s="1" t="s">
        <v>173</v>
      </c>
      <c r="CJ3" s="1" t="s">
        <v>608</v>
      </c>
      <c r="CL3" s="1" t="s">
        <v>352</v>
      </c>
      <c r="CM3" s="1" t="s">
        <v>48</v>
      </c>
      <c r="CN3" s="1" t="s">
        <v>609</v>
      </c>
      <c r="CU3" s="1" t="s">
        <v>178</v>
      </c>
      <c r="DC3" s="1" t="s">
        <v>238</v>
      </c>
    </row>
    <row r="4" spans="1:107" ht="15.75" customHeight="1" x14ac:dyDescent="0.25">
      <c r="A4" s="1" t="b">
        <v>1</v>
      </c>
      <c r="B4" s="3">
        <v>46161.275833333333</v>
      </c>
      <c r="C4" s="1" t="s">
        <v>424</v>
      </c>
      <c r="D4" s="1" t="s">
        <v>425</v>
      </c>
      <c r="E4" s="4">
        <f t="shared" ref="E4:K4" si="13">IF(ISNUMBER(SEARCH(E$1,$D4)), SEARCH(E$1,$D4), 0)</f>
        <v>1</v>
      </c>
      <c r="F4" s="4">
        <f t="shared" si="13"/>
        <v>30</v>
      </c>
      <c r="G4" s="4">
        <f t="shared" si="13"/>
        <v>105</v>
      </c>
      <c r="H4" s="4">
        <f t="shared" si="13"/>
        <v>161</v>
      </c>
      <c r="I4" s="4">
        <f t="shared" si="13"/>
        <v>199</v>
      </c>
      <c r="J4" s="4">
        <f t="shared" si="13"/>
        <v>231</v>
      </c>
      <c r="K4" s="4">
        <f t="shared" si="13"/>
        <v>268</v>
      </c>
      <c r="L4" s="4">
        <f t="shared" si="1"/>
        <v>268</v>
      </c>
      <c r="N4" s="1" t="s">
        <v>323</v>
      </c>
      <c r="O4" s="4">
        <f t="shared" ref="O4:T4" si="14">IF(ISNUMBER(SEARCH(O$1,$N4)), 1, 0)</f>
        <v>1</v>
      </c>
      <c r="P4" s="4">
        <f t="shared" si="14"/>
        <v>1</v>
      </c>
      <c r="Q4" s="4">
        <f t="shared" si="14"/>
        <v>1</v>
      </c>
      <c r="R4" s="4">
        <f t="shared" si="14"/>
        <v>1</v>
      </c>
      <c r="S4" s="4">
        <f t="shared" si="14"/>
        <v>0</v>
      </c>
      <c r="T4" s="4">
        <f t="shared" si="14"/>
        <v>1</v>
      </c>
      <c r="V4" s="1" t="s">
        <v>22</v>
      </c>
      <c r="W4" s="1" t="str">
        <f t="shared" si="3"/>
        <v>True</v>
      </c>
      <c r="X4" s="1" t="str">
        <f t="shared" si="3"/>
        <v>False</v>
      </c>
      <c r="Y4" s="1" t="str">
        <f t="shared" si="3"/>
        <v>False</v>
      </c>
      <c r="Z4" s="1" t="str">
        <f t="shared" si="3"/>
        <v>False</v>
      </c>
      <c r="AA4" s="1" t="str">
        <f t="shared" si="3"/>
        <v>False</v>
      </c>
      <c r="AB4" s="1" t="s">
        <v>183</v>
      </c>
      <c r="AC4" s="4">
        <f t="shared" ref="AC4:AH4" si="15">IF(ISNUMBER(SEARCH(AC$1,$AB4)), 1, 0)</f>
        <v>0</v>
      </c>
      <c r="AD4" s="4">
        <f t="shared" si="15"/>
        <v>0</v>
      </c>
      <c r="AE4" s="4">
        <f t="shared" si="15"/>
        <v>0</v>
      </c>
      <c r="AF4" s="4">
        <f t="shared" si="15"/>
        <v>0</v>
      </c>
      <c r="AG4" s="4">
        <f t="shared" si="15"/>
        <v>0</v>
      </c>
      <c r="AH4" s="4">
        <f t="shared" si="15"/>
        <v>0</v>
      </c>
      <c r="AI4" s="1">
        <f t="shared" si="5"/>
        <v>0</v>
      </c>
      <c r="AJ4" s="1" t="s">
        <v>426</v>
      </c>
      <c r="AK4" s="1" t="s">
        <v>427</v>
      </c>
      <c r="AL4" s="4">
        <f t="shared" ref="AL4:AS4" si="16">IF(ISNUMBER(SEARCH(AL$1,$AK4)), 1, 0)</f>
        <v>0</v>
      </c>
      <c r="AM4" s="4">
        <f t="shared" si="16"/>
        <v>1</v>
      </c>
      <c r="AN4" s="4">
        <f t="shared" si="16"/>
        <v>1</v>
      </c>
      <c r="AO4" s="4">
        <f t="shared" si="16"/>
        <v>1</v>
      </c>
      <c r="AP4" s="4">
        <f t="shared" si="16"/>
        <v>0</v>
      </c>
      <c r="AQ4" s="4">
        <f t="shared" si="16"/>
        <v>1</v>
      </c>
      <c r="AR4" s="4">
        <f t="shared" si="16"/>
        <v>1</v>
      </c>
      <c r="AS4" s="4">
        <f t="shared" si="16"/>
        <v>1</v>
      </c>
      <c r="AU4" s="1" t="s">
        <v>48</v>
      </c>
      <c r="AV4" s="1">
        <f t="shared" si="7"/>
        <v>0</v>
      </c>
      <c r="AW4" s="1">
        <f t="shared" si="8"/>
        <v>1</v>
      </c>
      <c r="AX4" s="1">
        <f t="shared" si="9"/>
        <v>0</v>
      </c>
      <c r="AY4" s="1" t="s">
        <v>47</v>
      </c>
      <c r="AZ4" s="1" t="s">
        <v>47</v>
      </c>
      <c r="BA4" s="1" t="s">
        <v>428</v>
      </c>
      <c r="BB4" s="4">
        <f t="shared" ref="BB4:BJ4" si="17">IF(ISNUMBER(SEARCH(BB$1,$BA4)), 1, 0)</f>
        <v>0</v>
      </c>
      <c r="BC4" s="4">
        <f t="shared" si="17"/>
        <v>0</v>
      </c>
      <c r="BD4" s="4">
        <f t="shared" si="17"/>
        <v>0</v>
      </c>
      <c r="BE4" s="4">
        <f t="shared" si="17"/>
        <v>0</v>
      </c>
      <c r="BF4" s="4">
        <f t="shared" si="17"/>
        <v>0</v>
      </c>
      <c r="BG4" s="4">
        <f t="shared" si="17"/>
        <v>0</v>
      </c>
      <c r="BH4" s="4">
        <f t="shared" si="17"/>
        <v>1</v>
      </c>
      <c r="BI4" s="4">
        <f t="shared" si="17"/>
        <v>1</v>
      </c>
      <c r="BJ4" s="4">
        <f t="shared" si="17"/>
        <v>1</v>
      </c>
      <c r="BK4" s="4">
        <f t="shared" si="11"/>
        <v>3</v>
      </c>
      <c r="BO4" s="4">
        <f t="shared" ref="BO4:BU4" si="18">IF(ISNUMBER(SEARCH(BO$1,$BN4)), 1, 0)</f>
        <v>0</v>
      </c>
      <c r="BP4" s="4">
        <f t="shared" si="18"/>
        <v>0</v>
      </c>
      <c r="BQ4" s="4">
        <f t="shared" si="18"/>
        <v>0</v>
      </c>
      <c r="BR4" s="4">
        <f t="shared" si="18"/>
        <v>0</v>
      </c>
      <c r="BS4" s="4">
        <f t="shared" si="18"/>
        <v>0</v>
      </c>
      <c r="BT4" s="4">
        <f t="shared" si="18"/>
        <v>0</v>
      </c>
      <c r="BU4" s="4">
        <f t="shared" si="18"/>
        <v>0</v>
      </c>
      <c r="BY4" s="1" t="s">
        <v>429</v>
      </c>
      <c r="BZ4" s="1" t="s">
        <v>183</v>
      </c>
      <c r="CA4" s="1" t="s">
        <v>430</v>
      </c>
      <c r="CB4" s="1" t="s">
        <v>48</v>
      </c>
      <c r="CC4" s="1" t="s">
        <v>47</v>
      </c>
      <c r="CD4" s="1" t="s">
        <v>431</v>
      </c>
      <c r="CF4" s="1" t="s">
        <v>412</v>
      </c>
      <c r="CG4" s="1" t="s">
        <v>432</v>
      </c>
      <c r="CI4" s="1" t="s">
        <v>433</v>
      </c>
      <c r="CJ4" s="1" t="s">
        <v>434</v>
      </c>
      <c r="CR4" s="1" t="s">
        <v>435</v>
      </c>
      <c r="CT4" s="1" t="s">
        <v>436</v>
      </c>
      <c r="CU4" s="1" t="s">
        <v>214</v>
      </c>
      <c r="CW4" s="1" t="s">
        <v>437</v>
      </c>
    </row>
    <row r="5" spans="1:107" ht="15.75" customHeight="1" x14ac:dyDescent="0.25">
      <c r="A5" s="1" t="b">
        <v>1</v>
      </c>
      <c r="B5" s="3">
        <v>46164.593090277776</v>
      </c>
      <c r="C5" s="1" t="s">
        <v>490</v>
      </c>
      <c r="D5" s="1" t="s">
        <v>243</v>
      </c>
      <c r="E5" s="4">
        <f t="shared" ref="E5:K5" si="19">IF(ISNUMBER(SEARCH(E$1,$D5)), SEARCH(E$1,$D5), 0)</f>
        <v>1</v>
      </c>
      <c r="F5" s="4">
        <f t="shared" si="19"/>
        <v>30</v>
      </c>
      <c r="G5" s="4">
        <f t="shared" si="19"/>
        <v>105</v>
      </c>
      <c r="H5" s="4">
        <f t="shared" si="19"/>
        <v>0</v>
      </c>
      <c r="I5" s="4">
        <f t="shared" si="19"/>
        <v>0</v>
      </c>
      <c r="J5" s="4">
        <f t="shared" si="19"/>
        <v>0</v>
      </c>
      <c r="K5" s="4">
        <f t="shared" si="19"/>
        <v>0</v>
      </c>
      <c r="L5" s="4">
        <f t="shared" si="1"/>
        <v>105</v>
      </c>
      <c r="N5" s="1" t="s">
        <v>187</v>
      </c>
      <c r="O5" s="4">
        <f t="shared" ref="O5:T5" si="20">IF(ISNUMBER(SEARCH(O$1,$N5)), 1, 0)</f>
        <v>1</v>
      </c>
      <c r="P5" s="4">
        <f t="shared" si="20"/>
        <v>1</v>
      </c>
      <c r="Q5" s="4">
        <f t="shared" si="20"/>
        <v>1</v>
      </c>
      <c r="R5" s="4">
        <f t="shared" si="20"/>
        <v>1</v>
      </c>
      <c r="S5" s="4">
        <f t="shared" si="20"/>
        <v>1</v>
      </c>
      <c r="T5" s="4">
        <f t="shared" si="20"/>
        <v>1</v>
      </c>
      <c r="V5" s="1" t="s">
        <v>25</v>
      </c>
      <c r="W5" s="1" t="str">
        <f t="shared" si="3"/>
        <v>False</v>
      </c>
      <c r="X5" s="1" t="str">
        <f t="shared" si="3"/>
        <v>False</v>
      </c>
      <c r="Y5" s="1" t="str">
        <f t="shared" si="3"/>
        <v>False</v>
      </c>
      <c r="Z5" s="1" t="str">
        <f t="shared" si="3"/>
        <v>True</v>
      </c>
      <c r="AA5" s="1" t="str">
        <f t="shared" si="3"/>
        <v>False</v>
      </c>
      <c r="AB5" s="1" t="s">
        <v>491</v>
      </c>
      <c r="AC5" s="4">
        <f t="shared" ref="AC5:AH5" si="21">IF(ISNUMBER(SEARCH(AC$1,$AB5)), 1, 0)</f>
        <v>1</v>
      </c>
      <c r="AD5" s="4">
        <f t="shared" si="21"/>
        <v>0</v>
      </c>
      <c r="AE5" s="4">
        <f t="shared" si="21"/>
        <v>1</v>
      </c>
      <c r="AF5" s="4">
        <f t="shared" si="21"/>
        <v>0</v>
      </c>
      <c r="AG5" s="4">
        <f t="shared" si="21"/>
        <v>1</v>
      </c>
      <c r="AH5" s="4">
        <f t="shared" si="21"/>
        <v>1</v>
      </c>
      <c r="AI5" s="1">
        <f t="shared" si="5"/>
        <v>4</v>
      </c>
      <c r="AK5" s="1" t="s">
        <v>492</v>
      </c>
      <c r="AL5" s="4">
        <f t="shared" ref="AL5:AS5" si="22">IF(ISNUMBER(SEARCH(AL$1,$AK5)), 1, 0)</f>
        <v>1</v>
      </c>
      <c r="AM5" s="4">
        <f t="shared" si="22"/>
        <v>1</v>
      </c>
      <c r="AN5" s="4">
        <f t="shared" si="22"/>
        <v>1</v>
      </c>
      <c r="AO5" s="4">
        <f t="shared" si="22"/>
        <v>1</v>
      </c>
      <c r="AP5" s="4">
        <f t="shared" si="22"/>
        <v>1</v>
      </c>
      <c r="AQ5" s="4">
        <f t="shared" si="22"/>
        <v>1</v>
      </c>
      <c r="AR5" s="4">
        <f t="shared" si="22"/>
        <v>1</v>
      </c>
      <c r="AS5" s="4">
        <f t="shared" si="22"/>
        <v>0</v>
      </c>
      <c r="AU5" s="1" t="s">
        <v>49</v>
      </c>
      <c r="AV5" s="1">
        <f t="shared" si="7"/>
        <v>0</v>
      </c>
      <c r="AW5" s="1">
        <f t="shared" si="8"/>
        <v>0</v>
      </c>
      <c r="AX5" s="1">
        <f t="shared" si="9"/>
        <v>1</v>
      </c>
      <c r="AY5" s="1" t="s">
        <v>48</v>
      </c>
      <c r="BA5" s="1" t="s">
        <v>493</v>
      </c>
      <c r="BB5" s="4">
        <f t="shared" ref="BB5:BJ5" si="23">IF(ISNUMBER(SEARCH(BB$1,$BA5)), 1, 0)</f>
        <v>1</v>
      </c>
      <c r="BC5" s="4">
        <f t="shared" si="23"/>
        <v>1</v>
      </c>
      <c r="BD5" s="4">
        <f t="shared" si="23"/>
        <v>1</v>
      </c>
      <c r="BE5" s="4">
        <f t="shared" si="23"/>
        <v>0</v>
      </c>
      <c r="BF5" s="4">
        <f t="shared" si="23"/>
        <v>1</v>
      </c>
      <c r="BG5" s="4">
        <f t="shared" si="23"/>
        <v>0</v>
      </c>
      <c r="BH5" s="4">
        <f t="shared" si="23"/>
        <v>1</v>
      </c>
      <c r="BI5" s="4">
        <f t="shared" si="23"/>
        <v>0</v>
      </c>
      <c r="BJ5" s="4">
        <f t="shared" si="23"/>
        <v>1</v>
      </c>
      <c r="BK5" s="4">
        <f t="shared" si="11"/>
        <v>6</v>
      </c>
      <c r="BM5" s="1" t="s">
        <v>166</v>
      </c>
      <c r="BN5" s="1" t="s">
        <v>494</v>
      </c>
      <c r="BO5" s="4">
        <f t="shared" ref="BO5:BU5" si="24">IF(ISNUMBER(SEARCH(BO$1,$BN5)), 1, 0)</f>
        <v>1</v>
      </c>
      <c r="BP5" s="4">
        <f t="shared" si="24"/>
        <v>0</v>
      </c>
      <c r="BQ5" s="4">
        <f t="shared" si="24"/>
        <v>1</v>
      </c>
      <c r="BR5" s="4">
        <f t="shared" si="24"/>
        <v>1</v>
      </c>
      <c r="BS5" s="4">
        <f t="shared" si="24"/>
        <v>1</v>
      </c>
      <c r="BT5" s="4">
        <f t="shared" si="24"/>
        <v>0</v>
      </c>
      <c r="BU5" s="4">
        <f t="shared" si="24"/>
        <v>0</v>
      </c>
      <c r="CU5" s="1" t="s">
        <v>178</v>
      </c>
      <c r="CW5" s="1" t="s">
        <v>495</v>
      </c>
      <c r="CX5" s="1" t="s">
        <v>496</v>
      </c>
      <c r="CZ5" s="1" t="s">
        <v>497</v>
      </c>
      <c r="DB5" s="1" t="s">
        <v>498</v>
      </c>
      <c r="DC5" s="1" t="s">
        <v>238</v>
      </c>
    </row>
    <row r="6" spans="1:107" ht="15.75" customHeight="1" x14ac:dyDescent="0.25">
      <c r="A6" s="1" t="b">
        <v>1</v>
      </c>
      <c r="B6" s="3">
        <v>46151.311597222222</v>
      </c>
      <c r="C6" s="1" t="s">
        <v>242</v>
      </c>
      <c r="D6" s="1" t="s">
        <v>243</v>
      </c>
      <c r="E6" s="4">
        <f t="shared" ref="E6:K6" si="25">IF(ISNUMBER(SEARCH(E$1,$D6)), SEARCH(E$1,$D6), 0)</f>
        <v>1</v>
      </c>
      <c r="F6" s="4">
        <f t="shared" si="25"/>
        <v>30</v>
      </c>
      <c r="G6" s="4">
        <f t="shared" si="25"/>
        <v>105</v>
      </c>
      <c r="H6" s="4">
        <f t="shared" si="25"/>
        <v>0</v>
      </c>
      <c r="I6" s="4">
        <f t="shared" si="25"/>
        <v>0</v>
      </c>
      <c r="J6" s="4">
        <f t="shared" si="25"/>
        <v>0</v>
      </c>
      <c r="K6" s="4">
        <f t="shared" si="25"/>
        <v>0</v>
      </c>
      <c r="L6" s="4">
        <f t="shared" si="1"/>
        <v>105</v>
      </c>
      <c r="N6" s="1" t="s">
        <v>244</v>
      </c>
      <c r="O6" s="4">
        <f t="shared" ref="O6:T6" si="26">IF(ISNUMBER(SEARCH(O$1,$N6)), 1, 0)</f>
        <v>1</v>
      </c>
      <c r="P6" s="4">
        <f t="shared" si="26"/>
        <v>0</v>
      </c>
      <c r="Q6" s="4">
        <f t="shared" si="26"/>
        <v>1</v>
      </c>
      <c r="R6" s="4">
        <f t="shared" si="26"/>
        <v>1</v>
      </c>
      <c r="S6" s="4">
        <f t="shared" si="26"/>
        <v>0</v>
      </c>
      <c r="T6" s="4">
        <f t="shared" si="26"/>
        <v>0</v>
      </c>
      <c r="V6" s="1" t="s">
        <v>25</v>
      </c>
      <c r="W6" s="1" t="str">
        <f t="shared" si="3"/>
        <v>False</v>
      </c>
      <c r="X6" s="1" t="str">
        <f t="shared" si="3"/>
        <v>False</v>
      </c>
      <c r="Y6" s="1" t="str">
        <f t="shared" si="3"/>
        <v>False</v>
      </c>
      <c r="Z6" s="1" t="str">
        <f t="shared" si="3"/>
        <v>True</v>
      </c>
      <c r="AA6" s="1" t="str">
        <f t="shared" si="3"/>
        <v>False</v>
      </c>
      <c r="AB6" s="1" t="s">
        <v>245</v>
      </c>
      <c r="AC6" s="4">
        <f t="shared" ref="AC6:AH6" si="27">IF(ISNUMBER(SEARCH(AC$1,$AB6)), 1, 0)</f>
        <v>1</v>
      </c>
      <c r="AD6" s="4">
        <f t="shared" si="27"/>
        <v>0</v>
      </c>
      <c r="AE6" s="4">
        <f t="shared" si="27"/>
        <v>0</v>
      </c>
      <c r="AF6" s="4">
        <f t="shared" si="27"/>
        <v>1</v>
      </c>
      <c r="AG6" s="4">
        <f t="shared" si="27"/>
        <v>0</v>
      </c>
      <c r="AH6" s="4">
        <f t="shared" si="27"/>
        <v>0</v>
      </c>
      <c r="AI6" s="1">
        <f t="shared" si="5"/>
        <v>2</v>
      </c>
      <c r="AK6" s="1" t="s">
        <v>246</v>
      </c>
      <c r="AL6" s="4">
        <f t="shared" ref="AL6:AS6" si="28">IF(ISNUMBER(SEARCH(AL$1,$AK6)), 1, 0)</f>
        <v>1</v>
      </c>
      <c r="AM6" s="4">
        <f t="shared" si="28"/>
        <v>1</v>
      </c>
      <c r="AN6" s="4">
        <f t="shared" si="28"/>
        <v>0</v>
      </c>
      <c r="AO6" s="4">
        <f t="shared" si="28"/>
        <v>1</v>
      </c>
      <c r="AP6" s="4">
        <f t="shared" si="28"/>
        <v>0</v>
      </c>
      <c r="AQ6" s="4">
        <f t="shared" si="28"/>
        <v>1</v>
      </c>
      <c r="AR6" s="4">
        <f t="shared" si="28"/>
        <v>0</v>
      </c>
      <c r="AS6" s="4">
        <f t="shared" si="28"/>
        <v>0</v>
      </c>
      <c r="AU6" s="1" t="s">
        <v>47</v>
      </c>
      <c r="AV6" s="1">
        <f t="shared" si="7"/>
        <v>1</v>
      </c>
      <c r="AW6" s="1">
        <f t="shared" si="8"/>
        <v>0</v>
      </c>
      <c r="AX6" s="1">
        <f t="shared" si="9"/>
        <v>0</v>
      </c>
      <c r="AY6" s="1" t="s">
        <v>48</v>
      </c>
      <c r="BA6" s="1" t="s">
        <v>247</v>
      </c>
      <c r="BB6" s="4">
        <f t="shared" ref="BB6:BJ6" si="29">IF(ISNUMBER(SEARCH(BB$1,$BA6)), 1, 0)</f>
        <v>1</v>
      </c>
      <c r="BC6" s="4">
        <f t="shared" si="29"/>
        <v>1</v>
      </c>
      <c r="BD6" s="4">
        <f t="shared" si="29"/>
        <v>1</v>
      </c>
      <c r="BE6" s="4">
        <f t="shared" si="29"/>
        <v>1</v>
      </c>
      <c r="BF6" s="4">
        <f t="shared" si="29"/>
        <v>1</v>
      </c>
      <c r="BG6" s="4">
        <f t="shared" si="29"/>
        <v>0</v>
      </c>
      <c r="BH6" s="4">
        <f t="shared" si="29"/>
        <v>1</v>
      </c>
      <c r="BI6" s="4">
        <f t="shared" si="29"/>
        <v>0</v>
      </c>
      <c r="BJ6" s="4">
        <f t="shared" si="29"/>
        <v>1</v>
      </c>
      <c r="BK6" s="4">
        <f t="shared" si="11"/>
        <v>7</v>
      </c>
      <c r="BM6" s="1" t="s">
        <v>166</v>
      </c>
      <c r="BN6" s="1" t="s">
        <v>248</v>
      </c>
      <c r="BO6" s="4">
        <f t="shared" ref="BO6:BU6" si="30">IF(ISNUMBER(SEARCH(BO$1,$BN6)), 1, 0)</f>
        <v>0</v>
      </c>
      <c r="BP6" s="4">
        <f t="shared" si="30"/>
        <v>1</v>
      </c>
      <c r="BQ6" s="4">
        <f t="shared" si="30"/>
        <v>1</v>
      </c>
      <c r="BR6" s="4">
        <f t="shared" si="30"/>
        <v>0</v>
      </c>
      <c r="BS6" s="4">
        <f t="shared" si="30"/>
        <v>1</v>
      </c>
      <c r="BT6" s="4">
        <f t="shared" si="30"/>
        <v>0</v>
      </c>
      <c r="BU6" s="4">
        <f t="shared" si="30"/>
        <v>0</v>
      </c>
      <c r="CU6" s="1" t="s">
        <v>236</v>
      </c>
      <c r="CX6" s="1" t="s">
        <v>249</v>
      </c>
      <c r="CZ6" s="1" t="s">
        <v>250</v>
      </c>
      <c r="DC6" s="1" t="s">
        <v>238</v>
      </c>
    </row>
    <row r="7" spans="1:107" ht="15.75" customHeight="1" x14ac:dyDescent="0.25">
      <c r="A7" s="1" t="b">
        <v>0</v>
      </c>
      <c r="B7" s="3">
        <v>46168.581724537034</v>
      </c>
      <c r="C7" s="1" t="s">
        <v>714</v>
      </c>
      <c r="D7" s="1" t="s">
        <v>243</v>
      </c>
      <c r="E7" s="4">
        <f t="shared" ref="E7:K7" si="31">IF(ISNUMBER(SEARCH(E$1,$D7)), SEARCH(E$1,$D7), 0)</f>
        <v>1</v>
      </c>
      <c r="F7" s="4">
        <f t="shared" si="31"/>
        <v>30</v>
      </c>
      <c r="G7" s="4">
        <f t="shared" si="31"/>
        <v>105</v>
      </c>
      <c r="H7" s="4">
        <f t="shared" si="31"/>
        <v>0</v>
      </c>
      <c r="I7" s="4">
        <f t="shared" si="31"/>
        <v>0</v>
      </c>
      <c r="J7" s="4">
        <f t="shared" si="31"/>
        <v>0</v>
      </c>
      <c r="K7" s="4">
        <f t="shared" si="31"/>
        <v>0</v>
      </c>
      <c r="L7" s="4">
        <f t="shared" si="1"/>
        <v>105</v>
      </c>
      <c r="N7" s="1" t="s">
        <v>208</v>
      </c>
      <c r="O7" s="4">
        <f t="shared" ref="O7:T7" si="32">IF(ISNUMBER(SEARCH(O$1,$N7)), 1, 0)</f>
        <v>1</v>
      </c>
      <c r="P7" s="4">
        <f t="shared" si="32"/>
        <v>1</v>
      </c>
      <c r="Q7" s="4">
        <f t="shared" si="32"/>
        <v>0</v>
      </c>
      <c r="R7" s="4">
        <f t="shared" si="32"/>
        <v>1</v>
      </c>
      <c r="S7" s="4">
        <f t="shared" si="32"/>
        <v>0</v>
      </c>
      <c r="T7" s="4">
        <f t="shared" si="32"/>
        <v>0</v>
      </c>
      <c r="W7" s="1" t="str">
        <f t="shared" si="3"/>
        <v>False</v>
      </c>
      <c r="X7" s="1" t="str">
        <f t="shared" si="3"/>
        <v>False</v>
      </c>
      <c r="Y7" s="1" t="str">
        <f t="shared" si="3"/>
        <v>False</v>
      </c>
      <c r="Z7" s="1" t="str">
        <f t="shared" si="3"/>
        <v>False</v>
      </c>
      <c r="AA7" s="1" t="str">
        <f t="shared" si="3"/>
        <v>False</v>
      </c>
      <c r="AB7" s="1" t="s">
        <v>710</v>
      </c>
      <c r="AC7" s="4">
        <f t="shared" ref="AC7:AH7" si="33">IF(ISNUMBER(SEARCH(AC$1,$AB7)), 1, 0)</f>
        <v>0</v>
      </c>
      <c r="AD7" s="4">
        <f t="shared" si="33"/>
        <v>1</v>
      </c>
      <c r="AE7" s="4">
        <f t="shared" si="33"/>
        <v>0</v>
      </c>
      <c r="AF7" s="4">
        <f t="shared" si="33"/>
        <v>0</v>
      </c>
      <c r="AG7" s="4">
        <f t="shared" si="33"/>
        <v>0</v>
      </c>
      <c r="AH7" s="4">
        <f t="shared" si="33"/>
        <v>0</v>
      </c>
      <c r="AI7" s="1">
        <f t="shared" si="5"/>
        <v>1</v>
      </c>
      <c r="AJ7" s="1" t="s">
        <v>715</v>
      </c>
      <c r="AK7" s="1" t="s">
        <v>38</v>
      </c>
      <c r="AL7" s="4">
        <f t="shared" ref="AL7:AS7" si="34">IF(ISNUMBER(SEARCH(AL$1,$AK7)), 1, 0)</f>
        <v>0</v>
      </c>
      <c r="AM7" s="4">
        <f t="shared" si="34"/>
        <v>1</v>
      </c>
      <c r="AN7" s="4">
        <f t="shared" si="34"/>
        <v>0</v>
      </c>
      <c r="AO7" s="4">
        <f t="shared" si="34"/>
        <v>0</v>
      </c>
      <c r="AP7" s="4">
        <f t="shared" si="34"/>
        <v>0</v>
      </c>
      <c r="AQ7" s="4">
        <f t="shared" si="34"/>
        <v>0</v>
      </c>
      <c r="AR7" s="4">
        <f t="shared" si="34"/>
        <v>0</v>
      </c>
      <c r="AS7" s="4">
        <f t="shared" si="34"/>
        <v>0</v>
      </c>
      <c r="AU7" s="1" t="s">
        <v>47</v>
      </c>
      <c r="AV7" s="1">
        <f t="shared" si="7"/>
        <v>1</v>
      </c>
      <c r="AW7" s="1">
        <f t="shared" si="8"/>
        <v>0</v>
      </c>
      <c r="AX7" s="1">
        <f t="shared" si="9"/>
        <v>0</v>
      </c>
      <c r="AY7" s="1" t="s">
        <v>48</v>
      </c>
      <c r="BA7" s="1" t="s">
        <v>716</v>
      </c>
      <c r="BB7" s="4">
        <f t="shared" ref="BB7:BJ7" si="35">IF(ISNUMBER(SEARCH(BB$1,$BA7)), 1, 0)</f>
        <v>1</v>
      </c>
      <c r="BC7" s="4">
        <f t="shared" si="35"/>
        <v>0</v>
      </c>
      <c r="BD7" s="4">
        <f t="shared" si="35"/>
        <v>1</v>
      </c>
      <c r="BE7" s="4">
        <f t="shared" si="35"/>
        <v>1</v>
      </c>
      <c r="BF7" s="4">
        <f t="shared" si="35"/>
        <v>0</v>
      </c>
      <c r="BG7" s="4">
        <f t="shared" si="35"/>
        <v>0</v>
      </c>
      <c r="BH7" s="4">
        <f t="shared" si="35"/>
        <v>0</v>
      </c>
      <c r="BI7" s="4">
        <f t="shared" si="35"/>
        <v>0</v>
      </c>
      <c r="BJ7" s="4">
        <f t="shared" si="35"/>
        <v>0</v>
      </c>
      <c r="BK7" s="4">
        <f t="shared" si="11"/>
        <v>3</v>
      </c>
      <c r="BL7" s="1" t="s">
        <v>717</v>
      </c>
      <c r="BM7" s="1" t="s">
        <v>218</v>
      </c>
      <c r="BN7" s="1" t="s">
        <v>718</v>
      </c>
      <c r="BO7" s="4">
        <f t="shared" ref="BO7:BU7" si="36">IF(ISNUMBER(SEARCH(BO$1,$BN7)), 1, 0)</f>
        <v>1</v>
      </c>
      <c r="BP7" s="4">
        <f t="shared" si="36"/>
        <v>0</v>
      </c>
      <c r="BQ7" s="4">
        <f t="shared" si="36"/>
        <v>1</v>
      </c>
      <c r="BR7" s="4">
        <f t="shared" si="36"/>
        <v>0</v>
      </c>
      <c r="BS7" s="4">
        <f t="shared" si="36"/>
        <v>0</v>
      </c>
      <c r="BT7" s="4">
        <f t="shared" si="36"/>
        <v>1</v>
      </c>
      <c r="BU7" s="4">
        <f t="shared" si="36"/>
        <v>0</v>
      </c>
      <c r="BV7" s="1" t="s">
        <v>719</v>
      </c>
    </row>
    <row r="8" spans="1:107" ht="15.75" customHeight="1" x14ac:dyDescent="0.25">
      <c r="A8" s="1" t="b">
        <v>1</v>
      </c>
      <c r="B8" s="3">
        <v>46151.902384259258</v>
      </c>
      <c r="C8" s="1" t="s">
        <v>270</v>
      </c>
      <c r="D8" s="1" t="s">
        <v>271</v>
      </c>
      <c r="E8" s="4">
        <f t="shared" ref="E8:K8" si="37">IF(ISNUMBER(SEARCH(E$1,$D8)), SEARCH(E$1,$D8), 0)</f>
        <v>1</v>
      </c>
      <c r="F8" s="4">
        <f t="shared" si="37"/>
        <v>30</v>
      </c>
      <c r="G8" s="4">
        <f t="shared" si="37"/>
        <v>105</v>
      </c>
      <c r="H8" s="4">
        <f t="shared" si="37"/>
        <v>0</v>
      </c>
      <c r="I8" s="4">
        <f t="shared" si="37"/>
        <v>0</v>
      </c>
      <c r="J8" s="4">
        <f t="shared" si="37"/>
        <v>161</v>
      </c>
      <c r="K8" s="4">
        <f t="shared" si="37"/>
        <v>0</v>
      </c>
      <c r="L8" s="4">
        <f t="shared" si="1"/>
        <v>161</v>
      </c>
      <c r="N8" s="1" t="s">
        <v>272</v>
      </c>
      <c r="O8" s="4">
        <f t="shared" ref="O8:T8" si="38">IF(ISNUMBER(SEARCH(O$1,$N8)), 1, 0)</f>
        <v>1</v>
      </c>
      <c r="P8" s="4">
        <f t="shared" si="38"/>
        <v>1</v>
      </c>
      <c r="Q8" s="4">
        <f t="shared" si="38"/>
        <v>1</v>
      </c>
      <c r="R8" s="4">
        <f t="shared" si="38"/>
        <v>1</v>
      </c>
      <c r="S8" s="4">
        <f t="shared" si="38"/>
        <v>1</v>
      </c>
      <c r="T8" s="4">
        <f t="shared" si="38"/>
        <v>0</v>
      </c>
      <c r="V8" s="1" t="s">
        <v>24</v>
      </c>
      <c r="W8" s="1" t="str">
        <f t="shared" si="3"/>
        <v>False</v>
      </c>
      <c r="X8" s="1" t="str">
        <f t="shared" si="3"/>
        <v>False</v>
      </c>
      <c r="Y8" s="1" t="str">
        <f t="shared" si="3"/>
        <v>True</v>
      </c>
      <c r="Z8" s="1" t="str">
        <f t="shared" si="3"/>
        <v>False</v>
      </c>
      <c r="AA8" s="1" t="str">
        <f t="shared" si="3"/>
        <v>False</v>
      </c>
      <c r="AB8" s="1" t="s">
        <v>273</v>
      </c>
      <c r="AC8" s="4">
        <f t="shared" ref="AC8:AH8" si="39">IF(ISNUMBER(SEARCH(AC$1,$AB8)), 1, 0)</f>
        <v>0</v>
      </c>
      <c r="AD8" s="4">
        <f t="shared" si="39"/>
        <v>0</v>
      </c>
      <c r="AE8" s="4">
        <f t="shared" si="39"/>
        <v>0</v>
      </c>
      <c r="AF8" s="4">
        <f t="shared" si="39"/>
        <v>0</v>
      </c>
      <c r="AG8" s="4">
        <f t="shared" si="39"/>
        <v>1</v>
      </c>
      <c r="AH8" s="4">
        <f t="shared" si="39"/>
        <v>0</v>
      </c>
      <c r="AI8" s="1">
        <f t="shared" si="5"/>
        <v>1</v>
      </c>
      <c r="AJ8" s="1" t="s">
        <v>274</v>
      </c>
      <c r="AK8" s="1" t="s">
        <v>259</v>
      </c>
      <c r="AL8" s="4">
        <f t="shared" ref="AL8:AS8" si="40">IF(ISNUMBER(SEARCH(AL$1,$AK8)), 1, 0)</f>
        <v>1</v>
      </c>
      <c r="AM8" s="4">
        <f t="shared" si="40"/>
        <v>1</v>
      </c>
      <c r="AN8" s="4">
        <f t="shared" si="40"/>
        <v>0</v>
      </c>
      <c r="AO8" s="4">
        <f t="shared" si="40"/>
        <v>1</v>
      </c>
      <c r="AP8" s="4">
        <f t="shared" si="40"/>
        <v>0</v>
      </c>
      <c r="AQ8" s="4">
        <f t="shared" si="40"/>
        <v>0</v>
      </c>
      <c r="AR8" s="4">
        <f t="shared" si="40"/>
        <v>0</v>
      </c>
      <c r="AS8" s="4">
        <f t="shared" si="40"/>
        <v>0</v>
      </c>
      <c r="AU8" s="1" t="s">
        <v>48</v>
      </c>
      <c r="AV8" s="1">
        <f t="shared" si="7"/>
        <v>0</v>
      </c>
      <c r="AW8" s="1">
        <f t="shared" si="8"/>
        <v>1</v>
      </c>
      <c r="AX8" s="1">
        <f t="shared" si="9"/>
        <v>0</v>
      </c>
      <c r="AY8" s="1" t="s">
        <v>48</v>
      </c>
      <c r="BA8" s="1" t="s">
        <v>275</v>
      </c>
      <c r="BB8" s="4">
        <f t="shared" ref="BB8:BJ8" si="41">IF(ISNUMBER(SEARCH(BB$1,$BA8)), 1, 0)</f>
        <v>0</v>
      </c>
      <c r="BC8" s="4">
        <f t="shared" si="41"/>
        <v>1</v>
      </c>
      <c r="BD8" s="4">
        <f t="shared" si="41"/>
        <v>1</v>
      </c>
      <c r="BE8" s="4">
        <f t="shared" si="41"/>
        <v>1</v>
      </c>
      <c r="BF8" s="4">
        <f t="shared" si="41"/>
        <v>0</v>
      </c>
      <c r="BG8" s="4">
        <f t="shared" si="41"/>
        <v>0</v>
      </c>
      <c r="BH8" s="4">
        <f t="shared" si="41"/>
        <v>1</v>
      </c>
      <c r="BI8" s="4">
        <f t="shared" si="41"/>
        <v>1</v>
      </c>
      <c r="BJ8" s="4">
        <f t="shared" si="41"/>
        <v>1</v>
      </c>
      <c r="BK8" s="4">
        <f t="shared" si="11"/>
        <v>6</v>
      </c>
      <c r="BM8" s="1" t="s">
        <v>166</v>
      </c>
      <c r="BN8" s="1" t="s">
        <v>276</v>
      </c>
      <c r="BO8" s="4">
        <f t="shared" ref="BO8:BU8" si="42">IF(ISNUMBER(SEARCH(BO$1,$BN8)), 1, 0)</f>
        <v>1</v>
      </c>
      <c r="BP8" s="4">
        <f t="shared" si="42"/>
        <v>0</v>
      </c>
      <c r="BQ8" s="4">
        <f t="shared" si="42"/>
        <v>0</v>
      </c>
      <c r="BR8" s="4">
        <f t="shared" si="42"/>
        <v>1</v>
      </c>
      <c r="BS8" s="4">
        <f t="shared" si="42"/>
        <v>1</v>
      </c>
      <c r="BT8" s="4">
        <f t="shared" si="42"/>
        <v>0</v>
      </c>
      <c r="BU8" s="4">
        <f t="shared" si="42"/>
        <v>0</v>
      </c>
      <c r="BW8" s="1" t="s">
        <v>277</v>
      </c>
      <c r="BZ8" s="1" t="s">
        <v>278</v>
      </c>
      <c r="CR8" s="1" t="s">
        <v>178</v>
      </c>
      <c r="CT8" s="1" t="s">
        <v>279</v>
      </c>
      <c r="CU8" s="1" t="s">
        <v>280</v>
      </c>
      <c r="CW8" s="1" t="s">
        <v>281</v>
      </c>
      <c r="CX8" s="1" t="s">
        <v>282</v>
      </c>
      <c r="CZ8" s="1" t="s">
        <v>283</v>
      </c>
      <c r="DB8" s="1" t="s">
        <v>284</v>
      </c>
      <c r="DC8" s="1" t="s">
        <v>180</v>
      </c>
    </row>
    <row r="9" spans="1:107" ht="15.75" customHeight="1" x14ac:dyDescent="0.25">
      <c r="A9" s="1" t="b">
        <v>0</v>
      </c>
      <c r="B9" s="3">
        <v>46152.652453703704</v>
      </c>
      <c r="C9" s="1" t="s">
        <v>295</v>
      </c>
      <c r="D9" s="1" t="s">
        <v>296</v>
      </c>
      <c r="E9" s="4">
        <f t="shared" ref="E9:K9" si="43">IF(ISNUMBER(SEARCH(E$1,$D9)), SEARCH(E$1,$D9), 0)</f>
        <v>1</v>
      </c>
      <c r="F9" s="4">
        <f t="shared" si="43"/>
        <v>30</v>
      </c>
      <c r="G9" s="4">
        <f t="shared" si="43"/>
        <v>105</v>
      </c>
      <c r="H9" s="4">
        <f t="shared" si="43"/>
        <v>161</v>
      </c>
      <c r="I9" s="4">
        <f t="shared" si="43"/>
        <v>199</v>
      </c>
      <c r="J9" s="4">
        <f t="shared" si="43"/>
        <v>231</v>
      </c>
      <c r="K9" s="4">
        <f t="shared" si="43"/>
        <v>0</v>
      </c>
      <c r="L9" s="4">
        <f t="shared" si="1"/>
        <v>231</v>
      </c>
      <c r="N9" s="1" t="s">
        <v>240</v>
      </c>
      <c r="O9" s="4">
        <f t="shared" ref="O9:T9" si="44">IF(ISNUMBER(SEARCH(O$1,$N9)), 1, 0)</f>
        <v>1</v>
      </c>
      <c r="P9" s="4">
        <f t="shared" si="44"/>
        <v>1</v>
      </c>
      <c r="Q9" s="4">
        <f t="shared" si="44"/>
        <v>1</v>
      </c>
      <c r="R9" s="4">
        <f t="shared" si="44"/>
        <v>1</v>
      </c>
      <c r="S9" s="4">
        <f t="shared" si="44"/>
        <v>0</v>
      </c>
      <c r="T9" s="4">
        <f t="shared" si="44"/>
        <v>0</v>
      </c>
      <c r="V9" s="1" t="s">
        <v>24</v>
      </c>
      <c r="W9" s="1" t="str">
        <f t="shared" si="3"/>
        <v>False</v>
      </c>
      <c r="X9" s="1" t="str">
        <f t="shared" si="3"/>
        <v>False</v>
      </c>
      <c r="Y9" s="1" t="str">
        <f t="shared" si="3"/>
        <v>True</v>
      </c>
      <c r="Z9" s="1" t="str">
        <f t="shared" si="3"/>
        <v>False</v>
      </c>
      <c r="AA9" s="1" t="str">
        <f t="shared" si="3"/>
        <v>False</v>
      </c>
      <c r="AB9" s="1" t="s">
        <v>33</v>
      </c>
      <c r="AC9" s="4">
        <f t="shared" ref="AC9:AH9" si="45">IF(ISNUMBER(SEARCH(AC$1,$AB9)), 1, 0)</f>
        <v>0</v>
      </c>
      <c r="AD9" s="4">
        <f t="shared" si="45"/>
        <v>0</v>
      </c>
      <c r="AE9" s="4">
        <f t="shared" si="45"/>
        <v>0</v>
      </c>
      <c r="AF9" s="4">
        <f t="shared" si="45"/>
        <v>0</v>
      </c>
      <c r="AG9" s="4">
        <f t="shared" si="45"/>
        <v>0</v>
      </c>
      <c r="AH9" s="4">
        <f t="shared" si="45"/>
        <v>1</v>
      </c>
      <c r="AI9" s="1">
        <f t="shared" si="5"/>
        <v>1</v>
      </c>
      <c r="AJ9" s="1"/>
      <c r="AK9" s="1" t="s">
        <v>38</v>
      </c>
      <c r="AL9" s="4">
        <f t="shared" ref="AL9:AS9" si="46">IF(ISNUMBER(SEARCH(AL$1,$AK9)), 1, 0)</f>
        <v>0</v>
      </c>
      <c r="AM9" s="4">
        <f t="shared" si="46"/>
        <v>1</v>
      </c>
      <c r="AN9" s="4">
        <f t="shared" si="46"/>
        <v>0</v>
      </c>
      <c r="AO9" s="4">
        <f t="shared" si="46"/>
        <v>0</v>
      </c>
      <c r="AP9" s="4">
        <f t="shared" si="46"/>
        <v>0</v>
      </c>
      <c r="AQ9" s="4">
        <f t="shared" si="46"/>
        <v>0</v>
      </c>
      <c r="AR9" s="4">
        <f t="shared" si="46"/>
        <v>0</v>
      </c>
      <c r="AS9" s="4">
        <f t="shared" si="46"/>
        <v>0</v>
      </c>
      <c r="AU9" s="1" t="s">
        <v>48</v>
      </c>
      <c r="AV9" s="1">
        <f t="shared" si="7"/>
        <v>0</v>
      </c>
      <c r="AW9" s="1">
        <f t="shared" si="8"/>
        <v>1</v>
      </c>
      <c r="AX9" s="1">
        <f t="shared" si="9"/>
        <v>0</v>
      </c>
      <c r="AY9" s="1" t="s">
        <v>48</v>
      </c>
      <c r="BA9" s="1" t="s">
        <v>297</v>
      </c>
      <c r="BB9" s="4">
        <f t="shared" ref="BB9:BJ9" si="47">IF(ISNUMBER(SEARCH(BB$1,$BA9)), 1, 0)</f>
        <v>1</v>
      </c>
      <c r="BC9" s="4">
        <f t="shared" si="47"/>
        <v>0</v>
      </c>
      <c r="BD9" s="4">
        <f t="shared" si="47"/>
        <v>1</v>
      </c>
      <c r="BE9" s="4">
        <f t="shared" si="47"/>
        <v>0</v>
      </c>
      <c r="BF9" s="4">
        <f t="shared" si="47"/>
        <v>1</v>
      </c>
      <c r="BG9" s="4">
        <f t="shared" si="47"/>
        <v>1</v>
      </c>
      <c r="BH9" s="4">
        <f t="shared" si="47"/>
        <v>0</v>
      </c>
      <c r="BI9" s="4">
        <f t="shared" si="47"/>
        <v>0</v>
      </c>
      <c r="BJ9" s="4">
        <f t="shared" si="47"/>
        <v>1</v>
      </c>
      <c r="BK9" s="4">
        <f t="shared" si="11"/>
        <v>5</v>
      </c>
      <c r="BM9" s="1" t="s">
        <v>190</v>
      </c>
      <c r="BN9" s="1" t="s">
        <v>298</v>
      </c>
      <c r="BO9" s="4">
        <f t="shared" ref="BO9:BU9" si="48">IF(ISNUMBER(SEARCH(BO$1,$BN9)), 1, 0)</f>
        <v>0</v>
      </c>
      <c r="BP9" s="4">
        <f t="shared" si="48"/>
        <v>0</v>
      </c>
      <c r="BQ9" s="4">
        <f t="shared" si="48"/>
        <v>0</v>
      </c>
      <c r="BR9" s="4">
        <f t="shared" si="48"/>
        <v>1</v>
      </c>
      <c r="BS9" s="4">
        <f t="shared" si="48"/>
        <v>1</v>
      </c>
      <c r="BT9" s="4">
        <f t="shared" si="48"/>
        <v>0</v>
      </c>
      <c r="BU9" s="4">
        <f t="shared" si="48"/>
        <v>1</v>
      </c>
      <c r="BV9" s="1" t="s">
        <v>299</v>
      </c>
      <c r="BY9" s="1" t="s">
        <v>300</v>
      </c>
    </row>
    <row r="10" spans="1:107" ht="15.75" customHeight="1" x14ac:dyDescent="0.25">
      <c r="A10" s="1" t="b">
        <v>1</v>
      </c>
      <c r="B10" s="3">
        <v>46161.533495370371</v>
      </c>
      <c r="C10" s="1" t="s">
        <v>442</v>
      </c>
      <c r="D10" s="1" t="s">
        <v>425</v>
      </c>
      <c r="E10" s="4">
        <f t="shared" ref="E10:K10" si="49">IF(ISNUMBER(SEARCH(E$1,$D10)), SEARCH(E$1,$D10), 0)</f>
        <v>1</v>
      </c>
      <c r="F10" s="4">
        <f t="shared" si="49"/>
        <v>30</v>
      </c>
      <c r="G10" s="4">
        <f t="shared" si="49"/>
        <v>105</v>
      </c>
      <c r="H10" s="4">
        <f t="shared" si="49"/>
        <v>161</v>
      </c>
      <c r="I10" s="4">
        <f t="shared" si="49"/>
        <v>199</v>
      </c>
      <c r="J10" s="4">
        <f t="shared" si="49"/>
        <v>231</v>
      </c>
      <c r="K10" s="4">
        <f t="shared" si="49"/>
        <v>268</v>
      </c>
      <c r="L10" s="4">
        <f t="shared" si="1"/>
        <v>268</v>
      </c>
      <c r="O10" s="4">
        <f t="shared" ref="O10:T10" si="50">IF(ISNUMBER(SEARCH(O$1,$N10)), 1, 0)</f>
        <v>0</v>
      </c>
      <c r="P10" s="4">
        <f t="shared" si="50"/>
        <v>0</v>
      </c>
      <c r="Q10" s="4">
        <f t="shared" si="50"/>
        <v>0</v>
      </c>
      <c r="R10" s="4">
        <f t="shared" si="50"/>
        <v>0</v>
      </c>
      <c r="S10" s="4">
        <f t="shared" si="50"/>
        <v>0</v>
      </c>
      <c r="T10" s="4">
        <f t="shared" si="50"/>
        <v>0</v>
      </c>
      <c r="W10" s="1" t="str">
        <f t="shared" si="3"/>
        <v>False</v>
      </c>
      <c r="X10" s="1" t="str">
        <f t="shared" si="3"/>
        <v>False</v>
      </c>
      <c r="Y10" s="1" t="str">
        <f t="shared" si="3"/>
        <v>False</v>
      </c>
      <c r="Z10" s="1" t="str">
        <f t="shared" si="3"/>
        <v>False</v>
      </c>
      <c r="AA10" s="1" t="str">
        <f t="shared" si="3"/>
        <v>False</v>
      </c>
      <c r="AB10" s="1" t="s">
        <v>443</v>
      </c>
      <c r="AC10" s="4">
        <f t="shared" ref="AC10:AH10" si="51">IF(ISNUMBER(SEARCH(AC$1,$AB10)), 1, 0)</f>
        <v>0</v>
      </c>
      <c r="AD10" s="4">
        <f t="shared" si="51"/>
        <v>1</v>
      </c>
      <c r="AE10" s="4">
        <f t="shared" si="51"/>
        <v>1</v>
      </c>
      <c r="AF10" s="4">
        <f t="shared" si="51"/>
        <v>1</v>
      </c>
      <c r="AG10" s="4">
        <f t="shared" si="51"/>
        <v>0</v>
      </c>
      <c r="AH10" s="4">
        <f t="shared" si="51"/>
        <v>1</v>
      </c>
      <c r="AI10" s="1">
        <f t="shared" si="5"/>
        <v>4</v>
      </c>
      <c r="AL10" s="4">
        <f t="shared" ref="AL10:AS10" si="52">IF(ISNUMBER(SEARCH(AL$1,$AK10)), 1, 0)</f>
        <v>0</v>
      </c>
      <c r="AM10" s="4">
        <f t="shared" si="52"/>
        <v>0</v>
      </c>
      <c r="AN10" s="4">
        <f t="shared" si="52"/>
        <v>0</v>
      </c>
      <c r="AO10" s="4">
        <f t="shared" si="52"/>
        <v>0</v>
      </c>
      <c r="AP10" s="4">
        <f t="shared" si="52"/>
        <v>0</v>
      </c>
      <c r="AQ10" s="4">
        <f t="shared" si="52"/>
        <v>0</v>
      </c>
      <c r="AR10" s="4">
        <f t="shared" si="52"/>
        <v>0</v>
      </c>
      <c r="AS10" s="4">
        <f t="shared" si="52"/>
        <v>0</v>
      </c>
      <c r="AV10" s="1">
        <f t="shared" si="7"/>
        <v>0</v>
      </c>
      <c r="AW10" s="1">
        <f t="shared" si="8"/>
        <v>0</v>
      </c>
      <c r="AX10" s="1">
        <f t="shared" si="9"/>
        <v>0</v>
      </c>
      <c r="BB10" s="4">
        <f t="shared" ref="BB10:BJ10" si="53">IF(ISNUMBER(SEARCH(BB$1,$BA10)), 1, 0)</f>
        <v>0</v>
      </c>
      <c r="BC10" s="4">
        <f t="shared" si="53"/>
        <v>0</v>
      </c>
      <c r="BD10" s="4">
        <f t="shared" si="53"/>
        <v>0</v>
      </c>
      <c r="BE10" s="4">
        <f t="shared" si="53"/>
        <v>0</v>
      </c>
      <c r="BF10" s="4">
        <f t="shared" si="53"/>
        <v>0</v>
      </c>
      <c r="BG10" s="4">
        <f t="shared" si="53"/>
        <v>0</v>
      </c>
      <c r="BH10" s="4">
        <f t="shared" si="53"/>
        <v>0</v>
      </c>
      <c r="BI10" s="4">
        <f t="shared" si="53"/>
        <v>0</v>
      </c>
      <c r="BJ10" s="4">
        <f t="shared" si="53"/>
        <v>0</v>
      </c>
      <c r="BK10" s="4">
        <f t="shared" si="11"/>
        <v>0</v>
      </c>
      <c r="BO10" s="4">
        <f t="shared" ref="BO10:BU10" si="54">IF(ISNUMBER(SEARCH(BO$1,$BN10)), 1, 0)</f>
        <v>0</v>
      </c>
      <c r="BP10" s="4">
        <f t="shared" si="54"/>
        <v>0</v>
      </c>
      <c r="BQ10" s="4">
        <f t="shared" si="54"/>
        <v>0</v>
      </c>
      <c r="BR10" s="4">
        <f t="shared" si="54"/>
        <v>0</v>
      </c>
      <c r="BS10" s="4">
        <f t="shared" si="54"/>
        <v>0</v>
      </c>
      <c r="BT10" s="4">
        <f t="shared" si="54"/>
        <v>0</v>
      </c>
      <c r="BU10" s="4">
        <f t="shared" si="54"/>
        <v>0</v>
      </c>
      <c r="CB10" s="1" t="s">
        <v>48</v>
      </c>
      <c r="CC10" s="1" t="s">
        <v>48</v>
      </c>
      <c r="CD10" s="1" t="s">
        <v>444</v>
      </c>
      <c r="CF10" s="1" t="s">
        <v>387</v>
      </c>
      <c r="CG10" s="1" t="s">
        <v>388</v>
      </c>
      <c r="CH10" s="1" t="s">
        <v>445</v>
      </c>
      <c r="CJ10" s="1" t="s">
        <v>446</v>
      </c>
      <c r="CL10" s="1" t="s">
        <v>447</v>
      </c>
      <c r="CM10" s="1" t="s">
        <v>48</v>
      </c>
      <c r="CN10" s="1" t="s">
        <v>448</v>
      </c>
      <c r="CR10" s="1" t="s">
        <v>449</v>
      </c>
      <c r="CU10" s="1" t="s">
        <v>449</v>
      </c>
      <c r="CX10" s="1" t="s">
        <v>450</v>
      </c>
      <c r="CZ10" s="1" t="s">
        <v>451</v>
      </c>
      <c r="DC10" s="1" t="s">
        <v>238</v>
      </c>
    </row>
    <row r="11" spans="1:107" ht="15.75" customHeight="1" x14ac:dyDescent="0.25">
      <c r="A11" s="1" t="b">
        <v>1</v>
      </c>
      <c r="B11" s="3">
        <v>46158.708622685182</v>
      </c>
      <c r="C11" s="1" t="s">
        <v>390</v>
      </c>
      <c r="D11" s="1" t="s">
        <v>391</v>
      </c>
      <c r="E11" s="4">
        <f t="shared" ref="E11:K11" si="55">IF(ISNUMBER(SEARCH(E$1,$D11)), SEARCH(E$1,$D11), 0)</f>
        <v>1</v>
      </c>
      <c r="F11" s="4">
        <f t="shared" si="55"/>
        <v>30</v>
      </c>
      <c r="G11" s="4">
        <f t="shared" si="55"/>
        <v>105</v>
      </c>
      <c r="H11" s="4">
        <f t="shared" si="55"/>
        <v>161</v>
      </c>
      <c r="I11" s="4">
        <f t="shared" si="55"/>
        <v>199</v>
      </c>
      <c r="J11" s="4">
        <f t="shared" si="55"/>
        <v>231</v>
      </c>
      <c r="K11" s="4">
        <f t="shared" si="55"/>
        <v>268</v>
      </c>
      <c r="L11" s="4">
        <f t="shared" si="1"/>
        <v>268</v>
      </c>
      <c r="N11" s="1" t="s">
        <v>160</v>
      </c>
      <c r="O11" s="4">
        <f t="shared" ref="O11:T11" si="56">IF(ISNUMBER(SEARCH(O$1,$N11)), 1, 0)</f>
        <v>1</v>
      </c>
      <c r="P11" s="4">
        <f t="shared" si="56"/>
        <v>1</v>
      </c>
      <c r="Q11" s="4">
        <f t="shared" si="56"/>
        <v>1</v>
      </c>
      <c r="R11" s="4">
        <f t="shared" si="56"/>
        <v>1</v>
      </c>
      <c r="S11" s="4">
        <f t="shared" si="56"/>
        <v>1</v>
      </c>
      <c r="T11" s="4">
        <f t="shared" si="56"/>
        <v>1</v>
      </c>
      <c r="W11" s="1" t="str">
        <f t="shared" si="3"/>
        <v>False</v>
      </c>
      <c r="X11" s="1" t="str">
        <f t="shared" si="3"/>
        <v>False</v>
      </c>
      <c r="Y11" s="1" t="str">
        <f t="shared" si="3"/>
        <v>False</v>
      </c>
      <c r="Z11" s="1" t="str">
        <f t="shared" si="3"/>
        <v>False</v>
      </c>
      <c r="AA11" s="1" t="str">
        <f t="shared" si="3"/>
        <v>False</v>
      </c>
      <c r="AB11" s="1" t="s">
        <v>392</v>
      </c>
      <c r="AC11" s="4">
        <f t="shared" ref="AC11:AH11" si="57">IF(ISNUMBER(SEARCH(AC$1,$AB11)), 1, 0)</f>
        <v>0</v>
      </c>
      <c r="AD11" s="4">
        <f t="shared" si="57"/>
        <v>1</v>
      </c>
      <c r="AE11" s="4">
        <f t="shared" si="57"/>
        <v>1</v>
      </c>
      <c r="AF11" s="4">
        <f t="shared" si="57"/>
        <v>0</v>
      </c>
      <c r="AG11" s="4">
        <f t="shared" si="57"/>
        <v>0</v>
      </c>
      <c r="AH11" s="4">
        <f t="shared" si="57"/>
        <v>0</v>
      </c>
      <c r="AI11" s="1">
        <f t="shared" si="5"/>
        <v>2</v>
      </c>
      <c r="AL11" s="4">
        <f t="shared" ref="AL11:AS11" si="58">IF(ISNUMBER(SEARCH(AL$1,$AK11)), 1, 0)</f>
        <v>0</v>
      </c>
      <c r="AM11" s="4">
        <f t="shared" si="58"/>
        <v>0</v>
      </c>
      <c r="AN11" s="4">
        <f t="shared" si="58"/>
        <v>0</v>
      </c>
      <c r="AO11" s="4">
        <f t="shared" si="58"/>
        <v>0</v>
      </c>
      <c r="AP11" s="4">
        <f t="shared" si="58"/>
        <v>0</v>
      </c>
      <c r="AQ11" s="4">
        <f t="shared" si="58"/>
        <v>0</v>
      </c>
      <c r="AR11" s="4">
        <f t="shared" si="58"/>
        <v>0</v>
      </c>
      <c r="AS11" s="4">
        <f t="shared" si="58"/>
        <v>0</v>
      </c>
      <c r="AV11" s="1">
        <f t="shared" si="7"/>
        <v>0</v>
      </c>
      <c r="AW11" s="1">
        <f t="shared" si="8"/>
        <v>0</v>
      </c>
      <c r="AX11" s="1">
        <f t="shared" si="9"/>
        <v>0</v>
      </c>
      <c r="BB11" s="4">
        <f t="shared" ref="BB11:BJ11" si="59">IF(ISNUMBER(SEARCH(BB$1,$BA11)), 1, 0)</f>
        <v>0</v>
      </c>
      <c r="BC11" s="4">
        <f t="shared" si="59"/>
        <v>0</v>
      </c>
      <c r="BD11" s="4">
        <f t="shared" si="59"/>
        <v>0</v>
      </c>
      <c r="BE11" s="4">
        <f t="shared" si="59"/>
        <v>0</v>
      </c>
      <c r="BF11" s="4">
        <f t="shared" si="59"/>
        <v>0</v>
      </c>
      <c r="BG11" s="4">
        <f t="shared" si="59"/>
        <v>0</v>
      </c>
      <c r="BH11" s="4">
        <f t="shared" si="59"/>
        <v>0</v>
      </c>
      <c r="BI11" s="4">
        <f t="shared" si="59"/>
        <v>0</v>
      </c>
      <c r="BJ11" s="4">
        <f t="shared" si="59"/>
        <v>0</v>
      </c>
      <c r="BK11" s="4">
        <f t="shared" si="11"/>
        <v>0</v>
      </c>
      <c r="BO11" s="4">
        <f t="shared" ref="BO11:BU11" si="60">IF(ISNUMBER(SEARCH(BO$1,$BN11)), 1, 0)</f>
        <v>0</v>
      </c>
      <c r="BP11" s="4">
        <f t="shared" si="60"/>
        <v>0</v>
      </c>
      <c r="BQ11" s="4">
        <f t="shared" si="60"/>
        <v>0</v>
      </c>
      <c r="BR11" s="4">
        <f t="shared" si="60"/>
        <v>0</v>
      </c>
      <c r="BS11" s="4">
        <f t="shared" si="60"/>
        <v>0</v>
      </c>
      <c r="BT11" s="4">
        <f t="shared" si="60"/>
        <v>0</v>
      </c>
      <c r="BU11" s="4">
        <f t="shared" si="60"/>
        <v>0</v>
      </c>
      <c r="CB11" s="1" t="s">
        <v>48</v>
      </c>
      <c r="CC11" s="1" t="s">
        <v>48</v>
      </c>
    </row>
    <row r="12" spans="1:107" ht="15.75" customHeight="1" x14ac:dyDescent="0.25">
      <c r="A12" s="1" t="b">
        <v>1</v>
      </c>
      <c r="B12" s="3">
        <v>46165.45511574074</v>
      </c>
      <c r="C12" s="1" t="s">
        <v>612</v>
      </c>
      <c r="D12" s="1" t="s">
        <v>207</v>
      </c>
      <c r="E12" s="4">
        <f t="shared" ref="E12:K12" si="61">IF(ISNUMBER(SEARCH(E$1,$D12)), SEARCH(E$1,$D12), 0)</f>
        <v>1</v>
      </c>
      <c r="F12" s="4">
        <f t="shared" si="61"/>
        <v>30</v>
      </c>
      <c r="G12" s="4">
        <f t="shared" si="61"/>
        <v>0</v>
      </c>
      <c r="H12" s="4">
        <f t="shared" si="61"/>
        <v>0</v>
      </c>
      <c r="I12" s="4">
        <f t="shared" si="61"/>
        <v>0</v>
      </c>
      <c r="J12" s="4">
        <f t="shared" si="61"/>
        <v>0</v>
      </c>
      <c r="K12" s="4">
        <f t="shared" si="61"/>
        <v>0</v>
      </c>
      <c r="L12" s="4">
        <f t="shared" si="1"/>
        <v>30</v>
      </c>
      <c r="N12" s="1" t="s">
        <v>187</v>
      </c>
      <c r="O12" s="4">
        <f t="shared" ref="O12:T12" si="62">IF(ISNUMBER(SEARCH(O$1,$N12)), 1, 0)</f>
        <v>1</v>
      </c>
      <c r="P12" s="4">
        <f t="shared" si="62"/>
        <v>1</v>
      </c>
      <c r="Q12" s="4">
        <f t="shared" si="62"/>
        <v>1</v>
      </c>
      <c r="R12" s="4">
        <f t="shared" si="62"/>
        <v>1</v>
      </c>
      <c r="S12" s="4">
        <f t="shared" si="62"/>
        <v>1</v>
      </c>
      <c r="T12" s="4">
        <f t="shared" si="62"/>
        <v>1</v>
      </c>
      <c r="V12" s="1" t="s">
        <v>24</v>
      </c>
      <c r="W12" s="1" t="str">
        <f t="shared" si="3"/>
        <v>False</v>
      </c>
      <c r="X12" s="1" t="str">
        <f t="shared" si="3"/>
        <v>False</v>
      </c>
      <c r="Y12" s="1" t="str">
        <f t="shared" si="3"/>
        <v>True</v>
      </c>
      <c r="Z12" s="1" t="str">
        <f t="shared" si="3"/>
        <v>False</v>
      </c>
      <c r="AA12" s="1" t="str">
        <f t="shared" si="3"/>
        <v>False</v>
      </c>
      <c r="AB12" s="1" t="s">
        <v>613</v>
      </c>
      <c r="AC12" s="4">
        <f t="shared" ref="AC12:AH12" si="63">IF(ISNUMBER(SEARCH(AC$1,$AB12)), 1, 0)</f>
        <v>1</v>
      </c>
      <c r="AD12" s="4">
        <f t="shared" si="63"/>
        <v>1</v>
      </c>
      <c r="AE12" s="4">
        <f t="shared" si="63"/>
        <v>0</v>
      </c>
      <c r="AF12" s="4">
        <f t="shared" si="63"/>
        <v>1</v>
      </c>
      <c r="AG12" s="4">
        <f t="shared" si="63"/>
        <v>0</v>
      </c>
      <c r="AH12" s="4">
        <f t="shared" si="63"/>
        <v>1</v>
      </c>
      <c r="AI12" s="1">
        <f t="shared" si="5"/>
        <v>4</v>
      </c>
      <c r="AJ12" s="1" t="s">
        <v>614</v>
      </c>
      <c r="AK12" s="1" t="s">
        <v>365</v>
      </c>
      <c r="AL12" s="4">
        <f t="shared" ref="AL12:AS12" si="64">IF(ISNUMBER(SEARCH(AL$1,$AK12)), 1, 0)</f>
        <v>1</v>
      </c>
      <c r="AM12" s="4">
        <f t="shared" si="64"/>
        <v>1</v>
      </c>
      <c r="AN12" s="4">
        <f t="shared" si="64"/>
        <v>1</v>
      </c>
      <c r="AO12" s="4">
        <f t="shared" si="64"/>
        <v>1</v>
      </c>
      <c r="AP12" s="4">
        <f t="shared" si="64"/>
        <v>1</v>
      </c>
      <c r="AQ12" s="4">
        <f t="shared" si="64"/>
        <v>1</v>
      </c>
      <c r="AR12" s="4">
        <f t="shared" si="64"/>
        <v>1</v>
      </c>
      <c r="AS12" s="4">
        <f t="shared" si="64"/>
        <v>1</v>
      </c>
      <c r="AU12" s="1" t="s">
        <v>48</v>
      </c>
      <c r="AV12" s="1">
        <f t="shared" si="7"/>
        <v>0</v>
      </c>
      <c r="AW12" s="1">
        <f t="shared" si="8"/>
        <v>1</v>
      </c>
      <c r="AX12" s="1">
        <f t="shared" si="9"/>
        <v>0</v>
      </c>
      <c r="AY12" s="1" t="s">
        <v>47</v>
      </c>
      <c r="AZ12" s="1" t="s">
        <v>48</v>
      </c>
      <c r="BA12" s="1" t="s">
        <v>615</v>
      </c>
      <c r="BB12" s="4">
        <f t="shared" ref="BB12:BJ12" si="65">IF(ISNUMBER(SEARCH(BB$1,$BA12)), 1, 0)</f>
        <v>1</v>
      </c>
      <c r="BC12" s="4">
        <f t="shared" si="65"/>
        <v>0</v>
      </c>
      <c r="BD12" s="4">
        <f t="shared" si="65"/>
        <v>0</v>
      </c>
      <c r="BE12" s="4">
        <f t="shared" si="65"/>
        <v>0</v>
      </c>
      <c r="BF12" s="4">
        <f t="shared" si="65"/>
        <v>0</v>
      </c>
      <c r="BG12" s="4">
        <f t="shared" si="65"/>
        <v>0</v>
      </c>
      <c r="BH12" s="4">
        <f t="shared" si="65"/>
        <v>1</v>
      </c>
      <c r="BI12" s="4">
        <f t="shared" si="65"/>
        <v>1</v>
      </c>
      <c r="BJ12" s="4">
        <f t="shared" si="65"/>
        <v>1</v>
      </c>
      <c r="BK12" s="4">
        <f t="shared" si="11"/>
        <v>4</v>
      </c>
      <c r="BO12" s="4">
        <f t="shared" ref="BO12:BU12" si="66">IF(ISNUMBER(SEARCH(BO$1,$BN12)), 1, 0)</f>
        <v>0</v>
      </c>
      <c r="BP12" s="4">
        <f t="shared" si="66"/>
        <v>0</v>
      </c>
      <c r="BQ12" s="4">
        <f t="shared" si="66"/>
        <v>0</v>
      </c>
      <c r="BR12" s="4">
        <f t="shared" si="66"/>
        <v>0</v>
      </c>
      <c r="BS12" s="4">
        <f t="shared" si="66"/>
        <v>0</v>
      </c>
      <c r="BT12" s="4">
        <f t="shared" si="66"/>
        <v>0</v>
      </c>
      <c r="BU12" s="4">
        <f t="shared" si="66"/>
        <v>0</v>
      </c>
      <c r="BW12" s="1" t="s">
        <v>169</v>
      </c>
      <c r="CX12" s="1" t="s">
        <v>534</v>
      </c>
      <c r="CZ12" s="1" t="s">
        <v>616</v>
      </c>
      <c r="DB12" s="1" t="s">
        <v>617</v>
      </c>
      <c r="DC12" s="1" t="s">
        <v>238</v>
      </c>
    </row>
    <row r="13" spans="1:107" ht="15.75" customHeight="1" x14ac:dyDescent="0.25">
      <c r="A13" s="1" t="b">
        <v>1</v>
      </c>
      <c r="B13" s="3">
        <v>46167.497002314813</v>
      </c>
      <c r="C13" s="1" t="s">
        <v>689</v>
      </c>
      <c r="D13" s="1" t="s">
        <v>207</v>
      </c>
      <c r="E13" s="4">
        <f t="shared" ref="E13:K13" si="67">IF(ISNUMBER(SEARCH(E$1,$D13)), SEARCH(E$1,$D13), 0)</f>
        <v>1</v>
      </c>
      <c r="F13" s="4">
        <f t="shared" si="67"/>
        <v>30</v>
      </c>
      <c r="G13" s="4">
        <f t="shared" si="67"/>
        <v>0</v>
      </c>
      <c r="H13" s="4">
        <f t="shared" si="67"/>
        <v>0</v>
      </c>
      <c r="I13" s="4">
        <f t="shared" si="67"/>
        <v>0</v>
      </c>
      <c r="J13" s="4">
        <f t="shared" si="67"/>
        <v>0</v>
      </c>
      <c r="K13" s="4">
        <f t="shared" si="67"/>
        <v>0</v>
      </c>
      <c r="L13" s="4">
        <f t="shared" si="1"/>
        <v>30</v>
      </c>
      <c r="N13" s="1" t="s">
        <v>160</v>
      </c>
      <c r="O13" s="4">
        <f t="shared" ref="O13:T13" si="68">IF(ISNUMBER(SEARCH(O$1,$N13)), 1, 0)</f>
        <v>1</v>
      </c>
      <c r="P13" s="4">
        <f t="shared" si="68"/>
        <v>1</v>
      </c>
      <c r="Q13" s="4">
        <f t="shared" si="68"/>
        <v>1</v>
      </c>
      <c r="R13" s="4">
        <f t="shared" si="68"/>
        <v>1</v>
      </c>
      <c r="S13" s="4">
        <f t="shared" si="68"/>
        <v>1</v>
      </c>
      <c r="T13" s="4">
        <f t="shared" si="68"/>
        <v>1</v>
      </c>
      <c r="U13" s="1" t="s">
        <v>690</v>
      </c>
      <c r="V13" s="1" t="s">
        <v>23</v>
      </c>
      <c r="W13" s="1" t="str">
        <f t="shared" ref="W13:AA22" si="69">IF(W$1=$V13, "True", "False")</f>
        <v>False</v>
      </c>
      <c r="X13" s="1" t="str">
        <f t="shared" si="69"/>
        <v>True</v>
      </c>
      <c r="Y13" s="1" t="str">
        <f t="shared" si="69"/>
        <v>False</v>
      </c>
      <c r="Z13" s="1" t="str">
        <f t="shared" si="69"/>
        <v>False</v>
      </c>
      <c r="AA13" s="1" t="str">
        <f t="shared" si="69"/>
        <v>False</v>
      </c>
      <c r="AB13" s="1" t="s">
        <v>691</v>
      </c>
      <c r="AC13" s="4">
        <f t="shared" ref="AC13:AH13" si="70">IF(ISNUMBER(SEARCH(AC$1,$AB13)), 1, 0)</f>
        <v>1</v>
      </c>
      <c r="AD13" s="4">
        <f t="shared" si="70"/>
        <v>1</v>
      </c>
      <c r="AE13" s="4">
        <f t="shared" si="70"/>
        <v>1</v>
      </c>
      <c r="AF13" s="4">
        <f t="shared" si="70"/>
        <v>1</v>
      </c>
      <c r="AG13" s="4">
        <f t="shared" si="70"/>
        <v>1</v>
      </c>
      <c r="AH13" s="4">
        <f t="shared" si="70"/>
        <v>1</v>
      </c>
      <c r="AI13" s="1">
        <f t="shared" si="5"/>
        <v>6</v>
      </c>
      <c r="AJ13" s="1" t="s">
        <v>690</v>
      </c>
      <c r="AK13" s="1" t="s">
        <v>604</v>
      </c>
      <c r="AL13" s="4">
        <f t="shared" ref="AL13:AS13" si="71">IF(ISNUMBER(SEARCH(AL$1,$AK13)), 1, 0)</f>
        <v>1</v>
      </c>
      <c r="AM13" s="4">
        <f t="shared" si="71"/>
        <v>1</v>
      </c>
      <c r="AN13" s="4">
        <f t="shared" si="71"/>
        <v>1</v>
      </c>
      <c r="AO13" s="4">
        <f t="shared" si="71"/>
        <v>1</v>
      </c>
      <c r="AP13" s="4">
        <f t="shared" si="71"/>
        <v>1</v>
      </c>
      <c r="AQ13" s="4">
        <f t="shared" si="71"/>
        <v>1</v>
      </c>
      <c r="AR13" s="4">
        <f t="shared" si="71"/>
        <v>1</v>
      </c>
      <c r="AS13" s="4">
        <f t="shared" si="71"/>
        <v>1</v>
      </c>
      <c r="AT13" s="1" t="s">
        <v>690</v>
      </c>
      <c r="AU13" s="1" t="s">
        <v>47</v>
      </c>
      <c r="AV13" s="1">
        <f t="shared" si="7"/>
        <v>1</v>
      </c>
      <c r="AW13" s="1">
        <f t="shared" si="8"/>
        <v>0</v>
      </c>
      <c r="AX13" s="1">
        <f t="shared" si="9"/>
        <v>0</v>
      </c>
      <c r="AY13" s="1" t="s">
        <v>48</v>
      </c>
      <c r="BA13" s="1" t="s">
        <v>692</v>
      </c>
      <c r="BB13" s="4">
        <f t="shared" ref="BB13:BJ13" si="72">IF(ISNUMBER(SEARCH(BB$1,$BA13)), 1, 0)</f>
        <v>1</v>
      </c>
      <c r="BC13" s="4">
        <f t="shared" si="72"/>
        <v>1</v>
      </c>
      <c r="BD13" s="4">
        <f t="shared" si="72"/>
        <v>0</v>
      </c>
      <c r="BE13" s="4">
        <f t="shared" si="72"/>
        <v>1</v>
      </c>
      <c r="BF13" s="4">
        <f t="shared" si="72"/>
        <v>1</v>
      </c>
      <c r="BG13" s="4">
        <f t="shared" si="72"/>
        <v>1</v>
      </c>
      <c r="BH13" s="4">
        <f t="shared" si="72"/>
        <v>1</v>
      </c>
      <c r="BI13" s="4">
        <f t="shared" si="72"/>
        <v>1</v>
      </c>
      <c r="BJ13" s="4">
        <f t="shared" si="72"/>
        <v>1</v>
      </c>
      <c r="BK13" s="4">
        <f t="shared" si="11"/>
        <v>8</v>
      </c>
      <c r="BM13" s="1" t="s">
        <v>190</v>
      </c>
      <c r="BN13" s="1" t="s">
        <v>693</v>
      </c>
      <c r="BO13" s="4">
        <f t="shared" ref="BO13:BU13" si="73">IF(ISNUMBER(SEARCH(BO$1,$BN13)), 1, 0)</f>
        <v>1</v>
      </c>
      <c r="BP13" s="4">
        <f t="shared" si="73"/>
        <v>1</v>
      </c>
      <c r="BQ13" s="4">
        <f t="shared" si="73"/>
        <v>1</v>
      </c>
      <c r="BR13" s="4">
        <f t="shared" si="73"/>
        <v>1</v>
      </c>
      <c r="BS13" s="4">
        <f t="shared" si="73"/>
        <v>1</v>
      </c>
      <c r="BT13" s="4">
        <f t="shared" si="73"/>
        <v>1</v>
      </c>
      <c r="BU13" s="4">
        <f t="shared" si="73"/>
        <v>1</v>
      </c>
      <c r="CX13" s="1" t="s">
        <v>694</v>
      </c>
      <c r="CZ13" s="1" t="s">
        <v>178</v>
      </c>
      <c r="DC13" s="1" t="s">
        <v>180</v>
      </c>
    </row>
    <row r="14" spans="1:107" ht="15.75" customHeight="1" x14ac:dyDescent="0.25">
      <c r="A14" s="1" t="b">
        <v>1</v>
      </c>
      <c r="B14" s="3">
        <v>46150.640046296299</v>
      </c>
      <c r="C14" s="1" t="s">
        <v>191</v>
      </c>
      <c r="D14" s="1" t="s">
        <v>192</v>
      </c>
      <c r="E14" s="4">
        <f t="shared" ref="E14:K14" si="74">IF(ISNUMBER(SEARCH(E$1,$D14)), SEARCH(E$1,$D14), 0)</f>
        <v>1</v>
      </c>
      <c r="F14" s="4">
        <f t="shared" si="74"/>
        <v>30</v>
      </c>
      <c r="G14" s="4">
        <f t="shared" si="74"/>
        <v>0</v>
      </c>
      <c r="H14" s="4">
        <f t="shared" si="74"/>
        <v>0</v>
      </c>
      <c r="I14" s="4">
        <f t="shared" si="74"/>
        <v>0</v>
      </c>
      <c r="J14" s="4">
        <f t="shared" si="74"/>
        <v>0</v>
      </c>
      <c r="K14" s="4">
        <f t="shared" si="74"/>
        <v>105</v>
      </c>
      <c r="L14" s="4">
        <f t="shared" si="1"/>
        <v>105</v>
      </c>
      <c r="N14" s="1" t="s">
        <v>193</v>
      </c>
      <c r="O14" s="4">
        <f t="shared" ref="O14:T14" si="75">IF(ISNUMBER(SEARCH(O$1,$N14)), 1, 0)</f>
        <v>1</v>
      </c>
      <c r="P14" s="4">
        <f t="shared" si="75"/>
        <v>1</v>
      </c>
      <c r="Q14" s="4">
        <f t="shared" si="75"/>
        <v>1</v>
      </c>
      <c r="R14" s="4">
        <f t="shared" si="75"/>
        <v>0</v>
      </c>
      <c r="S14" s="4">
        <f t="shared" si="75"/>
        <v>0</v>
      </c>
      <c r="T14" s="4">
        <f t="shared" si="75"/>
        <v>0</v>
      </c>
      <c r="U14" s="1" t="s">
        <v>194</v>
      </c>
      <c r="W14" s="1" t="str">
        <f t="shared" si="69"/>
        <v>False</v>
      </c>
      <c r="X14" s="1" t="str">
        <f t="shared" si="69"/>
        <v>False</v>
      </c>
      <c r="Y14" s="1" t="str">
        <f t="shared" si="69"/>
        <v>False</v>
      </c>
      <c r="Z14" s="1" t="str">
        <f t="shared" si="69"/>
        <v>False</v>
      </c>
      <c r="AA14" s="1" t="str">
        <f t="shared" si="69"/>
        <v>False</v>
      </c>
      <c r="AB14" s="1" t="s">
        <v>183</v>
      </c>
      <c r="AC14" s="4">
        <f t="shared" ref="AC14:AH14" si="76">IF(ISNUMBER(SEARCH(AC$1,$AB14)), 1, 0)</f>
        <v>0</v>
      </c>
      <c r="AD14" s="4">
        <f t="shared" si="76"/>
        <v>0</v>
      </c>
      <c r="AE14" s="4">
        <f t="shared" si="76"/>
        <v>0</v>
      </c>
      <c r="AF14" s="4">
        <f t="shared" si="76"/>
        <v>0</v>
      </c>
      <c r="AG14" s="4">
        <f t="shared" si="76"/>
        <v>0</v>
      </c>
      <c r="AH14" s="4">
        <f t="shared" si="76"/>
        <v>0</v>
      </c>
      <c r="AI14" s="1">
        <f t="shared" si="5"/>
        <v>0</v>
      </c>
      <c r="AJ14" s="1" t="s">
        <v>195</v>
      </c>
      <c r="AK14" s="1" t="s">
        <v>196</v>
      </c>
      <c r="AL14" s="4">
        <f t="shared" ref="AL14:AS14" si="77">IF(ISNUMBER(SEARCH(AL$1,$AK14)), 1, 0)</f>
        <v>0</v>
      </c>
      <c r="AM14" s="4">
        <f t="shared" si="77"/>
        <v>0</v>
      </c>
      <c r="AN14" s="4">
        <f t="shared" si="77"/>
        <v>0</v>
      </c>
      <c r="AO14" s="4">
        <f t="shared" si="77"/>
        <v>0</v>
      </c>
      <c r="AP14" s="4">
        <f t="shared" si="77"/>
        <v>0</v>
      </c>
      <c r="AQ14" s="4">
        <f t="shared" si="77"/>
        <v>1</v>
      </c>
      <c r="AR14" s="4">
        <f t="shared" si="77"/>
        <v>1</v>
      </c>
      <c r="AS14" s="4">
        <f t="shared" si="77"/>
        <v>1</v>
      </c>
      <c r="AU14" s="1" t="s">
        <v>49</v>
      </c>
      <c r="AV14" s="1">
        <f t="shared" si="7"/>
        <v>0</v>
      </c>
      <c r="AW14" s="1">
        <f t="shared" si="8"/>
        <v>0</v>
      </c>
      <c r="AX14" s="1">
        <f t="shared" si="9"/>
        <v>1</v>
      </c>
      <c r="AY14" s="1" t="s">
        <v>48</v>
      </c>
      <c r="BA14" s="1" t="s">
        <v>197</v>
      </c>
      <c r="BB14" s="4">
        <f t="shared" ref="BB14:BJ14" si="78">IF(ISNUMBER(SEARCH(BB$1,$BA14)), 1, 0)</f>
        <v>0</v>
      </c>
      <c r="BC14" s="4">
        <f t="shared" si="78"/>
        <v>0</v>
      </c>
      <c r="BD14" s="4">
        <f t="shared" si="78"/>
        <v>1</v>
      </c>
      <c r="BE14" s="4">
        <f t="shared" si="78"/>
        <v>1</v>
      </c>
      <c r="BF14" s="4">
        <f t="shared" si="78"/>
        <v>1</v>
      </c>
      <c r="BG14" s="4">
        <f t="shared" si="78"/>
        <v>0</v>
      </c>
      <c r="BH14" s="4">
        <f t="shared" si="78"/>
        <v>0</v>
      </c>
      <c r="BI14" s="4">
        <f t="shared" si="78"/>
        <v>0</v>
      </c>
      <c r="BJ14" s="4">
        <f t="shared" si="78"/>
        <v>1</v>
      </c>
      <c r="BK14" s="4">
        <f t="shared" si="11"/>
        <v>4</v>
      </c>
      <c r="BM14" s="1" t="s">
        <v>166</v>
      </c>
      <c r="BN14" s="1" t="s">
        <v>198</v>
      </c>
      <c r="BO14" s="4">
        <f t="shared" ref="BO14:BU14" si="79">IF(ISNUMBER(SEARCH(BO$1,$BN14)), 1, 0)</f>
        <v>1</v>
      </c>
      <c r="BP14" s="4">
        <f t="shared" si="79"/>
        <v>1</v>
      </c>
      <c r="BQ14" s="4">
        <f t="shared" si="79"/>
        <v>0</v>
      </c>
      <c r="BR14" s="4">
        <f t="shared" si="79"/>
        <v>1</v>
      </c>
      <c r="BS14" s="4">
        <f t="shared" si="79"/>
        <v>0</v>
      </c>
      <c r="BT14" s="4">
        <f t="shared" si="79"/>
        <v>0</v>
      </c>
      <c r="BU14" s="4">
        <f t="shared" si="79"/>
        <v>1</v>
      </c>
      <c r="BV14" s="1" t="s">
        <v>199</v>
      </c>
      <c r="CM14" s="1" t="s">
        <v>48</v>
      </c>
      <c r="CN14" s="1" t="s">
        <v>200</v>
      </c>
      <c r="CO14" s="1" t="s">
        <v>201</v>
      </c>
      <c r="CX14" s="1" t="s">
        <v>202</v>
      </c>
      <c r="CY14" s="1" t="s">
        <v>195</v>
      </c>
      <c r="CZ14" s="1" t="s">
        <v>203</v>
      </c>
      <c r="DA14" s="1" t="s">
        <v>204</v>
      </c>
      <c r="DB14" s="1" t="s">
        <v>205</v>
      </c>
      <c r="DC14" s="1" t="s">
        <v>180</v>
      </c>
    </row>
    <row r="15" spans="1:107" ht="15.75" customHeight="1" x14ac:dyDescent="0.25">
      <c r="A15" s="1" t="b">
        <v>0</v>
      </c>
      <c r="B15" s="3">
        <v>46161.305231481485</v>
      </c>
      <c r="C15" s="1" t="s">
        <v>438</v>
      </c>
      <c r="D15" s="1" t="s">
        <v>439</v>
      </c>
      <c r="E15" s="4">
        <f t="shared" ref="E15:K15" si="80">IF(ISNUMBER(SEARCH(E$1,$D15)), SEARCH(E$1,$D15), 0)</f>
        <v>1</v>
      </c>
      <c r="F15" s="4">
        <f t="shared" si="80"/>
        <v>30</v>
      </c>
      <c r="G15" s="4">
        <f t="shared" si="80"/>
        <v>0</v>
      </c>
      <c r="H15" s="4">
        <f t="shared" si="80"/>
        <v>0</v>
      </c>
      <c r="I15" s="4">
        <f t="shared" si="80"/>
        <v>105</v>
      </c>
      <c r="J15" s="4">
        <f t="shared" si="80"/>
        <v>0</v>
      </c>
      <c r="K15" s="4">
        <f t="shared" si="80"/>
        <v>0</v>
      </c>
      <c r="L15" s="4">
        <f t="shared" si="1"/>
        <v>105</v>
      </c>
      <c r="N15" s="1" t="s">
        <v>328</v>
      </c>
      <c r="O15" s="4">
        <f t="shared" ref="O15:T15" si="81">IF(ISNUMBER(SEARCH(O$1,$N15)), 1, 0)</f>
        <v>1</v>
      </c>
      <c r="P15" s="4">
        <f t="shared" si="81"/>
        <v>1</v>
      </c>
      <c r="Q15" s="4">
        <f t="shared" si="81"/>
        <v>1</v>
      </c>
      <c r="R15" s="4">
        <f t="shared" si="81"/>
        <v>0</v>
      </c>
      <c r="S15" s="4">
        <f t="shared" si="81"/>
        <v>0</v>
      </c>
      <c r="T15" s="4">
        <f t="shared" si="81"/>
        <v>0</v>
      </c>
      <c r="W15" s="1" t="str">
        <f t="shared" si="69"/>
        <v>False</v>
      </c>
      <c r="X15" s="1" t="str">
        <f t="shared" si="69"/>
        <v>False</v>
      </c>
      <c r="Y15" s="1" t="str">
        <f t="shared" si="69"/>
        <v>False</v>
      </c>
      <c r="Z15" s="1" t="str">
        <f t="shared" si="69"/>
        <v>False</v>
      </c>
      <c r="AA15" s="1" t="str">
        <f t="shared" si="69"/>
        <v>False</v>
      </c>
      <c r="AB15" s="1" t="s">
        <v>230</v>
      </c>
      <c r="AC15" s="4">
        <f t="shared" ref="AC15:AH15" si="82">IF(ISNUMBER(SEARCH(AC$1,$AB15)), 1, 0)</f>
        <v>1</v>
      </c>
      <c r="AD15" s="4">
        <f t="shared" si="82"/>
        <v>1</v>
      </c>
      <c r="AE15" s="4">
        <f t="shared" si="82"/>
        <v>0</v>
      </c>
      <c r="AF15" s="4">
        <f t="shared" si="82"/>
        <v>0</v>
      </c>
      <c r="AG15" s="4">
        <f t="shared" si="82"/>
        <v>0</v>
      </c>
      <c r="AH15" s="4">
        <f t="shared" si="82"/>
        <v>0</v>
      </c>
      <c r="AI15" s="1">
        <f t="shared" si="5"/>
        <v>2</v>
      </c>
      <c r="AK15" s="1" t="s">
        <v>440</v>
      </c>
      <c r="AL15" s="4">
        <f t="shared" ref="AL15:AS15" si="83">IF(ISNUMBER(SEARCH(AL$1,$AK15)), 1, 0)</f>
        <v>0</v>
      </c>
      <c r="AM15" s="4">
        <f t="shared" si="83"/>
        <v>0</v>
      </c>
      <c r="AN15" s="4">
        <f t="shared" si="83"/>
        <v>0</v>
      </c>
      <c r="AO15" s="4">
        <f t="shared" si="83"/>
        <v>1</v>
      </c>
      <c r="AP15" s="4">
        <f t="shared" si="83"/>
        <v>0</v>
      </c>
      <c r="AQ15" s="4">
        <f t="shared" si="83"/>
        <v>1</v>
      </c>
      <c r="AR15" s="4">
        <f t="shared" si="83"/>
        <v>0</v>
      </c>
      <c r="AS15" s="4">
        <f t="shared" si="83"/>
        <v>1</v>
      </c>
      <c r="AU15" s="1" t="s">
        <v>47</v>
      </c>
      <c r="AV15" s="1">
        <f t="shared" si="7"/>
        <v>1</v>
      </c>
      <c r="AW15" s="1">
        <f t="shared" si="8"/>
        <v>0</v>
      </c>
      <c r="AX15" s="1">
        <f t="shared" si="9"/>
        <v>0</v>
      </c>
      <c r="AY15" s="1" t="s">
        <v>48</v>
      </c>
      <c r="BA15" s="1" t="s">
        <v>411</v>
      </c>
      <c r="BB15" s="4">
        <f t="shared" ref="BB15:BJ15" si="84">IF(ISNUMBER(SEARCH(BB$1,$BA15)), 1, 0)</f>
        <v>0</v>
      </c>
      <c r="BC15" s="4">
        <f t="shared" si="84"/>
        <v>1</v>
      </c>
      <c r="BD15" s="4">
        <f t="shared" si="84"/>
        <v>0</v>
      </c>
      <c r="BE15" s="4">
        <f t="shared" si="84"/>
        <v>0</v>
      </c>
      <c r="BF15" s="4">
        <f t="shared" si="84"/>
        <v>1</v>
      </c>
      <c r="BG15" s="4">
        <f t="shared" si="84"/>
        <v>0</v>
      </c>
      <c r="BH15" s="4">
        <f t="shared" si="84"/>
        <v>0</v>
      </c>
      <c r="BI15" s="4">
        <f t="shared" si="84"/>
        <v>0</v>
      </c>
      <c r="BJ15" s="4">
        <f t="shared" si="84"/>
        <v>1</v>
      </c>
      <c r="BK15" s="4">
        <f t="shared" si="11"/>
        <v>3</v>
      </c>
      <c r="BM15" s="1" t="s">
        <v>232</v>
      </c>
      <c r="BN15" s="1" t="s">
        <v>441</v>
      </c>
      <c r="BO15" s="4">
        <f t="shared" ref="BO15:BU15" si="85">IF(ISNUMBER(SEARCH(BO$1,$BN15)), 1, 0)</f>
        <v>0</v>
      </c>
      <c r="BP15" s="4">
        <f t="shared" si="85"/>
        <v>1</v>
      </c>
      <c r="BQ15" s="4">
        <f t="shared" si="85"/>
        <v>0</v>
      </c>
      <c r="BR15" s="4">
        <f t="shared" si="85"/>
        <v>1</v>
      </c>
      <c r="BS15" s="4">
        <f t="shared" si="85"/>
        <v>1</v>
      </c>
      <c r="BT15" s="4">
        <f t="shared" si="85"/>
        <v>0</v>
      </c>
      <c r="BU15" s="4">
        <f t="shared" si="85"/>
        <v>0</v>
      </c>
    </row>
    <row r="16" spans="1:107" ht="15.75" customHeight="1" x14ac:dyDescent="0.25">
      <c r="A16" s="1" t="b">
        <v>1</v>
      </c>
      <c r="B16" s="3">
        <v>46164.790023148147</v>
      </c>
      <c r="C16" s="1" t="s">
        <v>551</v>
      </c>
      <c r="D16" s="1" t="s">
        <v>207</v>
      </c>
      <c r="E16" s="4">
        <f t="shared" ref="E16:K16" si="86">IF(ISNUMBER(SEARCH(E$1,$D16)), SEARCH(E$1,$D16), 0)</f>
        <v>1</v>
      </c>
      <c r="F16" s="4">
        <f t="shared" si="86"/>
        <v>30</v>
      </c>
      <c r="G16" s="4">
        <f t="shared" si="86"/>
        <v>0</v>
      </c>
      <c r="H16" s="4">
        <f t="shared" si="86"/>
        <v>0</v>
      </c>
      <c r="I16" s="4">
        <f t="shared" si="86"/>
        <v>0</v>
      </c>
      <c r="J16" s="4">
        <f t="shared" si="86"/>
        <v>0</v>
      </c>
      <c r="K16" s="4">
        <f t="shared" si="86"/>
        <v>0</v>
      </c>
      <c r="L16" s="4">
        <f t="shared" si="1"/>
        <v>30</v>
      </c>
      <c r="N16" s="1" t="s">
        <v>272</v>
      </c>
      <c r="O16" s="4">
        <f t="shared" ref="O16:T16" si="87">IF(ISNUMBER(SEARCH(O$1,$N16)), 1, 0)</f>
        <v>1</v>
      </c>
      <c r="P16" s="4">
        <f t="shared" si="87"/>
        <v>1</v>
      </c>
      <c r="Q16" s="4">
        <f t="shared" si="87"/>
        <v>1</v>
      </c>
      <c r="R16" s="4">
        <f t="shared" si="87"/>
        <v>1</v>
      </c>
      <c r="S16" s="4">
        <f t="shared" si="87"/>
        <v>1</v>
      </c>
      <c r="T16" s="4">
        <f t="shared" si="87"/>
        <v>0</v>
      </c>
      <c r="W16" s="1" t="str">
        <f t="shared" si="69"/>
        <v>False</v>
      </c>
      <c r="X16" s="1" t="str">
        <f t="shared" si="69"/>
        <v>False</v>
      </c>
      <c r="Y16" s="1" t="str">
        <f t="shared" si="69"/>
        <v>False</v>
      </c>
      <c r="Z16" s="1" t="str">
        <f t="shared" si="69"/>
        <v>False</v>
      </c>
      <c r="AA16" s="1" t="str">
        <f t="shared" si="69"/>
        <v>False</v>
      </c>
      <c r="AB16" s="1" t="s">
        <v>552</v>
      </c>
      <c r="AC16" s="4">
        <f t="shared" ref="AC16:AH16" si="88">IF(ISNUMBER(SEARCH(AC$1,$AB16)), 1, 0)</f>
        <v>1</v>
      </c>
      <c r="AD16" s="4">
        <f t="shared" si="88"/>
        <v>1</v>
      </c>
      <c r="AE16" s="4">
        <f t="shared" si="88"/>
        <v>1</v>
      </c>
      <c r="AF16" s="4">
        <f t="shared" si="88"/>
        <v>0</v>
      </c>
      <c r="AG16" s="4">
        <f t="shared" si="88"/>
        <v>0</v>
      </c>
      <c r="AH16" s="4">
        <f t="shared" si="88"/>
        <v>1</v>
      </c>
      <c r="AI16" s="1">
        <f t="shared" si="5"/>
        <v>4</v>
      </c>
      <c r="AK16" s="1" t="s">
        <v>553</v>
      </c>
      <c r="AL16" s="4">
        <f t="shared" ref="AL16:AS16" si="89">IF(ISNUMBER(SEARCH(AL$1,$AK16)), 1, 0)</f>
        <v>1</v>
      </c>
      <c r="AM16" s="4">
        <f t="shared" si="89"/>
        <v>1</v>
      </c>
      <c r="AN16" s="4">
        <f t="shared" si="89"/>
        <v>1</v>
      </c>
      <c r="AO16" s="4">
        <f t="shared" si="89"/>
        <v>1</v>
      </c>
      <c r="AP16" s="4">
        <f t="shared" si="89"/>
        <v>0</v>
      </c>
      <c r="AQ16" s="4">
        <f t="shared" si="89"/>
        <v>1</v>
      </c>
      <c r="AR16" s="4">
        <f t="shared" si="89"/>
        <v>1</v>
      </c>
      <c r="AS16" s="4">
        <f t="shared" si="89"/>
        <v>0</v>
      </c>
      <c r="AU16" s="1" t="s">
        <v>47</v>
      </c>
      <c r="AV16" s="1">
        <f t="shared" si="7"/>
        <v>1</v>
      </c>
      <c r="AW16" s="1">
        <f t="shared" si="8"/>
        <v>0</v>
      </c>
      <c r="AX16" s="1">
        <f t="shared" si="9"/>
        <v>0</v>
      </c>
      <c r="AY16" s="1" t="s">
        <v>48</v>
      </c>
      <c r="BA16" s="1" t="s">
        <v>554</v>
      </c>
      <c r="BB16" s="4">
        <f t="shared" ref="BB16:BJ16" si="90">IF(ISNUMBER(SEARCH(BB$1,$BA16)), 1, 0)</f>
        <v>0</v>
      </c>
      <c r="BC16" s="4">
        <f t="shared" si="90"/>
        <v>1</v>
      </c>
      <c r="BD16" s="4">
        <f t="shared" si="90"/>
        <v>1</v>
      </c>
      <c r="BE16" s="4">
        <f t="shared" si="90"/>
        <v>1</v>
      </c>
      <c r="BF16" s="4">
        <f t="shared" si="90"/>
        <v>1</v>
      </c>
      <c r="BG16" s="4">
        <f t="shared" si="90"/>
        <v>1</v>
      </c>
      <c r="BH16" s="4">
        <f t="shared" si="90"/>
        <v>0</v>
      </c>
      <c r="BI16" s="4">
        <f t="shared" si="90"/>
        <v>0</v>
      </c>
      <c r="BJ16" s="4">
        <f t="shared" si="90"/>
        <v>0</v>
      </c>
      <c r="BK16" s="4">
        <f t="shared" si="11"/>
        <v>5</v>
      </c>
      <c r="BM16" s="1" t="s">
        <v>190</v>
      </c>
      <c r="BN16" s="1" t="s">
        <v>72</v>
      </c>
      <c r="BO16" s="4">
        <f t="shared" ref="BO16:BU16" si="91">IF(ISNUMBER(SEARCH(BO$1,$BN16)), 1, 0)</f>
        <v>0</v>
      </c>
      <c r="BP16" s="4">
        <f t="shared" si="91"/>
        <v>0</v>
      </c>
      <c r="BQ16" s="4">
        <f t="shared" si="91"/>
        <v>0</v>
      </c>
      <c r="BR16" s="4">
        <f t="shared" si="91"/>
        <v>0</v>
      </c>
      <c r="BS16" s="4">
        <f t="shared" si="91"/>
        <v>0</v>
      </c>
      <c r="BT16" s="4">
        <f t="shared" si="91"/>
        <v>0</v>
      </c>
      <c r="BU16" s="4">
        <f t="shared" si="91"/>
        <v>1</v>
      </c>
      <c r="CX16" s="1" t="s">
        <v>555</v>
      </c>
      <c r="CZ16" s="1" t="s">
        <v>178</v>
      </c>
      <c r="DC16" s="1" t="s">
        <v>238</v>
      </c>
    </row>
    <row r="17" spans="1:107" ht="15.75" customHeight="1" x14ac:dyDescent="0.25">
      <c r="A17" s="1" t="b">
        <v>1</v>
      </c>
      <c r="B17" s="3">
        <v>46167.296018518522</v>
      </c>
      <c r="C17" s="1" t="s">
        <v>675</v>
      </c>
      <c r="D17" s="1" t="s">
        <v>207</v>
      </c>
      <c r="E17" s="4">
        <f t="shared" ref="E17:K17" si="92">IF(ISNUMBER(SEARCH(E$1,$D17)), SEARCH(E$1,$D17), 0)</f>
        <v>1</v>
      </c>
      <c r="F17" s="4">
        <f t="shared" si="92"/>
        <v>30</v>
      </c>
      <c r="G17" s="4">
        <f t="shared" si="92"/>
        <v>0</v>
      </c>
      <c r="H17" s="4">
        <f t="shared" si="92"/>
        <v>0</v>
      </c>
      <c r="I17" s="4">
        <f t="shared" si="92"/>
        <v>0</v>
      </c>
      <c r="J17" s="4">
        <f t="shared" si="92"/>
        <v>0</v>
      </c>
      <c r="K17" s="4">
        <f t="shared" si="92"/>
        <v>0</v>
      </c>
      <c r="L17" s="4">
        <f t="shared" si="1"/>
        <v>30</v>
      </c>
      <c r="N17" s="1" t="s">
        <v>240</v>
      </c>
      <c r="O17" s="4">
        <f t="shared" ref="O17:T17" si="93">IF(ISNUMBER(SEARCH(O$1,$N17)), 1, 0)</f>
        <v>1</v>
      </c>
      <c r="P17" s="4">
        <f t="shared" si="93"/>
        <v>1</v>
      </c>
      <c r="Q17" s="4">
        <f t="shared" si="93"/>
        <v>1</v>
      </c>
      <c r="R17" s="4">
        <f t="shared" si="93"/>
        <v>1</v>
      </c>
      <c r="S17" s="4">
        <f t="shared" si="93"/>
        <v>0</v>
      </c>
      <c r="T17" s="4">
        <f t="shared" si="93"/>
        <v>0</v>
      </c>
      <c r="W17" s="1" t="str">
        <f t="shared" si="69"/>
        <v>False</v>
      </c>
      <c r="X17" s="1" t="str">
        <f t="shared" si="69"/>
        <v>False</v>
      </c>
      <c r="Y17" s="1" t="str">
        <f t="shared" si="69"/>
        <v>False</v>
      </c>
      <c r="Z17" s="1" t="str">
        <f t="shared" si="69"/>
        <v>False</v>
      </c>
      <c r="AA17" s="1" t="str">
        <f t="shared" si="69"/>
        <v>False</v>
      </c>
      <c r="AB17" s="1" t="s">
        <v>31</v>
      </c>
      <c r="AC17" s="4">
        <f t="shared" ref="AC17:AH17" si="94">IF(ISNUMBER(SEARCH(AC$1,$AB17)), 1, 0)</f>
        <v>0</v>
      </c>
      <c r="AD17" s="4">
        <f t="shared" si="94"/>
        <v>0</v>
      </c>
      <c r="AE17" s="4">
        <f t="shared" si="94"/>
        <v>0</v>
      </c>
      <c r="AF17" s="4">
        <f t="shared" si="94"/>
        <v>1</v>
      </c>
      <c r="AG17" s="4">
        <f t="shared" si="94"/>
        <v>0</v>
      </c>
      <c r="AH17" s="4">
        <f t="shared" si="94"/>
        <v>0</v>
      </c>
      <c r="AI17" s="1">
        <f t="shared" si="5"/>
        <v>1</v>
      </c>
      <c r="AK17" s="1" t="s">
        <v>611</v>
      </c>
      <c r="AL17" s="4">
        <f t="shared" ref="AL17:AS17" si="95">IF(ISNUMBER(SEARCH(AL$1,$AK17)), 1, 0)</f>
        <v>0</v>
      </c>
      <c r="AM17" s="4">
        <f t="shared" si="95"/>
        <v>1</v>
      </c>
      <c r="AN17" s="4">
        <f t="shared" si="95"/>
        <v>1</v>
      </c>
      <c r="AO17" s="4">
        <f t="shared" si="95"/>
        <v>1</v>
      </c>
      <c r="AP17" s="4">
        <f t="shared" si="95"/>
        <v>1</v>
      </c>
      <c r="AQ17" s="4">
        <f t="shared" si="95"/>
        <v>1</v>
      </c>
      <c r="AR17" s="4">
        <f t="shared" si="95"/>
        <v>1</v>
      </c>
      <c r="AS17" s="4">
        <f t="shared" si="95"/>
        <v>0</v>
      </c>
      <c r="AU17" s="1" t="s">
        <v>47</v>
      </c>
      <c r="AV17" s="1">
        <f t="shared" si="7"/>
        <v>1</v>
      </c>
      <c r="AW17" s="1">
        <f t="shared" si="8"/>
        <v>0</v>
      </c>
      <c r="AX17" s="1">
        <f t="shared" si="9"/>
        <v>0</v>
      </c>
      <c r="AY17" s="1" t="s">
        <v>48</v>
      </c>
      <c r="BA17" s="1" t="s">
        <v>676</v>
      </c>
      <c r="BB17" s="4">
        <f t="shared" ref="BB17:BJ17" si="96">IF(ISNUMBER(SEARCH(BB$1,$BA17)), 1, 0)</f>
        <v>0</v>
      </c>
      <c r="BC17" s="4">
        <f t="shared" si="96"/>
        <v>0</v>
      </c>
      <c r="BD17" s="4">
        <f t="shared" si="96"/>
        <v>1</v>
      </c>
      <c r="BE17" s="4">
        <f t="shared" si="96"/>
        <v>1</v>
      </c>
      <c r="BF17" s="4">
        <f t="shared" si="96"/>
        <v>0</v>
      </c>
      <c r="BG17" s="4">
        <f t="shared" si="96"/>
        <v>0</v>
      </c>
      <c r="BH17" s="4">
        <f t="shared" si="96"/>
        <v>0</v>
      </c>
      <c r="BI17" s="4">
        <f t="shared" si="96"/>
        <v>0</v>
      </c>
      <c r="BJ17" s="4">
        <f t="shared" si="96"/>
        <v>0</v>
      </c>
      <c r="BK17" s="4">
        <f t="shared" si="11"/>
        <v>2</v>
      </c>
      <c r="BM17" s="1" t="s">
        <v>190</v>
      </c>
      <c r="BN17" s="1" t="s">
        <v>677</v>
      </c>
      <c r="BO17" s="4">
        <f t="shared" ref="BO17:BU17" si="97">IF(ISNUMBER(SEARCH(BO$1,$BN17)), 1, 0)</f>
        <v>0</v>
      </c>
      <c r="BP17" s="4">
        <f t="shared" si="97"/>
        <v>1</v>
      </c>
      <c r="BQ17" s="4">
        <f t="shared" si="97"/>
        <v>1</v>
      </c>
      <c r="BR17" s="4">
        <f t="shared" si="97"/>
        <v>0</v>
      </c>
      <c r="BS17" s="4">
        <f t="shared" si="97"/>
        <v>0</v>
      </c>
      <c r="BT17" s="4">
        <f t="shared" si="97"/>
        <v>1</v>
      </c>
      <c r="BU17" s="4">
        <f t="shared" si="97"/>
        <v>0</v>
      </c>
      <c r="CX17" s="1" t="s">
        <v>678</v>
      </c>
      <c r="CZ17" s="1" t="s">
        <v>679</v>
      </c>
      <c r="DC17" s="1" t="s">
        <v>180</v>
      </c>
    </row>
    <row r="18" spans="1:107" ht="15.75" customHeight="1" x14ac:dyDescent="0.25">
      <c r="A18" s="1" t="b">
        <v>1</v>
      </c>
      <c r="B18" s="3">
        <v>46164.703969907408</v>
      </c>
      <c r="C18" s="1" t="s">
        <v>528</v>
      </c>
      <c r="D18" s="1" t="s">
        <v>192</v>
      </c>
      <c r="E18" s="4">
        <f t="shared" ref="E18:K18" si="98">IF(ISNUMBER(SEARCH(E$1,$D18)), SEARCH(E$1,$D18), 0)</f>
        <v>1</v>
      </c>
      <c r="F18" s="4">
        <f t="shared" si="98"/>
        <v>30</v>
      </c>
      <c r="G18" s="4">
        <f t="shared" si="98"/>
        <v>0</v>
      </c>
      <c r="H18" s="4">
        <f t="shared" si="98"/>
        <v>0</v>
      </c>
      <c r="I18" s="4">
        <f t="shared" si="98"/>
        <v>0</v>
      </c>
      <c r="J18" s="4">
        <f t="shared" si="98"/>
        <v>0</v>
      </c>
      <c r="K18" s="4">
        <f t="shared" si="98"/>
        <v>105</v>
      </c>
      <c r="L18" s="4">
        <f t="shared" si="1"/>
        <v>105</v>
      </c>
      <c r="N18" s="1" t="s">
        <v>187</v>
      </c>
      <c r="O18" s="4">
        <f t="shared" ref="O18:T18" si="99">IF(ISNUMBER(SEARCH(O$1,$N18)), 1, 0)</f>
        <v>1</v>
      </c>
      <c r="P18" s="4">
        <f t="shared" si="99"/>
        <v>1</v>
      </c>
      <c r="Q18" s="4">
        <f t="shared" si="99"/>
        <v>1</v>
      </c>
      <c r="R18" s="4">
        <f t="shared" si="99"/>
        <v>1</v>
      </c>
      <c r="S18" s="4">
        <f t="shared" si="99"/>
        <v>1</v>
      </c>
      <c r="T18" s="4">
        <f t="shared" si="99"/>
        <v>1</v>
      </c>
      <c r="V18" s="1" t="s">
        <v>26</v>
      </c>
      <c r="W18" s="1" t="str">
        <f t="shared" si="69"/>
        <v>False</v>
      </c>
      <c r="X18" s="1" t="str">
        <f t="shared" si="69"/>
        <v>False</v>
      </c>
      <c r="Y18" s="1" t="str">
        <f t="shared" si="69"/>
        <v>False</v>
      </c>
      <c r="Z18" s="1" t="str">
        <f t="shared" si="69"/>
        <v>False</v>
      </c>
      <c r="AA18" s="1" t="str">
        <f t="shared" si="69"/>
        <v>True</v>
      </c>
      <c r="AB18" s="1" t="s">
        <v>529</v>
      </c>
      <c r="AC18" s="4">
        <f t="shared" ref="AC18:AH18" si="100">IF(ISNUMBER(SEARCH(AC$1,$AB18)), 1, 0)</f>
        <v>1</v>
      </c>
      <c r="AD18" s="4">
        <f t="shared" si="100"/>
        <v>1</v>
      </c>
      <c r="AE18" s="4">
        <f t="shared" si="100"/>
        <v>0</v>
      </c>
      <c r="AF18" s="4">
        <f t="shared" si="100"/>
        <v>0</v>
      </c>
      <c r="AG18" s="4">
        <f t="shared" si="100"/>
        <v>1</v>
      </c>
      <c r="AH18" s="4">
        <f t="shared" si="100"/>
        <v>1</v>
      </c>
      <c r="AI18" s="1">
        <f t="shared" si="5"/>
        <v>4</v>
      </c>
      <c r="AK18" s="1" t="s">
        <v>492</v>
      </c>
      <c r="AL18" s="4">
        <f t="shared" ref="AL18:AS18" si="101">IF(ISNUMBER(SEARCH(AL$1,$AK18)), 1, 0)</f>
        <v>1</v>
      </c>
      <c r="AM18" s="4">
        <f t="shared" si="101"/>
        <v>1</v>
      </c>
      <c r="AN18" s="4">
        <f t="shared" si="101"/>
        <v>1</v>
      </c>
      <c r="AO18" s="4">
        <f t="shared" si="101"/>
        <v>1</v>
      </c>
      <c r="AP18" s="4">
        <f t="shared" si="101"/>
        <v>1</v>
      </c>
      <c r="AQ18" s="4">
        <f t="shared" si="101"/>
        <v>1</v>
      </c>
      <c r="AR18" s="4">
        <f t="shared" si="101"/>
        <v>1</v>
      </c>
      <c r="AS18" s="4">
        <f t="shared" si="101"/>
        <v>0</v>
      </c>
      <c r="AU18" s="1" t="s">
        <v>48</v>
      </c>
      <c r="AV18" s="1">
        <f t="shared" si="7"/>
        <v>0</v>
      </c>
      <c r="AW18" s="1">
        <f t="shared" si="8"/>
        <v>1</v>
      </c>
      <c r="AX18" s="1">
        <f t="shared" si="9"/>
        <v>0</v>
      </c>
      <c r="AY18" s="1" t="s">
        <v>48</v>
      </c>
      <c r="BA18" s="1" t="s">
        <v>530</v>
      </c>
      <c r="BB18" s="4">
        <f t="shared" ref="BB18:BJ18" si="102">IF(ISNUMBER(SEARCH(BB$1,$BA18)), 1, 0)</f>
        <v>1</v>
      </c>
      <c r="BC18" s="4">
        <f t="shared" si="102"/>
        <v>1</v>
      </c>
      <c r="BD18" s="4">
        <f t="shared" si="102"/>
        <v>1</v>
      </c>
      <c r="BE18" s="4">
        <f t="shared" si="102"/>
        <v>1</v>
      </c>
      <c r="BF18" s="4">
        <f t="shared" si="102"/>
        <v>1</v>
      </c>
      <c r="BG18" s="4">
        <f t="shared" si="102"/>
        <v>1</v>
      </c>
      <c r="BH18" s="4">
        <f t="shared" si="102"/>
        <v>0</v>
      </c>
      <c r="BI18" s="4">
        <f t="shared" si="102"/>
        <v>1</v>
      </c>
      <c r="BJ18" s="4">
        <f t="shared" si="102"/>
        <v>1</v>
      </c>
      <c r="BK18" s="4">
        <f t="shared" si="11"/>
        <v>8</v>
      </c>
      <c r="BM18" s="1" t="s">
        <v>232</v>
      </c>
      <c r="BN18" s="1" t="s">
        <v>531</v>
      </c>
      <c r="BO18" s="4">
        <f t="shared" ref="BO18:BU18" si="103">IF(ISNUMBER(SEARCH(BO$1,$BN18)), 1, 0)</f>
        <v>1</v>
      </c>
      <c r="BP18" s="4">
        <f t="shared" si="103"/>
        <v>0</v>
      </c>
      <c r="BQ18" s="4">
        <f t="shared" si="103"/>
        <v>0</v>
      </c>
      <c r="BR18" s="4">
        <f t="shared" si="103"/>
        <v>1</v>
      </c>
      <c r="BS18" s="4">
        <f t="shared" si="103"/>
        <v>1</v>
      </c>
      <c r="BT18" s="4">
        <f t="shared" si="103"/>
        <v>1</v>
      </c>
      <c r="BU18" s="4">
        <f t="shared" si="103"/>
        <v>0</v>
      </c>
      <c r="BW18" s="1" t="s">
        <v>532</v>
      </c>
      <c r="BZ18" s="1" t="s">
        <v>533</v>
      </c>
      <c r="CM18" s="1" t="s">
        <v>47</v>
      </c>
      <c r="CQ18" s="1" t="s">
        <v>48</v>
      </c>
      <c r="CX18" s="1" t="s">
        <v>534</v>
      </c>
      <c r="CZ18" s="1" t="s">
        <v>214</v>
      </c>
      <c r="DC18" s="1" t="s">
        <v>180</v>
      </c>
    </row>
    <row r="19" spans="1:107" ht="15.75" customHeight="1" x14ac:dyDescent="0.25">
      <c r="A19" s="1" t="b">
        <v>1</v>
      </c>
      <c r="B19" s="3">
        <v>46164.850706018522</v>
      </c>
      <c r="C19" s="1" t="s">
        <v>559</v>
      </c>
      <c r="D19" s="1" t="s">
        <v>207</v>
      </c>
      <c r="E19" s="4">
        <f t="shared" ref="E19:K19" si="104">IF(ISNUMBER(SEARCH(E$1,$D19)), SEARCH(E$1,$D19), 0)</f>
        <v>1</v>
      </c>
      <c r="F19" s="4">
        <f t="shared" si="104"/>
        <v>30</v>
      </c>
      <c r="G19" s="4">
        <f t="shared" si="104"/>
        <v>0</v>
      </c>
      <c r="H19" s="4">
        <f t="shared" si="104"/>
        <v>0</v>
      </c>
      <c r="I19" s="4">
        <f t="shared" si="104"/>
        <v>0</v>
      </c>
      <c r="J19" s="4">
        <f t="shared" si="104"/>
        <v>0</v>
      </c>
      <c r="K19" s="4">
        <f t="shared" si="104"/>
        <v>0</v>
      </c>
      <c r="L19" s="4">
        <f t="shared" si="1"/>
        <v>30</v>
      </c>
      <c r="N19" s="1" t="s">
        <v>385</v>
      </c>
      <c r="O19" s="4">
        <f t="shared" ref="O19:T19" si="105">IF(ISNUMBER(SEARCH(O$1,$N19)), 1, 0)</f>
        <v>1</v>
      </c>
      <c r="P19" s="4">
        <f t="shared" si="105"/>
        <v>1</v>
      </c>
      <c r="Q19" s="4">
        <f t="shared" si="105"/>
        <v>0</v>
      </c>
      <c r="R19" s="4">
        <f t="shared" si="105"/>
        <v>1</v>
      </c>
      <c r="S19" s="4">
        <f t="shared" si="105"/>
        <v>1</v>
      </c>
      <c r="T19" s="4">
        <f t="shared" si="105"/>
        <v>0</v>
      </c>
      <c r="V19" s="1" t="s">
        <v>25</v>
      </c>
      <c r="W19" s="1" t="str">
        <f t="shared" si="69"/>
        <v>False</v>
      </c>
      <c r="X19" s="1" t="str">
        <f t="shared" si="69"/>
        <v>False</v>
      </c>
      <c r="Y19" s="1" t="str">
        <f t="shared" si="69"/>
        <v>False</v>
      </c>
      <c r="Z19" s="1" t="str">
        <f t="shared" si="69"/>
        <v>True</v>
      </c>
      <c r="AA19" s="1" t="str">
        <f t="shared" si="69"/>
        <v>False</v>
      </c>
      <c r="AB19" s="1" t="s">
        <v>560</v>
      </c>
      <c r="AC19" s="4">
        <f t="shared" ref="AC19:AH19" si="106">IF(ISNUMBER(SEARCH(AC$1,$AB19)), 1, 0)</f>
        <v>1</v>
      </c>
      <c r="AD19" s="4">
        <f t="shared" si="106"/>
        <v>0</v>
      </c>
      <c r="AE19" s="4">
        <f t="shared" si="106"/>
        <v>1</v>
      </c>
      <c r="AF19" s="4">
        <f t="shared" si="106"/>
        <v>0</v>
      </c>
      <c r="AG19" s="4">
        <f t="shared" si="106"/>
        <v>0</v>
      </c>
      <c r="AH19" s="4">
        <f t="shared" si="106"/>
        <v>1</v>
      </c>
      <c r="AI19" s="1">
        <f t="shared" si="5"/>
        <v>3</v>
      </c>
      <c r="AK19" s="1" t="s">
        <v>224</v>
      </c>
      <c r="AL19" s="4">
        <f t="shared" ref="AL19:AS19" si="107">IF(ISNUMBER(SEARCH(AL$1,$AK19)), 1, 0)</f>
        <v>1</v>
      </c>
      <c r="AM19" s="4">
        <f t="shared" si="107"/>
        <v>0</v>
      </c>
      <c r="AN19" s="4">
        <f t="shared" si="107"/>
        <v>1</v>
      </c>
      <c r="AO19" s="4">
        <f t="shared" si="107"/>
        <v>0</v>
      </c>
      <c r="AP19" s="4">
        <f t="shared" si="107"/>
        <v>0</v>
      </c>
      <c r="AQ19" s="4">
        <f t="shared" si="107"/>
        <v>1</v>
      </c>
      <c r="AR19" s="4">
        <f t="shared" si="107"/>
        <v>0</v>
      </c>
      <c r="AS19" s="4">
        <f t="shared" si="107"/>
        <v>0</v>
      </c>
      <c r="AU19" s="1" t="s">
        <v>47</v>
      </c>
      <c r="AV19" s="1">
        <f t="shared" si="7"/>
        <v>1</v>
      </c>
      <c r="AW19" s="1">
        <f t="shared" si="8"/>
        <v>0</v>
      </c>
      <c r="AX19" s="1">
        <f t="shared" si="9"/>
        <v>0</v>
      </c>
      <c r="AY19" s="1" t="s">
        <v>48</v>
      </c>
      <c r="BA19" s="1" t="s">
        <v>231</v>
      </c>
      <c r="BB19" s="4">
        <f t="shared" ref="BB19:BJ19" si="108">IF(ISNUMBER(SEARCH(BB$1,$BA19)), 1, 0)</f>
        <v>1</v>
      </c>
      <c r="BC19" s="4">
        <f t="shared" si="108"/>
        <v>1</v>
      </c>
      <c r="BD19" s="4">
        <f t="shared" si="108"/>
        <v>1</v>
      </c>
      <c r="BE19" s="4">
        <f t="shared" si="108"/>
        <v>1</v>
      </c>
      <c r="BF19" s="4">
        <f t="shared" si="108"/>
        <v>1</v>
      </c>
      <c r="BG19" s="4">
        <f t="shared" si="108"/>
        <v>1</v>
      </c>
      <c r="BH19" s="4">
        <f t="shared" si="108"/>
        <v>0</v>
      </c>
      <c r="BI19" s="4">
        <f t="shared" si="108"/>
        <v>0</v>
      </c>
      <c r="BJ19" s="4">
        <f t="shared" si="108"/>
        <v>1</v>
      </c>
      <c r="BK19" s="4">
        <f t="shared" si="11"/>
        <v>7</v>
      </c>
      <c r="BM19" s="1" t="s">
        <v>166</v>
      </c>
      <c r="BN19" s="1" t="s">
        <v>501</v>
      </c>
      <c r="BO19" s="4">
        <f t="shared" ref="BO19:BU19" si="109">IF(ISNUMBER(SEARCH(BO$1,$BN19)), 1, 0)</f>
        <v>1</v>
      </c>
      <c r="BP19" s="4">
        <f t="shared" si="109"/>
        <v>1</v>
      </c>
      <c r="BQ19" s="4">
        <f t="shared" si="109"/>
        <v>1</v>
      </c>
      <c r="BR19" s="4">
        <f t="shared" si="109"/>
        <v>1</v>
      </c>
      <c r="BS19" s="4">
        <f t="shared" si="109"/>
        <v>0</v>
      </c>
      <c r="BT19" s="4">
        <f t="shared" si="109"/>
        <v>1</v>
      </c>
      <c r="BU19" s="4">
        <f t="shared" si="109"/>
        <v>0</v>
      </c>
      <c r="CX19" s="1" t="s">
        <v>466</v>
      </c>
      <c r="CZ19" s="1" t="s">
        <v>178</v>
      </c>
      <c r="DB19" s="1" t="s">
        <v>561</v>
      </c>
      <c r="DC19" s="1" t="s">
        <v>238</v>
      </c>
    </row>
    <row r="20" spans="1:107" ht="15.75" customHeight="1" x14ac:dyDescent="0.25">
      <c r="A20" s="1" t="b">
        <v>1</v>
      </c>
      <c r="B20" s="3">
        <v>46162.902569444443</v>
      </c>
      <c r="C20" s="1" t="s">
        <v>455</v>
      </c>
      <c r="D20" s="1" t="s">
        <v>207</v>
      </c>
      <c r="E20" s="4">
        <f t="shared" ref="E20:K20" si="110">IF(ISNUMBER(SEARCH(E$1,$D20)), SEARCH(E$1,$D20), 0)</f>
        <v>1</v>
      </c>
      <c r="F20" s="4">
        <f t="shared" si="110"/>
        <v>30</v>
      </c>
      <c r="G20" s="4">
        <f t="shared" si="110"/>
        <v>0</v>
      </c>
      <c r="H20" s="4">
        <f t="shared" si="110"/>
        <v>0</v>
      </c>
      <c r="I20" s="4">
        <f t="shared" si="110"/>
        <v>0</v>
      </c>
      <c r="J20" s="4">
        <f t="shared" si="110"/>
        <v>0</v>
      </c>
      <c r="K20" s="4">
        <f t="shared" si="110"/>
        <v>0</v>
      </c>
      <c r="L20" s="4">
        <f t="shared" si="1"/>
        <v>30</v>
      </c>
      <c r="N20" s="1" t="s">
        <v>328</v>
      </c>
      <c r="O20" s="4">
        <f t="shared" ref="O20:T20" si="111">IF(ISNUMBER(SEARCH(O$1,$N20)), 1, 0)</f>
        <v>1</v>
      </c>
      <c r="P20" s="4">
        <f t="shared" si="111"/>
        <v>1</v>
      </c>
      <c r="Q20" s="4">
        <f t="shared" si="111"/>
        <v>1</v>
      </c>
      <c r="R20" s="4">
        <f t="shared" si="111"/>
        <v>0</v>
      </c>
      <c r="S20" s="4">
        <f t="shared" si="111"/>
        <v>0</v>
      </c>
      <c r="T20" s="4">
        <f t="shared" si="111"/>
        <v>0</v>
      </c>
      <c r="W20" s="1" t="str">
        <f t="shared" si="69"/>
        <v>False</v>
      </c>
      <c r="X20" s="1" t="str">
        <f t="shared" si="69"/>
        <v>False</v>
      </c>
      <c r="Y20" s="1" t="str">
        <f t="shared" si="69"/>
        <v>False</v>
      </c>
      <c r="Z20" s="1" t="str">
        <f t="shared" si="69"/>
        <v>False</v>
      </c>
      <c r="AA20" s="1" t="str">
        <f t="shared" si="69"/>
        <v>False</v>
      </c>
      <c r="AB20" s="1" t="s">
        <v>456</v>
      </c>
      <c r="AC20" s="4">
        <f t="shared" ref="AC20:AH20" si="112">IF(ISNUMBER(SEARCH(AC$1,$AB20)), 1, 0)</f>
        <v>1</v>
      </c>
      <c r="AD20" s="4">
        <f t="shared" si="112"/>
        <v>1</v>
      </c>
      <c r="AE20" s="4">
        <f t="shared" si="112"/>
        <v>0</v>
      </c>
      <c r="AF20" s="4">
        <f t="shared" si="112"/>
        <v>1</v>
      </c>
      <c r="AG20" s="4">
        <f t="shared" si="112"/>
        <v>0</v>
      </c>
      <c r="AH20" s="4">
        <f t="shared" si="112"/>
        <v>1</v>
      </c>
      <c r="AI20" s="1">
        <f t="shared" si="5"/>
        <v>4</v>
      </c>
      <c r="AK20" s="1" t="s">
        <v>246</v>
      </c>
      <c r="AL20" s="4">
        <f t="shared" ref="AL20:AS20" si="113">IF(ISNUMBER(SEARCH(AL$1,$AK20)), 1, 0)</f>
        <v>1</v>
      </c>
      <c r="AM20" s="4">
        <f t="shared" si="113"/>
        <v>1</v>
      </c>
      <c r="AN20" s="4">
        <f t="shared" si="113"/>
        <v>0</v>
      </c>
      <c r="AO20" s="4">
        <f t="shared" si="113"/>
        <v>1</v>
      </c>
      <c r="AP20" s="4">
        <f t="shared" si="113"/>
        <v>0</v>
      </c>
      <c r="AQ20" s="4">
        <f t="shared" si="113"/>
        <v>1</v>
      </c>
      <c r="AR20" s="4">
        <f t="shared" si="113"/>
        <v>0</v>
      </c>
      <c r="AS20" s="4">
        <f t="shared" si="113"/>
        <v>0</v>
      </c>
      <c r="AU20" s="1" t="s">
        <v>48</v>
      </c>
      <c r="AV20" s="1">
        <f t="shared" si="7"/>
        <v>0</v>
      </c>
      <c r="AW20" s="1">
        <f t="shared" si="8"/>
        <v>1</v>
      </c>
      <c r="AX20" s="1">
        <f t="shared" si="9"/>
        <v>0</v>
      </c>
      <c r="AY20" s="1" t="s">
        <v>48</v>
      </c>
      <c r="BA20" s="1" t="s">
        <v>457</v>
      </c>
      <c r="BB20" s="4">
        <f t="shared" ref="BB20:BJ20" si="114">IF(ISNUMBER(SEARCH(BB$1,$BA20)), 1, 0)</f>
        <v>0</v>
      </c>
      <c r="BC20" s="4">
        <f t="shared" si="114"/>
        <v>0</v>
      </c>
      <c r="BD20" s="4">
        <f t="shared" si="114"/>
        <v>0</v>
      </c>
      <c r="BE20" s="4">
        <f t="shared" si="114"/>
        <v>0</v>
      </c>
      <c r="BF20" s="4">
        <f t="shared" si="114"/>
        <v>1</v>
      </c>
      <c r="BG20" s="4">
        <f t="shared" si="114"/>
        <v>1</v>
      </c>
      <c r="BH20" s="4">
        <f t="shared" si="114"/>
        <v>0</v>
      </c>
      <c r="BI20" s="4">
        <f t="shared" si="114"/>
        <v>0</v>
      </c>
      <c r="BJ20" s="4">
        <f t="shared" si="114"/>
        <v>1</v>
      </c>
      <c r="BK20" s="4">
        <f t="shared" si="11"/>
        <v>3</v>
      </c>
      <c r="BM20" s="1" t="s">
        <v>166</v>
      </c>
      <c r="BN20" s="1" t="s">
        <v>458</v>
      </c>
      <c r="BO20" s="4">
        <f t="shared" ref="BO20:BU20" si="115">IF(ISNUMBER(SEARCH(BO$1,$BN20)), 1, 0)</f>
        <v>0</v>
      </c>
      <c r="BP20" s="4">
        <f t="shared" si="115"/>
        <v>1</v>
      </c>
      <c r="BQ20" s="4">
        <f t="shared" si="115"/>
        <v>1</v>
      </c>
      <c r="BR20" s="4">
        <f t="shared" si="115"/>
        <v>0</v>
      </c>
      <c r="BS20" s="4">
        <f t="shared" si="115"/>
        <v>0</v>
      </c>
      <c r="BT20" s="4">
        <f t="shared" si="115"/>
        <v>1</v>
      </c>
      <c r="BU20" s="4">
        <f t="shared" si="115"/>
        <v>1</v>
      </c>
      <c r="BW20" s="1" t="s">
        <v>212</v>
      </c>
      <c r="BZ20" s="1" t="s">
        <v>459</v>
      </c>
      <c r="CA20" s="1" t="s">
        <v>460</v>
      </c>
      <c r="CX20" s="1" t="s">
        <v>461</v>
      </c>
      <c r="CZ20" s="1" t="s">
        <v>462</v>
      </c>
      <c r="DC20" s="1" t="s">
        <v>238</v>
      </c>
    </row>
    <row r="21" spans="1:107" ht="15.75" customHeight="1" x14ac:dyDescent="0.25">
      <c r="A21" s="1" t="b">
        <v>1</v>
      </c>
      <c r="B21" s="3">
        <v>46151.013645833336</v>
      </c>
      <c r="C21" s="1" t="s">
        <v>226</v>
      </c>
      <c r="D21" s="1" t="s">
        <v>227</v>
      </c>
      <c r="E21" s="4">
        <f t="shared" ref="E21:K21" si="116">IF(ISNUMBER(SEARCH(E$1,$D21)), SEARCH(E$1,$D21), 0)</f>
        <v>1</v>
      </c>
      <c r="F21" s="4">
        <f t="shared" si="116"/>
        <v>30</v>
      </c>
      <c r="G21" s="4">
        <f t="shared" si="116"/>
        <v>0</v>
      </c>
      <c r="H21" s="4">
        <f t="shared" si="116"/>
        <v>0</v>
      </c>
      <c r="I21" s="4">
        <f t="shared" si="116"/>
        <v>0</v>
      </c>
      <c r="J21" s="4">
        <f t="shared" si="116"/>
        <v>0</v>
      </c>
      <c r="K21" s="4">
        <f t="shared" si="116"/>
        <v>0</v>
      </c>
      <c r="L21" s="4">
        <f t="shared" si="1"/>
        <v>30</v>
      </c>
      <c r="M21" s="1" t="s">
        <v>228</v>
      </c>
      <c r="N21" s="1" t="s">
        <v>229</v>
      </c>
      <c r="O21" s="4">
        <f t="shared" ref="O21:T21" si="117">IF(ISNUMBER(SEARCH(O$1,$N21)), 1, 0)</f>
        <v>1</v>
      </c>
      <c r="P21" s="4">
        <f t="shared" si="117"/>
        <v>0</v>
      </c>
      <c r="Q21" s="4">
        <f t="shared" si="117"/>
        <v>1</v>
      </c>
      <c r="R21" s="4">
        <f t="shared" si="117"/>
        <v>1</v>
      </c>
      <c r="S21" s="4">
        <f t="shared" si="117"/>
        <v>1</v>
      </c>
      <c r="T21" s="4">
        <f t="shared" si="117"/>
        <v>0</v>
      </c>
      <c r="V21" s="1" t="s">
        <v>26</v>
      </c>
      <c r="W21" s="1" t="str">
        <f t="shared" si="69"/>
        <v>False</v>
      </c>
      <c r="X21" s="1" t="str">
        <f t="shared" si="69"/>
        <v>False</v>
      </c>
      <c r="Y21" s="1" t="str">
        <f t="shared" si="69"/>
        <v>False</v>
      </c>
      <c r="Z21" s="1" t="str">
        <f t="shared" si="69"/>
        <v>False</v>
      </c>
      <c r="AA21" s="1" t="str">
        <f t="shared" si="69"/>
        <v>True</v>
      </c>
      <c r="AB21" s="1" t="s">
        <v>230</v>
      </c>
      <c r="AC21" s="4">
        <f t="shared" ref="AC21:AH21" si="118">IF(ISNUMBER(SEARCH(AC$1,$AB21)), 1, 0)</f>
        <v>1</v>
      </c>
      <c r="AD21" s="4">
        <f t="shared" si="118"/>
        <v>1</v>
      </c>
      <c r="AE21" s="4">
        <f t="shared" si="118"/>
        <v>0</v>
      </c>
      <c r="AF21" s="4">
        <f t="shared" si="118"/>
        <v>0</v>
      </c>
      <c r="AG21" s="4">
        <f t="shared" si="118"/>
        <v>0</v>
      </c>
      <c r="AH21" s="4">
        <f t="shared" si="118"/>
        <v>0</v>
      </c>
      <c r="AI21" s="1">
        <f t="shared" si="5"/>
        <v>2</v>
      </c>
      <c r="AK21" s="1" t="s">
        <v>189</v>
      </c>
      <c r="AL21" s="4">
        <f t="shared" ref="AL21:AS21" si="119">IF(ISNUMBER(SEARCH(AL$1,$AK21)), 1, 0)</f>
        <v>1</v>
      </c>
      <c r="AM21" s="4">
        <f t="shared" si="119"/>
        <v>1</v>
      </c>
      <c r="AN21" s="4">
        <f t="shared" si="119"/>
        <v>1</v>
      </c>
      <c r="AO21" s="4">
        <f t="shared" si="119"/>
        <v>1</v>
      </c>
      <c r="AP21" s="4">
        <f t="shared" si="119"/>
        <v>0</v>
      </c>
      <c r="AQ21" s="4">
        <f t="shared" si="119"/>
        <v>1</v>
      </c>
      <c r="AR21" s="4">
        <f t="shared" si="119"/>
        <v>0</v>
      </c>
      <c r="AS21" s="4">
        <f t="shared" si="119"/>
        <v>0</v>
      </c>
      <c r="AU21" s="1" t="s">
        <v>48</v>
      </c>
      <c r="AV21" s="1">
        <f t="shared" si="7"/>
        <v>0</v>
      </c>
      <c r="AW21" s="1">
        <f t="shared" si="8"/>
        <v>1</v>
      </c>
      <c r="AX21" s="1">
        <f t="shared" si="9"/>
        <v>0</v>
      </c>
      <c r="AY21" s="1" t="s">
        <v>48</v>
      </c>
      <c r="BA21" s="1" t="s">
        <v>231</v>
      </c>
      <c r="BB21" s="4">
        <f t="shared" ref="BB21:BJ21" si="120">IF(ISNUMBER(SEARCH(BB$1,$BA21)), 1, 0)</f>
        <v>1</v>
      </c>
      <c r="BC21" s="4">
        <f t="shared" si="120"/>
        <v>1</v>
      </c>
      <c r="BD21" s="4">
        <f t="shared" si="120"/>
        <v>1</v>
      </c>
      <c r="BE21" s="4">
        <f t="shared" si="120"/>
        <v>1</v>
      </c>
      <c r="BF21" s="4">
        <f t="shared" si="120"/>
        <v>1</v>
      </c>
      <c r="BG21" s="4">
        <f t="shared" si="120"/>
        <v>1</v>
      </c>
      <c r="BH21" s="4">
        <f t="shared" si="120"/>
        <v>0</v>
      </c>
      <c r="BI21" s="4">
        <f t="shared" si="120"/>
        <v>0</v>
      </c>
      <c r="BJ21" s="4">
        <f t="shared" si="120"/>
        <v>1</v>
      </c>
      <c r="BK21" s="4">
        <f t="shared" si="11"/>
        <v>7</v>
      </c>
      <c r="BM21" s="1" t="s">
        <v>232</v>
      </c>
      <c r="BN21" s="1" t="s">
        <v>233</v>
      </c>
      <c r="BO21" s="4">
        <f t="shared" ref="BO21:BU21" si="121">IF(ISNUMBER(SEARCH(BO$1,$BN21)), 1, 0)</f>
        <v>1</v>
      </c>
      <c r="BP21" s="4">
        <f t="shared" si="121"/>
        <v>0</v>
      </c>
      <c r="BQ21" s="4">
        <f t="shared" si="121"/>
        <v>1</v>
      </c>
      <c r="BR21" s="4">
        <f t="shared" si="121"/>
        <v>0</v>
      </c>
      <c r="BS21" s="4">
        <f t="shared" si="121"/>
        <v>0</v>
      </c>
      <c r="BT21" s="4">
        <f t="shared" si="121"/>
        <v>0</v>
      </c>
      <c r="BU21" s="4">
        <f t="shared" si="121"/>
        <v>0</v>
      </c>
      <c r="BW21" s="1" t="s">
        <v>169</v>
      </c>
      <c r="BZ21" s="1" t="s">
        <v>234</v>
      </c>
      <c r="CX21" s="1" t="s">
        <v>235</v>
      </c>
      <c r="CZ21" s="1" t="s">
        <v>236</v>
      </c>
      <c r="DB21" s="1" t="s">
        <v>237</v>
      </c>
      <c r="DC21" s="1" t="s">
        <v>238</v>
      </c>
    </row>
    <row r="22" spans="1:107" ht="15.75" customHeight="1" x14ac:dyDescent="0.25">
      <c r="A22" s="1" t="b">
        <v>0</v>
      </c>
      <c r="B22" s="3">
        <v>46167.317615740743</v>
      </c>
      <c r="C22" s="1" t="s">
        <v>680</v>
      </c>
      <c r="D22" s="1" t="s">
        <v>207</v>
      </c>
      <c r="E22" s="4">
        <f t="shared" ref="E22:K22" si="122">IF(ISNUMBER(SEARCH(E$1,$D22)), SEARCH(E$1,$D22), 0)</f>
        <v>1</v>
      </c>
      <c r="F22" s="4">
        <f t="shared" si="122"/>
        <v>30</v>
      </c>
      <c r="G22" s="4">
        <f t="shared" si="122"/>
        <v>0</v>
      </c>
      <c r="H22" s="4">
        <f t="shared" si="122"/>
        <v>0</v>
      </c>
      <c r="I22" s="4">
        <f t="shared" si="122"/>
        <v>0</v>
      </c>
      <c r="J22" s="4">
        <f t="shared" si="122"/>
        <v>0</v>
      </c>
      <c r="K22" s="4">
        <f t="shared" si="122"/>
        <v>0</v>
      </c>
      <c r="L22" s="4">
        <f t="shared" si="1"/>
        <v>30</v>
      </c>
      <c r="N22" s="1" t="s">
        <v>208</v>
      </c>
      <c r="O22" s="4">
        <f t="shared" ref="O22:T22" si="123">IF(ISNUMBER(SEARCH(O$1,$N22)), 1, 0)</f>
        <v>1</v>
      </c>
      <c r="P22" s="4">
        <f t="shared" si="123"/>
        <v>1</v>
      </c>
      <c r="Q22" s="4">
        <f t="shared" si="123"/>
        <v>0</v>
      </c>
      <c r="R22" s="4">
        <f t="shared" si="123"/>
        <v>1</v>
      </c>
      <c r="S22" s="4">
        <f t="shared" si="123"/>
        <v>0</v>
      </c>
      <c r="T22" s="4">
        <f t="shared" si="123"/>
        <v>0</v>
      </c>
      <c r="V22" s="1" t="s">
        <v>24</v>
      </c>
      <c r="W22" s="1" t="str">
        <f t="shared" si="69"/>
        <v>False</v>
      </c>
      <c r="X22" s="1" t="str">
        <f t="shared" si="69"/>
        <v>False</v>
      </c>
      <c r="Y22" s="1" t="str">
        <f t="shared" si="69"/>
        <v>True</v>
      </c>
      <c r="Z22" s="1" t="str">
        <f t="shared" si="69"/>
        <v>False</v>
      </c>
      <c r="AA22" s="1" t="str">
        <f t="shared" si="69"/>
        <v>False</v>
      </c>
      <c r="AB22" s="1" t="s">
        <v>487</v>
      </c>
      <c r="AC22" s="4">
        <f t="shared" ref="AC22:AH22" si="124">IF(ISNUMBER(SEARCH(AC$1,$AB22)), 1, 0)</f>
        <v>0</v>
      </c>
      <c r="AD22" s="4">
        <f t="shared" si="124"/>
        <v>0</v>
      </c>
      <c r="AE22" s="4">
        <f t="shared" si="124"/>
        <v>0</v>
      </c>
      <c r="AF22" s="4">
        <f t="shared" si="124"/>
        <v>1</v>
      </c>
      <c r="AG22" s="4">
        <f t="shared" si="124"/>
        <v>0</v>
      </c>
      <c r="AH22" s="4">
        <f t="shared" si="124"/>
        <v>1</v>
      </c>
      <c r="AI22" s="1">
        <f t="shared" si="5"/>
        <v>2</v>
      </c>
      <c r="AK22" s="1" t="s">
        <v>317</v>
      </c>
      <c r="AL22" s="4">
        <f t="shared" ref="AL22:AS22" si="125">IF(ISNUMBER(SEARCH(AL$1,$AK22)), 1, 0)</f>
        <v>0</v>
      </c>
      <c r="AM22" s="4">
        <f t="shared" si="125"/>
        <v>1</v>
      </c>
      <c r="AN22" s="4">
        <f t="shared" si="125"/>
        <v>0</v>
      </c>
      <c r="AO22" s="4">
        <f t="shared" si="125"/>
        <v>1</v>
      </c>
      <c r="AP22" s="4">
        <f t="shared" si="125"/>
        <v>1</v>
      </c>
      <c r="AQ22" s="4">
        <f t="shared" si="125"/>
        <v>1</v>
      </c>
      <c r="AR22" s="4">
        <f t="shared" si="125"/>
        <v>0</v>
      </c>
      <c r="AS22" s="4">
        <f t="shared" si="125"/>
        <v>0</v>
      </c>
      <c r="AU22" s="1" t="s">
        <v>47</v>
      </c>
      <c r="AV22" s="1">
        <f t="shared" si="7"/>
        <v>1</v>
      </c>
      <c r="AW22" s="1">
        <f t="shared" si="8"/>
        <v>0</v>
      </c>
      <c r="AX22" s="1">
        <f t="shared" si="9"/>
        <v>0</v>
      </c>
      <c r="AY22" s="1" t="s">
        <v>48</v>
      </c>
      <c r="BA22" s="1" t="s">
        <v>231</v>
      </c>
      <c r="BB22" s="4">
        <f t="shared" ref="BB22:BJ22" si="126">IF(ISNUMBER(SEARCH(BB$1,$BA22)), 1, 0)</f>
        <v>1</v>
      </c>
      <c r="BC22" s="4">
        <f t="shared" si="126"/>
        <v>1</v>
      </c>
      <c r="BD22" s="4">
        <f t="shared" si="126"/>
        <v>1</v>
      </c>
      <c r="BE22" s="4">
        <f t="shared" si="126"/>
        <v>1</v>
      </c>
      <c r="BF22" s="4">
        <f t="shared" si="126"/>
        <v>1</v>
      </c>
      <c r="BG22" s="4">
        <f t="shared" si="126"/>
        <v>1</v>
      </c>
      <c r="BH22" s="4">
        <f t="shared" si="126"/>
        <v>0</v>
      </c>
      <c r="BI22" s="4">
        <f t="shared" si="126"/>
        <v>0</v>
      </c>
      <c r="BJ22" s="4">
        <f t="shared" si="126"/>
        <v>1</v>
      </c>
      <c r="BK22" s="4">
        <f t="shared" si="11"/>
        <v>7</v>
      </c>
      <c r="BM22" s="1" t="s">
        <v>190</v>
      </c>
      <c r="BN22" s="1" t="s">
        <v>677</v>
      </c>
      <c r="BO22" s="4">
        <f t="shared" ref="BO22:BU22" si="127">IF(ISNUMBER(SEARCH(BO$1,$BN22)), 1, 0)</f>
        <v>0</v>
      </c>
      <c r="BP22" s="4">
        <f t="shared" si="127"/>
        <v>1</v>
      </c>
      <c r="BQ22" s="4">
        <f t="shared" si="127"/>
        <v>1</v>
      </c>
      <c r="BR22" s="4">
        <f t="shared" si="127"/>
        <v>0</v>
      </c>
      <c r="BS22" s="4">
        <f t="shared" si="127"/>
        <v>0</v>
      </c>
      <c r="BT22" s="4">
        <f t="shared" si="127"/>
        <v>1</v>
      </c>
      <c r="BU22" s="4">
        <f t="shared" si="127"/>
        <v>0</v>
      </c>
    </row>
    <row r="23" spans="1:107" ht="15.75" customHeight="1" x14ac:dyDescent="0.25">
      <c r="A23" s="1" t="b">
        <v>1</v>
      </c>
      <c r="B23" s="3">
        <v>46167.564583333333</v>
      </c>
      <c r="C23" s="1" t="s">
        <v>695</v>
      </c>
      <c r="D23" s="1" t="s">
        <v>207</v>
      </c>
      <c r="E23" s="4">
        <f t="shared" ref="E23:K23" si="128">IF(ISNUMBER(SEARCH(E$1,$D23)), SEARCH(E$1,$D23), 0)</f>
        <v>1</v>
      </c>
      <c r="F23" s="4">
        <f t="shared" si="128"/>
        <v>30</v>
      </c>
      <c r="G23" s="4">
        <f t="shared" si="128"/>
        <v>0</v>
      </c>
      <c r="H23" s="4">
        <f t="shared" si="128"/>
        <v>0</v>
      </c>
      <c r="I23" s="4">
        <f t="shared" si="128"/>
        <v>0</v>
      </c>
      <c r="J23" s="4">
        <f t="shared" si="128"/>
        <v>0</v>
      </c>
      <c r="K23" s="4">
        <f t="shared" si="128"/>
        <v>0</v>
      </c>
      <c r="L23" s="4">
        <f t="shared" si="1"/>
        <v>30</v>
      </c>
      <c r="N23" s="1" t="s">
        <v>240</v>
      </c>
      <c r="O23" s="4">
        <f t="shared" ref="O23:T23" si="129">IF(ISNUMBER(SEARCH(O$1,$N23)), 1, 0)</f>
        <v>1</v>
      </c>
      <c r="P23" s="4">
        <f t="shared" si="129"/>
        <v>1</v>
      </c>
      <c r="Q23" s="4">
        <f t="shared" si="129"/>
        <v>1</v>
      </c>
      <c r="R23" s="4">
        <f t="shared" si="129"/>
        <v>1</v>
      </c>
      <c r="S23" s="4">
        <f t="shared" si="129"/>
        <v>0</v>
      </c>
      <c r="T23" s="4">
        <f t="shared" si="129"/>
        <v>0</v>
      </c>
      <c r="V23" s="1" t="s">
        <v>26</v>
      </c>
      <c r="W23" s="1" t="str">
        <f t="shared" ref="W23:AA32" si="130">IF(W$1=$V23, "True", "False")</f>
        <v>False</v>
      </c>
      <c r="X23" s="1" t="str">
        <f t="shared" si="130"/>
        <v>False</v>
      </c>
      <c r="Y23" s="1" t="str">
        <f t="shared" si="130"/>
        <v>False</v>
      </c>
      <c r="Z23" s="1" t="str">
        <f t="shared" si="130"/>
        <v>False</v>
      </c>
      <c r="AA23" s="1" t="str">
        <f t="shared" si="130"/>
        <v>True</v>
      </c>
      <c r="AB23" s="1" t="s">
        <v>696</v>
      </c>
      <c r="AC23" s="4">
        <f t="shared" ref="AC23:AH23" si="131">IF(ISNUMBER(SEARCH(AC$1,$AB23)), 1, 0)</f>
        <v>0</v>
      </c>
      <c r="AD23" s="4">
        <f t="shared" si="131"/>
        <v>1</v>
      </c>
      <c r="AE23" s="4">
        <f t="shared" si="131"/>
        <v>0</v>
      </c>
      <c r="AF23" s="4">
        <f t="shared" si="131"/>
        <v>0</v>
      </c>
      <c r="AG23" s="4">
        <f t="shared" si="131"/>
        <v>0</v>
      </c>
      <c r="AH23" s="4">
        <f t="shared" si="131"/>
        <v>1</v>
      </c>
      <c r="AI23" s="1">
        <f t="shared" si="5"/>
        <v>2</v>
      </c>
      <c r="AK23" s="1" t="s">
        <v>470</v>
      </c>
      <c r="AL23" s="4">
        <f t="shared" ref="AL23:AS23" si="132">IF(ISNUMBER(SEARCH(AL$1,$AK23)), 1, 0)</f>
        <v>0</v>
      </c>
      <c r="AM23" s="4">
        <f t="shared" si="132"/>
        <v>1</v>
      </c>
      <c r="AN23" s="4">
        <f t="shared" si="132"/>
        <v>0</v>
      </c>
      <c r="AO23" s="4">
        <f t="shared" si="132"/>
        <v>1</v>
      </c>
      <c r="AP23" s="4">
        <f t="shared" si="132"/>
        <v>0</v>
      </c>
      <c r="AQ23" s="4">
        <f t="shared" si="132"/>
        <v>1</v>
      </c>
      <c r="AR23" s="4">
        <f t="shared" si="132"/>
        <v>0</v>
      </c>
      <c r="AS23" s="4">
        <f t="shared" si="132"/>
        <v>0</v>
      </c>
      <c r="AU23" s="1" t="s">
        <v>47</v>
      </c>
      <c r="AV23" s="1">
        <f t="shared" si="7"/>
        <v>1</v>
      </c>
      <c r="AW23" s="1">
        <f t="shared" si="8"/>
        <v>0</v>
      </c>
      <c r="AX23" s="1">
        <f t="shared" si="9"/>
        <v>0</v>
      </c>
      <c r="AY23" s="1" t="s">
        <v>48</v>
      </c>
      <c r="BA23" s="1" t="s">
        <v>318</v>
      </c>
      <c r="BB23" s="4">
        <f t="shared" ref="BB23:BJ23" si="133">IF(ISNUMBER(SEARCH(BB$1,$BA23)), 1, 0)</f>
        <v>0</v>
      </c>
      <c r="BC23" s="4">
        <f t="shared" si="133"/>
        <v>0</v>
      </c>
      <c r="BD23" s="4">
        <f t="shared" si="133"/>
        <v>1</v>
      </c>
      <c r="BE23" s="4">
        <f t="shared" si="133"/>
        <v>1</v>
      </c>
      <c r="BF23" s="4">
        <f t="shared" si="133"/>
        <v>1</v>
      </c>
      <c r="BG23" s="4">
        <f t="shared" si="133"/>
        <v>1</v>
      </c>
      <c r="BH23" s="4">
        <f t="shared" si="133"/>
        <v>0</v>
      </c>
      <c r="BI23" s="4">
        <f t="shared" si="133"/>
        <v>0</v>
      </c>
      <c r="BJ23" s="4">
        <f t="shared" si="133"/>
        <v>1</v>
      </c>
      <c r="BK23" s="4">
        <f t="shared" si="11"/>
        <v>5</v>
      </c>
      <c r="BM23" s="1" t="s">
        <v>166</v>
      </c>
      <c r="BN23" s="1" t="s">
        <v>697</v>
      </c>
      <c r="BO23" s="4">
        <f t="shared" ref="BO23:BU23" si="134">IF(ISNUMBER(SEARCH(BO$1,$BN23)), 1, 0)</f>
        <v>1</v>
      </c>
      <c r="BP23" s="4">
        <f t="shared" si="134"/>
        <v>0</v>
      </c>
      <c r="BQ23" s="4">
        <f t="shared" si="134"/>
        <v>0</v>
      </c>
      <c r="BR23" s="4">
        <f t="shared" si="134"/>
        <v>1</v>
      </c>
      <c r="BS23" s="4">
        <f t="shared" si="134"/>
        <v>0</v>
      </c>
      <c r="BT23" s="4">
        <f t="shared" si="134"/>
        <v>0</v>
      </c>
      <c r="BU23" s="4">
        <f t="shared" si="134"/>
        <v>0</v>
      </c>
      <c r="BV23" s="1" t="s">
        <v>698</v>
      </c>
      <c r="CX23" s="1" t="s">
        <v>643</v>
      </c>
      <c r="CZ23" s="1" t="s">
        <v>178</v>
      </c>
      <c r="DB23" s="1" t="s">
        <v>699</v>
      </c>
      <c r="DC23" s="1" t="s">
        <v>180</v>
      </c>
    </row>
    <row r="24" spans="1:107" ht="15.75" customHeight="1" x14ac:dyDescent="0.25">
      <c r="A24" s="1" t="b">
        <v>1</v>
      </c>
      <c r="B24" s="3">
        <v>46172.989675925928</v>
      </c>
      <c r="C24" s="1" t="s">
        <v>794</v>
      </c>
      <c r="D24" s="1" t="s">
        <v>207</v>
      </c>
      <c r="E24" s="4">
        <f t="shared" ref="E24:K24" si="135">IF(ISNUMBER(SEARCH(E$1,$D24)), SEARCH(E$1,$D24), 0)</f>
        <v>1</v>
      </c>
      <c r="F24" s="4">
        <f t="shared" si="135"/>
        <v>30</v>
      </c>
      <c r="G24" s="4">
        <f t="shared" si="135"/>
        <v>0</v>
      </c>
      <c r="H24" s="4">
        <f t="shared" si="135"/>
        <v>0</v>
      </c>
      <c r="I24" s="4">
        <f t="shared" si="135"/>
        <v>0</v>
      </c>
      <c r="J24" s="4">
        <f t="shared" si="135"/>
        <v>0</v>
      </c>
      <c r="K24" s="4">
        <f t="shared" si="135"/>
        <v>0</v>
      </c>
      <c r="L24" s="4">
        <f t="shared" si="1"/>
        <v>30</v>
      </c>
      <c r="N24" s="1" t="s">
        <v>240</v>
      </c>
      <c r="O24" s="4">
        <f t="shared" ref="O24:T24" si="136">IF(ISNUMBER(SEARCH(O$1,$N24)), 1, 0)</f>
        <v>1</v>
      </c>
      <c r="P24" s="4">
        <f t="shared" si="136"/>
        <v>1</v>
      </c>
      <c r="Q24" s="4">
        <f t="shared" si="136"/>
        <v>1</v>
      </c>
      <c r="R24" s="4">
        <f t="shared" si="136"/>
        <v>1</v>
      </c>
      <c r="S24" s="4">
        <f t="shared" si="136"/>
        <v>0</v>
      </c>
      <c r="T24" s="4">
        <f t="shared" si="136"/>
        <v>0</v>
      </c>
      <c r="W24" s="1" t="str">
        <f t="shared" si="130"/>
        <v>False</v>
      </c>
      <c r="X24" s="1" t="str">
        <f t="shared" si="130"/>
        <v>False</v>
      </c>
      <c r="Y24" s="1" t="str">
        <f t="shared" si="130"/>
        <v>False</v>
      </c>
      <c r="Z24" s="1" t="str">
        <f t="shared" si="130"/>
        <v>False</v>
      </c>
      <c r="AA24" s="1" t="str">
        <f t="shared" si="130"/>
        <v>False</v>
      </c>
      <c r="AB24" s="1" t="s">
        <v>477</v>
      </c>
      <c r="AC24" s="4">
        <f t="shared" ref="AC24:AH24" si="137">IF(ISNUMBER(SEARCH(AC$1,$AB24)), 1, 0)</f>
        <v>1</v>
      </c>
      <c r="AD24" s="4">
        <f t="shared" si="137"/>
        <v>1</v>
      </c>
      <c r="AE24" s="4">
        <f t="shared" si="137"/>
        <v>0</v>
      </c>
      <c r="AF24" s="4">
        <f t="shared" si="137"/>
        <v>0</v>
      </c>
      <c r="AG24" s="4">
        <f t="shared" si="137"/>
        <v>0</v>
      </c>
      <c r="AH24" s="4">
        <f t="shared" si="137"/>
        <v>1</v>
      </c>
      <c r="AI24" s="1">
        <f t="shared" si="5"/>
        <v>3</v>
      </c>
      <c r="AK24" s="1" t="s">
        <v>470</v>
      </c>
      <c r="AL24" s="4">
        <f t="shared" ref="AL24:AS24" si="138">IF(ISNUMBER(SEARCH(AL$1,$AK24)), 1, 0)</f>
        <v>0</v>
      </c>
      <c r="AM24" s="4">
        <f t="shared" si="138"/>
        <v>1</v>
      </c>
      <c r="AN24" s="4">
        <f t="shared" si="138"/>
        <v>0</v>
      </c>
      <c r="AO24" s="4">
        <f t="shared" si="138"/>
        <v>1</v>
      </c>
      <c r="AP24" s="4">
        <f t="shared" si="138"/>
        <v>0</v>
      </c>
      <c r="AQ24" s="4">
        <f t="shared" si="138"/>
        <v>1</v>
      </c>
      <c r="AR24" s="4">
        <f t="shared" si="138"/>
        <v>0</v>
      </c>
      <c r="AS24" s="4">
        <f t="shared" si="138"/>
        <v>0</v>
      </c>
      <c r="AU24" s="1" t="s">
        <v>48</v>
      </c>
      <c r="AV24" s="1">
        <f t="shared" si="7"/>
        <v>0</v>
      </c>
      <c r="AW24" s="1">
        <f t="shared" si="8"/>
        <v>1</v>
      </c>
      <c r="AX24" s="1">
        <f t="shared" si="9"/>
        <v>0</v>
      </c>
      <c r="AY24" s="1" t="s">
        <v>48</v>
      </c>
      <c r="BA24" s="1" t="s">
        <v>457</v>
      </c>
      <c r="BB24" s="4">
        <f t="shared" ref="BB24:BJ24" si="139">IF(ISNUMBER(SEARCH(BB$1,$BA24)), 1, 0)</f>
        <v>0</v>
      </c>
      <c r="BC24" s="4">
        <f t="shared" si="139"/>
        <v>0</v>
      </c>
      <c r="BD24" s="4">
        <f t="shared" si="139"/>
        <v>0</v>
      </c>
      <c r="BE24" s="4">
        <f t="shared" si="139"/>
        <v>0</v>
      </c>
      <c r="BF24" s="4">
        <f t="shared" si="139"/>
        <v>1</v>
      </c>
      <c r="BG24" s="4">
        <f t="shared" si="139"/>
        <v>1</v>
      </c>
      <c r="BH24" s="4">
        <f t="shared" si="139"/>
        <v>0</v>
      </c>
      <c r="BI24" s="4">
        <f t="shared" si="139"/>
        <v>0</v>
      </c>
      <c r="BJ24" s="4">
        <f t="shared" si="139"/>
        <v>1</v>
      </c>
      <c r="BK24" s="4">
        <f t="shared" si="11"/>
        <v>3</v>
      </c>
      <c r="BM24" s="1" t="s">
        <v>232</v>
      </c>
      <c r="BN24" s="1" t="s">
        <v>677</v>
      </c>
      <c r="BO24" s="4">
        <f t="shared" ref="BO24:BU24" si="140">IF(ISNUMBER(SEARCH(BO$1,$BN24)), 1, 0)</f>
        <v>0</v>
      </c>
      <c r="BP24" s="4">
        <f t="shared" si="140"/>
        <v>1</v>
      </c>
      <c r="BQ24" s="4">
        <f t="shared" si="140"/>
        <v>1</v>
      </c>
      <c r="BR24" s="4">
        <f t="shared" si="140"/>
        <v>0</v>
      </c>
      <c r="BS24" s="4">
        <f t="shared" si="140"/>
        <v>0</v>
      </c>
      <c r="BT24" s="4">
        <f t="shared" si="140"/>
        <v>1</v>
      </c>
      <c r="BU24" s="4">
        <f t="shared" si="140"/>
        <v>0</v>
      </c>
      <c r="BW24" s="1" t="s">
        <v>255</v>
      </c>
      <c r="BY24" s="1" t="s">
        <v>795</v>
      </c>
      <c r="BZ24" s="1" t="s">
        <v>278</v>
      </c>
      <c r="CX24" s="1" t="s">
        <v>550</v>
      </c>
      <c r="CZ24" s="1" t="s">
        <v>449</v>
      </c>
      <c r="DC24" s="1" t="s">
        <v>180</v>
      </c>
    </row>
    <row r="25" spans="1:107" ht="15.75" customHeight="1" x14ac:dyDescent="0.25">
      <c r="A25" s="1" t="b">
        <v>1</v>
      </c>
      <c r="B25" s="3">
        <v>46165.181793981479</v>
      </c>
      <c r="C25" s="1" t="s">
        <v>582</v>
      </c>
      <c r="D25" s="1" t="s">
        <v>207</v>
      </c>
      <c r="E25" s="4">
        <f t="shared" ref="E25:K25" si="141">IF(ISNUMBER(SEARCH(E$1,$D25)), SEARCH(E$1,$D25), 0)</f>
        <v>1</v>
      </c>
      <c r="F25" s="4">
        <f t="shared" si="141"/>
        <v>30</v>
      </c>
      <c r="G25" s="4">
        <f t="shared" si="141"/>
        <v>0</v>
      </c>
      <c r="H25" s="4">
        <f t="shared" si="141"/>
        <v>0</v>
      </c>
      <c r="I25" s="4">
        <f t="shared" si="141"/>
        <v>0</v>
      </c>
      <c r="J25" s="4">
        <f t="shared" si="141"/>
        <v>0</v>
      </c>
      <c r="K25" s="4">
        <f t="shared" si="141"/>
        <v>0</v>
      </c>
      <c r="L25" s="4">
        <f t="shared" si="1"/>
        <v>30</v>
      </c>
      <c r="N25" s="1" t="s">
        <v>323</v>
      </c>
      <c r="O25" s="4">
        <f t="shared" ref="O25:T25" si="142">IF(ISNUMBER(SEARCH(O$1,$N25)), 1, 0)</f>
        <v>1</v>
      </c>
      <c r="P25" s="4">
        <f t="shared" si="142"/>
        <v>1</v>
      </c>
      <c r="Q25" s="4">
        <f t="shared" si="142"/>
        <v>1</v>
      </c>
      <c r="R25" s="4">
        <f t="shared" si="142"/>
        <v>1</v>
      </c>
      <c r="S25" s="4">
        <f t="shared" si="142"/>
        <v>0</v>
      </c>
      <c r="T25" s="4">
        <f t="shared" si="142"/>
        <v>1</v>
      </c>
      <c r="V25" s="1" t="s">
        <v>26</v>
      </c>
      <c r="W25" s="1" t="str">
        <f t="shared" si="130"/>
        <v>False</v>
      </c>
      <c r="X25" s="1" t="str">
        <f t="shared" si="130"/>
        <v>False</v>
      </c>
      <c r="Y25" s="1" t="str">
        <f t="shared" si="130"/>
        <v>False</v>
      </c>
      <c r="Z25" s="1" t="str">
        <f t="shared" si="130"/>
        <v>False</v>
      </c>
      <c r="AA25" s="1" t="str">
        <f t="shared" si="130"/>
        <v>True</v>
      </c>
      <c r="AB25" s="1" t="s">
        <v>583</v>
      </c>
      <c r="AC25" s="4">
        <f t="shared" ref="AC25:AH25" si="143">IF(ISNUMBER(SEARCH(AC$1,$AB25)), 1, 0)</f>
        <v>1</v>
      </c>
      <c r="AD25" s="4">
        <f t="shared" si="143"/>
        <v>0</v>
      </c>
      <c r="AE25" s="4">
        <f t="shared" si="143"/>
        <v>0</v>
      </c>
      <c r="AF25" s="4">
        <f t="shared" si="143"/>
        <v>1</v>
      </c>
      <c r="AG25" s="4">
        <f t="shared" si="143"/>
        <v>1</v>
      </c>
      <c r="AH25" s="4">
        <f t="shared" si="143"/>
        <v>1</v>
      </c>
      <c r="AI25" s="1">
        <f t="shared" si="5"/>
        <v>4</v>
      </c>
      <c r="AK25" s="1" t="s">
        <v>470</v>
      </c>
      <c r="AL25" s="4">
        <f t="shared" ref="AL25:AS25" si="144">IF(ISNUMBER(SEARCH(AL$1,$AK25)), 1, 0)</f>
        <v>0</v>
      </c>
      <c r="AM25" s="4">
        <f t="shared" si="144"/>
        <v>1</v>
      </c>
      <c r="AN25" s="4">
        <f t="shared" si="144"/>
        <v>0</v>
      </c>
      <c r="AO25" s="4">
        <f t="shared" si="144"/>
        <v>1</v>
      </c>
      <c r="AP25" s="4">
        <f t="shared" si="144"/>
        <v>0</v>
      </c>
      <c r="AQ25" s="4">
        <f t="shared" si="144"/>
        <v>1</v>
      </c>
      <c r="AR25" s="4">
        <f t="shared" si="144"/>
        <v>0</v>
      </c>
      <c r="AS25" s="4">
        <f t="shared" si="144"/>
        <v>0</v>
      </c>
      <c r="AU25" s="1" t="s">
        <v>48</v>
      </c>
      <c r="AV25" s="1">
        <f t="shared" si="7"/>
        <v>0</v>
      </c>
      <c r="AW25" s="1">
        <f t="shared" si="8"/>
        <v>1</v>
      </c>
      <c r="AX25" s="1">
        <f t="shared" si="9"/>
        <v>0</v>
      </c>
      <c r="AY25" s="1" t="s">
        <v>48</v>
      </c>
      <c r="BA25" s="1" t="s">
        <v>371</v>
      </c>
      <c r="BB25" s="4">
        <f t="shared" ref="BB25:BJ25" si="145">IF(ISNUMBER(SEARCH(BB$1,$BA25)), 1, 0)</f>
        <v>1</v>
      </c>
      <c r="BC25" s="4">
        <f t="shared" si="145"/>
        <v>1</v>
      </c>
      <c r="BD25" s="4">
        <f t="shared" si="145"/>
        <v>1</v>
      </c>
      <c r="BE25" s="4">
        <f t="shared" si="145"/>
        <v>0</v>
      </c>
      <c r="BF25" s="4">
        <f t="shared" si="145"/>
        <v>1</v>
      </c>
      <c r="BG25" s="4">
        <f t="shared" si="145"/>
        <v>1</v>
      </c>
      <c r="BH25" s="4">
        <f t="shared" si="145"/>
        <v>0</v>
      </c>
      <c r="BI25" s="4">
        <f t="shared" si="145"/>
        <v>0</v>
      </c>
      <c r="BJ25" s="4">
        <f t="shared" si="145"/>
        <v>1</v>
      </c>
      <c r="BK25" s="4">
        <f t="shared" si="11"/>
        <v>6</v>
      </c>
      <c r="BM25" s="1" t="s">
        <v>190</v>
      </c>
      <c r="BN25" s="1" t="s">
        <v>584</v>
      </c>
      <c r="BO25" s="4">
        <f t="shared" ref="BO25:BU25" si="146">IF(ISNUMBER(SEARCH(BO$1,$BN25)), 1, 0)</f>
        <v>1</v>
      </c>
      <c r="BP25" s="4">
        <f t="shared" si="146"/>
        <v>0</v>
      </c>
      <c r="BQ25" s="4">
        <f t="shared" si="146"/>
        <v>0</v>
      </c>
      <c r="BR25" s="4">
        <f t="shared" si="146"/>
        <v>0</v>
      </c>
      <c r="BS25" s="4">
        <f t="shared" si="146"/>
        <v>0</v>
      </c>
      <c r="BT25" s="4">
        <f t="shared" si="146"/>
        <v>1</v>
      </c>
      <c r="BU25" s="4">
        <f t="shared" si="146"/>
        <v>0</v>
      </c>
      <c r="BV25" s="1" t="s">
        <v>585</v>
      </c>
      <c r="BW25" s="1" t="s">
        <v>220</v>
      </c>
      <c r="BY25" s="1" t="s">
        <v>586</v>
      </c>
      <c r="CX25" s="1" t="s">
        <v>587</v>
      </c>
      <c r="CY25" s="1" t="s">
        <v>588</v>
      </c>
      <c r="CZ25" s="1" t="s">
        <v>178</v>
      </c>
      <c r="DB25" s="1" t="s">
        <v>589</v>
      </c>
      <c r="DC25" s="1" t="s">
        <v>180</v>
      </c>
    </row>
    <row r="26" spans="1:107" ht="15.75" customHeight="1" x14ac:dyDescent="0.25">
      <c r="A26" s="1" t="b">
        <v>1</v>
      </c>
      <c r="B26" s="3">
        <v>46169.416261574072</v>
      </c>
      <c r="C26" s="1" t="s">
        <v>740</v>
      </c>
      <c r="D26" s="1" t="s">
        <v>207</v>
      </c>
      <c r="E26" s="4">
        <f t="shared" ref="E26:K26" si="147">IF(ISNUMBER(SEARCH(E$1,$D26)), SEARCH(E$1,$D26), 0)</f>
        <v>1</v>
      </c>
      <c r="F26" s="4">
        <f t="shared" si="147"/>
        <v>30</v>
      </c>
      <c r="G26" s="4">
        <f t="shared" si="147"/>
        <v>0</v>
      </c>
      <c r="H26" s="4">
        <f t="shared" si="147"/>
        <v>0</v>
      </c>
      <c r="I26" s="4">
        <f t="shared" si="147"/>
        <v>0</v>
      </c>
      <c r="J26" s="4">
        <f t="shared" si="147"/>
        <v>0</v>
      </c>
      <c r="K26" s="4">
        <f t="shared" si="147"/>
        <v>0</v>
      </c>
      <c r="L26" s="4">
        <f t="shared" si="1"/>
        <v>30</v>
      </c>
      <c r="N26" s="1" t="s">
        <v>187</v>
      </c>
      <c r="O26" s="4">
        <f t="shared" ref="O26:T26" si="148">IF(ISNUMBER(SEARCH(O$1,$N26)), 1, 0)</f>
        <v>1</v>
      </c>
      <c r="P26" s="4">
        <f t="shared" si="148"/>
        <v>1</v>
      </c>
      <c r="Q26" s="4">
        <f t="shared" si="148"/>
        <v>1</v>
      </c>
      <c r="R26" s="4">
        <f t="shared" si="148"/>
        <v>1</v>
      </c>
      <c r="S26" s="4">
        <f t="shared" si="148"/>
        <v>1</v>
      </c>
      <c r="T26" s="4">
        <f t="shared" si="148"/>
        <v>1</v>
      </c>
      <c r="W26" s="1" t="str">
        <f t="shared" si="130"/>
        <v>False</v>
      </c>
      <c r="X26" s="1" t="str">
        <f t="shared" si="130"/>
        <v>False</v>
      </c>
      <c r="Y26" s="1" t="str">
        <f t="shared" si="130"/>
        <v>False</v>
      </c>
      <c r="Z26" s="1" t="str">
        <f t="shared" si="130"/>
        <v>False</v>
      </c>
      <c r="AA26" s="1" t="str">
        <f t="shared" si="130"/>
        <v>False</v>
      </c>
      <c r="AB26" s="1" t="s">
        <v>741</v>
      </c>
      <c r="AC26" s="4">
        <f t="shared" ref="AC26:AH26" si="149">IF(ISNUMBER(SEARCH(AC$1,$AB26)), 1, 0)</f>
        <v>1</v>
      </c>
      <c r="AD26" s="4">
        <f t="shared" si="149"/>
        <v>0</v>
      </c>
      <c r="AE26" s="4">
        <f t="shared" si="149"/>
        <v>1</v>
      </c>
      <c r="AF26" s="4">
        <f t="shared" si="149"/>
        <v>1</v>
      </c>
      <c r="AG26" s="4">
        <f t="shared" si="149"/>
        <v>0</v>
      </c>
      <c r="AH26" s="4">
        <f t="shared" si="149"/>
        <v>1</v>
      </c>
      <c r="AI26" s="1">
        <f t="shared" si="5"/>
        <v>4</v>
      </c>
      <c r="AK26" s="1" t="s">
        <v>470</v>
      </c>
      <c r="AL26" s="4">
        <f t="shared" ref="AL26:AS26" si="150">IF(ISNUMBER(SEARCH(AL$1,$AK26)), 1, 0)</f>
        <v>0</v>
      </c>
      <c r="AM26" s="4">
        <f t="shared" si="150"/>
        <v>1</v>
      </c>
      <c r="AN26" s="4">
        <f t="shared" si="150"/>
        <v>0</v>
      </c>
      <c r="AO26" s="4">
        <f t="shared" si="150"/>
        <v>1</v>
      </c>
      <c r="AP26" s="4">
        <f t="shared" si="150"/>
        <v>0</v>
      </c>
      <c r="AQ26" s="4">
        <f t="shared" si="150"/>
        <v>1</v>
      </c>
      <c r="AR26" s="4">
        <f t="shared" si="150"/>
        <v>0</v>
      </c>
      <c r="AS26" s="4">
        <f t="shared" si="150"/>
        <v>0</v>
      </c>
      <c r="AU26" s="1" t="s">
        <v>48</v>
      </c>
      <c r="AV26" s="1">
        <f t="shared" si="7"/>
        <v>0</v>
      </c>
      <c r="AW26" s="1">
        <f t="shared" si="8"/>
        <v>1</v>
      </c>
      <c r="AX26" s="1">
        <f t="shared" si="9"/>
        <v>0</v>
      </c>
      <c r="AY26" s="1" t="s">
        <v>48</v>
      </c>
      <c r="BA26" s="1" t="s">
        <v>247</v>
      </c>
      <c r="BB26" s="4">
        <f t="shared" ref="BB26:BJ26" si="151">IF(ISNUMBER(SEARCH(BB$1,$BA26)), 1, 0)</f>
        <v>1</v>
      </c>
      <c r="BC26" s="4">
        <f t="shared" si="151"/>
        <v>1</v>
      </c>
      <c r="BD26" s="4">
        <f t="shared" si="151"/>
        <v>1</v>
      </c>
      <c r="BE26" s="4">
        <f t="shared" si="151"/>
        <v>1</v>
      </c>
      <c r="BF26" s="4">
        <f t="shared" si="151"/>
        <v>1</v>
      </c>
      <c r="BG26" s="4">
        <f t="shared" si="151"/>
        <v>0</v>
      </c>
      <c r="BH26" s="4">
        <f t="shared" si="151"/>
        <v>1</v>
      </c>
      <c r="BI26" s="4">
        <f t="shared" si="151"/>
        <v>0</v>
      </c>
      <c r="BJ26" s="4">
        <f t="shared" si="151"/>
        <v>1</v>
      </c>
      <c r="BK26" s="4">
        <f t="shared" si="11"/>
        <v>7</v>
      </c>
      <c r="BM26" s="1" t="s">
        <v>232</v>
      </c>
      <c r="BN26" s="1" t="s">
        <v>441</v>
      </c>
      <c r="BO26" s="4">
        <f t="shared" ref="BO26:BU26" si="152">IF(ISNUMBER(SEARCH(BO$1,$BN26)), 1, 0)</f>
        <v>0</v>
      </c>
      <c r="BP26" s="4">
        <f t="shared" si="152"/>
        <v>1</v>
      </c>
      <c r="BQ26" s="4">
        <f t="shared" si="152"/>
        <v>0</v>
      </c>
      <c r="BR26" s="4">
        <f t="shared" si="152"/>
        <v>1</v>
      </c>
      <c r="BS26" s="4">
        <f t="shared" si="152"/>
        <v>1</v>
      </c>
      <c r="BT26" s="4">
        <f t="shared" si="152"/>
        <v>0</v>
      </c>
      <c r="BU26" s="4">
        <f t="shared" si="152"/>
        <v>0</v>
      </c>
      <c r="BW26" s="1" t="s">
        <v>212</v>
      </c>
      <c r="CX26" s="1" t="s">
        <v>686</v>
      </c>
      <c r="CZ26" s="1" t="s">
        <v>742</v>
      </c>
      <c r="DC26" s="1" t="s">
        <v>180</v>
      </c>
    </row>
    <row r="27" spans="1:107" ht="15.75" customHeight="1" x14ac:dyDescent="0.25">
      <c r="A27" s="1" t="b">
        <v>0</v>
      </c>
      <c r="B27" s="3">
        <v>46167.783055555556</v>
      </c>
      <c r="C27" s="1" t="s">
        <v>708</v>
      </c>
      <c r="D27" s="1" t="s">
        <v>207</v>
      </c>
      <c r="E27" s="4">
        <f t="shared" ref="E27:K27" si="153">IF(ISNUMBER(SEARCH(E$1,$D27)), SEARCH(E$1,$D27), 0)</f>
        <v>1</v>
      </c>
      <c r="F27" s="4">
        <f t="shared" si="153"/>
        <v>30</v>
      </c>
      <c r="G27" s="4">
        <f t="shared" si="153"/>
        <v>0</v>
      </c>
      <c r="H27" s="4">
        <f t="shared" si="153"/>
        <v>0</v>
      </c>
      <c r="I27" s="4">
        <f t="shared" si="153"/>
        <v>0</v>
      </c>
      <c r="J27" s="4">
        <f t="shared" si="153"/>
        <v>0</v>
      </c>
      <c r="K27" s="4">
        <f t="shared" si="153"/>
        <v>0</v>
      </c>
      <c r="L27" s="4">
        <f t="shared" si="1"/>
        <v>30</v>
      </c>
      <c r="N27" s="1" t="s">
        <v>14</v>
      </c>
      <c r="O27" s="4">
        <f t="shared" ref="O27:T27" si="154">IF(ISNUMBER(SEARCH(O$1,$N27)), 1, 0)</f>
        <v>1</v>
      </c>
      <c r="P27" s="4">
        <f t="shared" si="154"/>
        <v>0</v>
      </c>
      <c r="Q27" s="4">
        <f t="shared" si="154"/>
        <v>0</v>
      </c>
      <c r="R27" s="4">
        <f t="shared" si="154"/>
        <v>0</v>
      </c>
      <c r="S27" s="4">
        <f t="shared" si="154"/>
        <v>0</v>
      </c>
      <c r="T27" s="4">
        <f t="shared" si="154"/>
        <v>0</v>
      </c>
      <c r="V27" s="1" t="s">
        <v>25</v>
      </c>
      <c r="W27" s="1" t="str">
        <f t="shared" si="130"/>
        <v>False</v>
      </c>
      <c r="X27" s="1" t="str">
        <f t="shared" si="130"/>
        <v>False</v>
      </c>
      <c r="Y27" s="1" t="str">
        <f t="shared" si="130"/>
        <v>False</v>
      </c>
      <c r="Z27" s="1" t="str">
        <f t="shared" si="130"/>
        <v>True</v>
      </c>
      <c r="AA27" s="1" t="str">
        <f t="shared" si="130"/>
        <v>False</v>
      </c>
      <c r="AB27" s="1" t="s">
        <v>28</v>
      </c>
      <c r="AC27" s="4">
        <f t="shared" ref="AC27:AH27" si="155">IF(ISNUMBER(SEARCH(AC$1,$AB27)), 1, 0)</f>
        <v>1</v>
      </c>
      <c r="AD27" s="4">
        <f t="shared" si="155"/>
        <v>0</v>
      </c>
      <c r="AE27" s="4">
        <f t="shared" si="155"/>
        <v>0</v>
      </c>
      <c r="AF27" s="4">
        <f t="shared" si="155"/>
        <v>0</v>
      </c>
      <c r="AG27" s="4">
        <f t="shared" si="155"/>
        <v>0</v>
      </c>
      <c r="AH27" s="4">
        <f t="shared" si="155"/>
        <v>0</v>
      </c>
      <c r="AI27" s="1">
        <f t="shared" si="5"/>
        <v>1</v>
      </c>
      <c r="AK27" s="1" t="s">
        <v>470</v>
      </c>
      <c r="AL27" s="4">
        <f t="shared" ref="AL27:AS27" si="156">IF(ISNUMBER(SEARCH(AL$1,$AK27)), 1, 0)</f>
        <v>0</v>
      </c>
      <c r="AM27" s="4">
        <f t="shared" si="156"/>
        <v>1</v>
      </c>
      <c r="AN27" s="4">
        <f t="shared" si="156"/>
        <v>0</v>
      </c>
      <c r="AO27" s="4">
        <f t="shared" si="156"/>
        <v>1</v>
      </c>
      <c r="AP27" s="4">
        <f t="shared" si="156"/>
        <v>0</v>
      </c>
      <c r="AQ27" s="4">
        <f t="shared" si="156"/>
        <v>1</v>
      </c>
      <c r="AR27" s="4">
        <f t="shared" si="156"/>
        <v>0</v>
      </c>
      <c r="AS27" s="4">
        <f t="shared" si="156"/>
        <v>0</v>
      </c>
      <c r="AU27" s="1" t="s">
        <v>49</v>
      </c>
      <c r="AV27" s="1">
        <f t="shared" si="7"/>
        <v>0</v>
      </c>
      <c r="AW27" s="1">
        <f t="shared" si="8"/>
        <v>0</v>
      </c>
      <c r="AX27" s="1">
        <f t="shared" si="9"/>
        <v>1</v>
      </c>
      <c r="AY27" s="1" t="s">
        <v>48</v>
      </c>
      <c r="BA27" s="1" t="s">
        <v>581</v>
      </c>
      <c r="BB27" s="4">
        <f t="shared" ref="BB27:BJ27" si="157">IF(ISNUMBER(SEARCH(BB$1,$BA27)), 1, 0)</f>
        <v>0</v>
      </c>
      <c r="BC27" s="4">
        <f t="shared" si="157"/>
        <v>0</v>
      </c>
      <c r="BD27" s="4">
        <f t="shared" si="157"/>
        <v>0</v>
      </c>
      <c r="BE27" s="4">
        <f t="shared" si="157"/>
        <v>0</v>
      </c>
      <c r="BF27" s="4">
        <f t="shared" si="157"/>
        <v>0</v>
      </c>
      <c r="BG27" s="4">
        <f t="shared" si="157"/>
        <v>1</v>
      </c>
      <c r="BH27" s="4">
        <f t="shared" si="157"/>
        <v>0</v>
      </c>
      <c r="BI27" s="4">
        <f t="shared" si="157"/>
        <v>1</v>
      </c>
      <c r="BJ27" s="4">
        <f t="shared" si="157"/>
        <v>1</v>
      </c>
      <c r="BK27" s="4">
        <f t="shared" si="11"/>
        <v>3</v>
      </c>
      <c r="BM27" s="1" t="s">
        <v>218</v>
      </c>
      <c r="BN27" s="1" t="s">
        <v>72</v>
      </c>
      <c r="BO27" s="4">
        <f t="shared" ref="BO27:BU27" si="158">IF(ISNUMBER(SEARCH(BO$1,$BN27)), 1, 0)</f>
        <v>0</v>
      </c>
      <c r="BP27" s="4">
        <f t="shared" si="158"/>
        <v>0</v>
      </c>
      <c r="BQ27" s="4">
        <f t="shared" si="158"/>
        <v>0</v>
      </c>
      <c r="BR27" s="4">
        <f t="shared" si="158"/>
        <v>0</v>
      </c>
      <c r="BS27" s="4">
        <f t="shared" si="158"/>
        <v>0</v>
      </c>
      <c r="BT27" s="4">
        <f t="shared" si="158"/>
        <v>0</v>
      </c>
      <c r="BU27" s="4">
        <f t="shared" si="158"/>
        <v>1</v>
      </c>
    </row>
    <row r="28" spans="1:107" ht="15.75" customHeight="1" x14ac:dyDescent="0.25">
      <c r="A28" s="1" t="b">
        <v>1</v>
      </c>
      <c r="B28" s="3">
        <v>46153.54115740741</v>
      </c>
      <c r="C28" s="1" t="s">
        <v>315</v>
      </c>
      <c r="D28" s="1" t="s">
        <v>207</v>
      </c>
      <c r="E28" s="4">
        <f t="shared" ref="E28:K28" si="159">IF(ISNUMBER(SEARCH(E$1,$D28)), SEARCH(E$1,$D28), 0)</f>
        <v>1</v>
      </c>
      <c r="F28" s="4">
        <f t="shared" si="159"/>
        <v>30</v>
      </c>
      <c r="G28" s="4">
        <f t="shared" si="159"/>
        <v>0</v>
      </c>
      <c r="H28" s="4">
        <f t="shared" si="159"/>
        <v>0</v>
      </c>
      <c r="I28" s="4">
        <f t="shared" si="159"/>
        <v>0</v>
      </c>
      <c r="J28" s="4">
        <f t="shared" si="159"/>
        <v>0</v>
      </c>
      <c r="K28" s="4">
        <f t="shared" si="159"/>
        <v>0</v>
      </c>
      <c r="L28" s="4">
        <f t="shared" si="1"/>
        <v>30</v>
      </c>
      <c r="N28" s="1" t="s">
        <v>316</v>
      </c>
      <c r="O28" s="4">
        <f t="shared" ref="O28:T28" si="160">IF(ISNUMBER(SEARCH(O$1,$N28)), 1, 0)</f>
        <v>1</v>
      </c>
      <c r="P28" s="4">
        <f t="shared" si="160"/>
        <v>0</v>
      </c>
      <c r="Q28" s="4">
        <f t="shared" si="160"/>
        <v>1</v>
      </c>
      <c r="R28" s="4">
        <f t="shared" si="160"/>
        <v>0</v>
      </c>
      <c r="S28" s="4">
        <f t="shared" si="160"/>
        <v>0</v>
      </c>
      <c r="T28" s="4">
        <f t="shared" si="160"/>
        <v>0</v>
      </c>
      <c r="V28" s="1" t="s">
        <v>23</v>
      </c>
      <c r="W28" s="1" t="str">
        <f t="shared" si="130"/>
        <v>False</v>
      </c>
      <c r="X28" s="1" t="str">
        <f t="shared" si="130"/>
        <v>True</v>
      </c>
      <c r="Y28" s="1" t="str">
        <f t="shared" si="130"/>
        <v>False</v>
      </c>
      <c r="Z28" s="1" t="str">
        <f t="shared" si="130"/>
        <v>False</v>
      </c>
      <c r="AA28" s="1" t="str">
        <f t="shared" si="130"/>
        <v>False</v>
      </c>
      <c r="AB28" s="1" t="s">
        <v>28</v>
      </c>
      <c r="AC28" s="4">
        <f t="shared" ref="AC28:AH28" si="161">IF(ISNUMBER(SEARCH(AC$1,$AB28)), 1, 0)</f>
        <v>1</v>
      </c>
      <c r="AD28" s="4">
        <f t="shared" si="161"/>
        <v>0</v>
      </c>
      <c r="AE28" s="4">
        <f t="shared" si="161"/>
        <v>0</v>
      </c>
      <c r="AF28" s="4">
        <f t="shared" si="161"/>
        <v>0</v>
      </c>
      <c r="AG28" s="4">
        <f t="shared" si="161"/>
        <v>0</v>
      </c>
      <c r="AH28" s="4">
        <f t="shared" si="161"/>
        <v>0</v>
      </c>
      <c r="AI28" s="1">
        <f t="shared" si="5"/>
        <v>1</v>
      </c>
      <c r="AK28" s="1" t="s">
        <v>317</v>
      </c>
      <c r="AL28" s="4">
        <f t="shared" ref="AL28:AS28" si="162">IF(ISNUMBER(SEARCH(AL$1,$AK28)), 1, 0)</f>
        <v>0</v>
      </c>
      <c r="AM28" s="4">
        <f t="shared" si="162"/>
        <v>1</v>
      </c>
      <c r="AN28" s="4">
        <f t="shared" si="162"/>
        <v>0</v>
      </c>
      <c r="AO28" s="4">
        <f t="shared" si="162"/>
        <v>1</v>
      </c>
      <c r="AP28" s="4">
        <f t="shared" si="162"/>
        <v>1</v>
      </c>
      <c r="AQ28" s="4">
        <f t="shared" si="162"/>
        <v>1</v>
      </c>
      <c r="AR28" s="4">
        <f t="shared" si="162"/>
        <v>0</v>
      </c>
      <c r="AS28" s="4">
        <f t="shared" si="162"/>
        <v>0</v>
      </c>
      <c r="AU28" s="1" t="s">
        <v>47</v>
      </c>
      <c r="AV28" s="1">
        <f t="shared" si="7"/>
        <v>1</v>
      </c>
      <c r="AW28" s="1">
        <f t="shared" si="8"/>
        <v>0</v>
      </c>
      <c r="AX28" s="1">
        <f t="shared" si="9"/>
        <v>0</v>
      </c>
      <c r="AY28" s="1" t="s">
        <v>48</v>
      </c>
      <c r="BA28" s="1" t="s">
        <v>318</v>
      </c>
      <c r="BB28" s="4">
        <f t="shared" ref="BB28:BJ28" si="163">IF(ISNUMBER(SEARCH(BB$1,$BA28)), 1, 0)</f>
        <v>0</v>
      </c>
      <c r="BC28" s="4">
        <f t="shared" si="163"/>
        <v>0</v>
      </c>
      <c r="BD28" s="4">
        <f t="shared" si="163"/>
        <v>1</v>
      </c>
      <c r="BE28" s="4">
        <f t="shared" si="163"/>
        <v>1</v>
      </c>
      <c r="BF28" s="4">
        <f t="shared" si="163"/>
        <v>1</v>
      </c>
      <c r="BG28" s="4">
        <f t="shared" si="163"/>
        <v>1</v>
      </c>
      <c r="BH28" s="4">
        <f t="shared" si="163"/>
        <v>0</v>
      </c>
      <c r="BI28" s="4">
        <f t="shared" si="163"/>
        <v>0</v>
      </c>
      <c r="BJ28" s="4">
        <f t="shared" si="163"/>
        <v>1</v>
      </c>
      <c r="BK28" s="4">
        <f t="shared" si="11"/>
        <v>5</v>
      </c>
      <c r="BM28" s="1" t="s">
        <v>232</v>
      </c>
      <c r="BN28" s="1" t="s">
        <v>319</v>
      </c>
      <c r="BO28" s="4">
        <f t="shared" ref="BO28:BU28" si="164">IF(ISNUMBER(SEARCH(BO$1,$BN28)), 1, 0)</f>
        <v>1</v>
      </c>
      <c r="BP28" s="4">
        <f t="shared" si="164"/>
        <v>0</v>
      </c>
      <c r="BQ28" s="4">
        <f t="shared" si="164"/>
        <v>0</v>
      </c>
      <c r="BR28" s="4">
        <f t="shared" si="164"/>
        <v>0</v>
      </c>
      <c r="BS28" s="4">
        <f t="shared" si="164"/>
        <v>0</v>
      </c>
      <c r="BT28" s="4">
        <f t="shared" si="164"/>
        <v>1</v>
      </c>
      <c r="BU28" s="4">
        <f t="shared" si="164"/>
        <v>1</v>
      </c>
      <c r="BW28" s="4"/>
      <c r="CX28" s="1" t="s">
        <v>320</v>
      </c>
      <c r="DB28" s="1" t="s">
        <v>321</v>
      </c>
      <c r="DC28" s="1" t="s">
        <v>238</v>
      </c>
    </row>
    <row r="29" spans="1:107" ht="15.75" customHeight="1" x14ac:dyDescent="0.25">
      <c r="A29" s="1" t="b">
        <v>1</v>
      </c>
      <c r="B29" s="3">
        <v>46153.833113425928</v>
      </c>
      <c r="C29" s="1" t="s">
        <v>329</v>
      </c>
      <c r="D29" s="1" t="s">
        <v>207</v>
      </c>
      <c r="E29" s="4">
        <f t="shared" ref="E29:K29" si="165">IF(ISNUMBER(SEARCH(E$1,$D29)), SEARCH(E$1,$D29), 0)</f>
        <v>1</v>
      </c>
      <c r="F29" s="4">
        <f t="shared" si="165"/>
        <v>30</v>
      </c>
      <c r="G29" s="4">
        <f t="shared" si="165"/>
        <v>0</v>
      </c>
      <c r="H29" s="4">
        <f t="shared" si="165"/>
        <v>0</v>
      </c>
      <c r="I29" s="4">
        <f t="shared" si="165"/>
        <v>0</v>
      </c>
      <c r="J29" s="4">
        <f t="shared" si="165"/>
        <v>0</v>
      </c>
      <c r="K29" s="4">
        <f t="shared" si="165"/>
        <v>0</v>
      </c>
      <c r="L29" s="4">
        <f t="shared" si="1"/>
        <v>30</v>
      </c>
      <c r="N29" s="1" t="s">
        <v>240</v>
      </c>
      <c r="O29" s="4">
        <f t="shared" ref="O29:T29" si="166">IF(ISNUMBER(SEARCH(O$1,$N29)), 1, 0)</f>
        <v>1</v>
      </c>
      <c r="P29" s="4">
        <f t="shared" si="166"/>
        <v>1</v>
      </c>
      <c r="Q29" s="4">
        <f t="shared" si="166"/>
        <v>1</v>
      </c>
      <c r="R29" s="4">
        <f t="shared" si="166"/>
        <v>1</v>
      </c>
      <c r="S29" s="4">
        <f t="shared" si="166"/>
        <v>0</v>
      </c>
      <c r="T29" s="4">
        <f t="shared" si="166"/>
        <v>0</v>
      </c>
      <c r="V29" s="1" t="s">
        <v>25</v>
      </c>
      <c r="W29" s="1" t="str">
        <f t="shared" si="130"/>
        <v>False</v>
      </c>
      <c r="X29" s="1" t="str">
        <f t="shared" si="130"/>
        <v>False</v>
      </c>
      <c r="Y29" s="1" t="str">
        <f t="shared" si="130"/>
        <v>False</v>
      </c>
      <c r="Z29" s="1" t="str">
        <f t="shared" si="130"/>
        <v>True</v>
      </c>
      <c r="AA29" s="1" t="str">
        <f t="shared" si="130"/>
        <v>False</v>
      </c>
      <c r="AB29" s="1" t="s">
        <v>311</v>
      </c>
      <c r="AC29" s="4">
        <f t="shared" ref="AC29:AH29" si="167">IF(ISNUMBER(SEARCH(AC$1,$AB29)), 1, 0)</f>
        <v>1</v>
      </c>
      <c r="AD29" s="4">
        <f t="shared" si="167"/>
        <v>0</v>
      </c>
      <c r="AE29" s="4">
        <f t="shared" si="167"/>
        <v>0</v>
      </c>
      <c r="AF29" s="4">
        <f t="shared" si="167"/>
        <v>0</v>
      </c>
      <c r="AG29" s="4">
        <f t="shared" si="167"/>
        <v>0</v>
      </c>
      <c r="AH29" s="4">
        <f t="shared" si="167"/>
        <v>0</v>
      </c>
      <c r="AI29" s="1">
        <f t="shared" si="5"/>
        <v>1</v>
      </c>
      <c r="AJ29" s="1" t="s">
        <v>330</v>
      </c>
      <c r="AK29" s="1" t="s">
        <v>317</v>
      </c>
      <c r="AL29" s="4">
        <f t="shared" ref="AL29:AS29" si="168">IF(ISNUMBER(SEARCH(AL$1,$AK29)), 1, 0)</f>
        <v>0</v>
      </c>
      <c r="AM29" s="4">
        <f t="shared" si="168"/>
        <v>1</v>
      </c>
      <c r="AN29" s="4">
        <f t="shared" si="168"/>
        <v>0</v>
      </c>
      <c r="AO29" s="4">
        <f t="shared" si="168"/>
        <v>1</v>
      </c>
      <c r="AP29" s="4">
        <f t="shared" si="168"/>
        <v>1</v>
      </c>
      <c r="AQ29" s="4">
        <f t="shared" si="168"/>
        <v>1</v>
      </c>
      <c r="AR29" s="4">
        <f t="shared" si="168"/>
        <v>0</v>
      </c>
      <c r="AS29" s="4">
        <f t="shared" si="168"/>
        <v>0</v>
      </c>
      <c r="AU29" s="1" t="s">
        <v>47</v>
      </c>
      <c r="AV29" s="1">
        <f t="shared" si="7"/>
        <v>1</v>
      </c>
      <c r="AW29" s="1">
        <f t="shared" si="8"/>
        <v>0</v>
      </c>
      <c r="AX29" s="1">
        <f t="shared" si="9"/>
        <v>0</v>
      </c>
      <c r="AY29" s="1" t="s">
        <v>48</v>
      </c>
      <c r="BA29" s="1" t="s">
        <v>331</v>
      </c>
      <c r="BB29" s="4">
        <f t="shared" ref="BB29:BJ29" si="169">IF(ISNUMBER(SEARCH(BB$1,$BA29)), 1, 0)</f>
        <v>1</v>
      </c>
      <c r="BC29" s="4">
        <f t="shared" si="169"/>
        <v>1</v>
      </c>
      <c r="BD29" s="4">
        <f t="shared" si="169"/>
        <v>1</v>
      </c>
      <c r="BE29" s="4">
        <f t="shared" si="169"/>
        <v>1</v>
      </c>
      <c r="BF29" s="4">
        <f t="shared" si="169"/>
        <v>1</v>
      </c>
      <c r="BG29" s="4">
        <f t="shared" si="169"/>
        <v>0</v>
      </c>
      <c r="BH29" s="4">
        <f t="shared" si="169"/>
        <v>0</v>
      </c>
      <c r="BI29" s="4">
        <f t="shared" si="169"/>
        <v>0</v>
      </c>
      <c r="BJ29" s="4">
        <f t="shared" si="169"/>
        <v>0</v>
      </c>
      <c r="BK29" s="4">
        <f t="shared" si="11"/>
        <v>5</v>
      </c>
      <c r="BL29" s="1" t="s">
        <v>332</v>
      </c>
      <c r="BM29" s="1" t="s">
        <v>166</v>
      </c>
      <c r="BO29" s="4">
        <f t="shared" ref="BO29:BU29" si="170">IF(ISNUMBER(SEARCH(BO$1,$BN29)), 1, 0)</f>
        <v>0</v>
      </c>
      <c r="BP29" s="4">
        <f t="shared" si="170"/>
        <v>0</v>
      </c>
      <c r="BQ29" s="4">
        <f t="shared" si="170"/>
        <v>0</v>
      </c>
      <c r="BR29" s="4">
        <f t="shared" si="170"/>
        <v>0</v>
      </c>
      <c r="BS29" s="4">
        <f t="shared" si="170"/>
        <v>0</v>
      </c>
      <c r="BT29" s="4">
        <f t="shared" si="170"/>
        <v>0</v>
      </c>
      <c r="BU29" s="4">
        <f t="shared" si="170"/>
        <v>0</v>
      </c>
      <c r="BW29" s="4"/>
      <c r="CX29" s="1" t="s">
        <v>320</v>
      </c>
      <c r="CZ29" s="1" t="s">
        <v>333</v>
      </c>
      <c r="DA29" s="1" t="s">
        <v>334</v>
      </c>
      <c r="DB29" s="1" t="s">
        <v>335</v>
      </c>
      <c r="DC29" s="1" t="s">
        <v>238</v>
      </c>
    </row>
    <row r="30" spans="1:107" ht="15.75" customHeight="1" x14ac:dyDescent="0.25">
      <c r="A30" s="1" t="b">
        <v>1</v>
      </c>
      <c r="B30" s="3">
        <v>46164.725023148145</v>
      </c>
      <c r="C30" s="1" t="s">
        <v>536</v>
      </c>
      <c r="D30" s="1" t="s">
        <v>207</v>
      </c>
      <c r="E30" s="4">
        <f t="shared" ref="E30:K30" si="171">IF(ISNUMBER(SEARCH(E$1,$D30)), SEARCH(E$1,$D30), 0)</f>
        <v>1</v>
      </c>
      <c r="F30" s="4">
        <f t="shared" si="171"/>
        <v>30</v>
      </c>
      <c r="G30" s="4">
        <f t="shared" si="171"/>
        <v>0</v>
      </c>
      <c r="H30" s="4">
        <f t="shared" si="171"/>
        <v>0</v>
      </c>
      <c r="I30" s="4">
        <f t="shared" si="171"/>
        <v>0</v>
      </c>
      <c r="J30" s="4">
        <f t="shared" si="171"/>
        <v>0</v>
      </c>
      <c r="K30" s="4">
        <f t="shared" si="171"/>
        <v>0</v>
      </c>
      <c r="L30" s="4">
        <f t="shared" si="1"/>
        <v>30</v>
      </c>
      <c r="N30" s="1" t="s">
        <v>306</v>
      </c>
      <c r="O30" s="4">
        <f t="shared" ref="O30:T30" si="172">IF(ISNUMBER(SEARCH(O$1,$N30)), 1, 0)</f>
        <v>1</v>
      </c>
      <c r="P30" s="4">
        <f t="shared" si="172"/>
        <v>1</v>
      </c>
      <c r="Q30" s="4">
        <f t="shared" si="172"/>
        <v>0</v>
      </c>
      <c r="R30" s="4">
        <f t="shared" si="172"/>
        <v>0</v>
      </c>
      <c r="S30" s="4">
        <f t="shared" si="172"/>
        <v>1</v>
      </c>
      <c r="T30" s="4">
        <f t="shared" si="172"/>
        <v>0</v>
      </c>
      <c r="V30" s="1" t="s">
        <v>26</v>
      </c>
      <c r="W30" s="1" t="str">
        <f t="shared" si="130"/>
        <v>False</v>
      </c>
      <c r="X30" s="1" t="str">
        <f t="shared" si="130"/>
        <v>False</v>
      </c>
      <c r="Y30" s="1" t="str">
        <f t="shared" si="130"/>
        <v>False</v>
      </c>
      <c r="Z30" s="1" t="str">
        <f t="shared" si="130"/>
        <v>False</v>
      </c>
      <c r="AA30" s="1" t="str">
        <f t="shared" si="130"/>
        <v>True</v>
      </c>
      <c r="AB30" s="1" t="s">
        <v>209</v>
      </c>
      <c r="AC30" s="4">
        <f t="shared" ref="AC30:AH30" si="173">IF(ISNUMBER(SEARCH(AC$1,$AB30)), 1, 0)</f>
        <v>1</v>
      </c>
      <c r="AD30" s="4">
        <f t="shared" si="173"/>
        <v>1</v>
      </c>
      <c r="AE30" s="4">
        <f t="shared" si="173"/>
        <v>0</v>
      </c>
      <c r="AF30" s="4">
        <f t="shared" si="173"/>
        <v>1</v>
      </c>
      <c r="AG30" s="4">
        <f t="shared" si="173"/>
        <v>1</v>
      </c>
      <c r="AH30" s="4">
        <f t="shared" si="173"/>
        <v>0</v>
      </c>
      <c r="AI30" s="1">
        <f t="shared" si="5"/>
        <v>4</v>
      </c>
      <c r="AK30" s="1" t="s">
        <v>470</v>
      </c>
      <c r="AL30" s="4">
        <f t="shared" ref="AL30:AS30" si="174">IF(ISNUMBER(SEARCH(AL$1,$AK30)), 1, 0)</f>
        <v>0</v>
      </c>
      <c r="AM30" s="4">
        <f t="shared" si="174"/>
        <v>1</v>
      </c>
      <c r="AN30" s="4">
        <f t="shared" si="174"/>
        <v>0</v>
      </c>
      <c r="AO30" s="4">
        <f t="shared" si="174"/>
        <v>1</v>
      </c>
      <c r="AP30" s="4">
        <f t="shared" si="174"/>
        <v>0</v>
      </c>
      <c r="AQ30" s="4">
        <f t="shared" si="174"/>
        <v>1</v>
      </c>
      <c r="AR30" s="4">
        <f t="shared" si="174"/>
        <v>0</v>
      </c>
      <c r="AS30" s="4">
        <f t="shared" si="174"/>
        <v>0</v>
      </c>
      <c r="AU30" s="1" t="s">
        <v>47</v>
      </c>
      <c r="AV30" s="1">
        <f t="shared" si="7"/>
        <v>1</v>
      </c>
      <c r="AW30" s="1">
        <f t="shared" si="8"/>
        <v>0</v>
      </c>
      <c r="AX30" s="1">
        <f t="shared" si="9"/>
        <v>0</v>
      </c>
      <c r="AY30" s="1" t="s">
        <v>48</v>
      </c>
      <c r="BA30" s="1" t="s">
        <v>537</v>
      </c>
      <c r="BB30" s="4">
        <f t="shared" ref="BB30:BJ30" si="175">IF(ISNUMBER(SEARCH(BB$1,$BA30)), 1, 0)</f>
        <v>1</v>
      </c>
      <c r="BC30" s="4">
        <f t="shared" si="175"/>
        <v>0</v>
      </c>
      <c r="BD30" s="4">
        <f t="shared" si="175"/>
        <v>1</v>
      </c>
      <c r="BE30" s="4">
        <f t="shared" si="175"/>
        <v>1</v>
      </c>
      <c r="BF30" s="4">
        <f t="shared" si="175"/>
        <v>1</v>
      </c>
      <c r="BG30" s="4">
        <f t="shared" si="175"/>
        <v>1</v>
      </c>
      <c r="BH30" s="4">
        <f t="shared" si="175"/>
        <v>0</v>
      </c>
      <c r="BI30" s="4">
        <f t="shared" si="175"/>
        <v>0</v>
      </c>
      <c r="BJ30" s="4">
        <f t="shared" si="175"/>
        <v>0</v>
      </c>
      <c r="BK30" s="4">
        <f t="shared" si="11"/>
        <v>5</v>
      </c>
      <c r="BM30" s="1" t="s">
        <v>166</v>
      </c>
      <c r="BN30" s="1" t="s">
        <v>538</v>
      </c>
      <c r="BO30" s="4">
        <f t="shared" ref="BO30:BU30" si="176">IF(ISNUMBER(SEARCH(BO$1,$BN30)), 1, 0)</f>
        <v>1</v>
      </c>
      <c r="BP30" s="4">
        <f t="shared" si="176"/>
        <v>0</v>
      </c>
      <c r="BQ30" s="4">
        <f t="shared" si="176"/>
        <v>1</v>
      </c>
      <c r="BR30" s="4">
        <f t="shared" si="176"/>
        <v>0</v>
      </c>
      <c r="BS30" s="4">
        <f t="shared" si="176"/>
        <v>0</v>
      </c>
      <c r="BT30" s="4">
        <f t="shared" si="176"/>
        <v>0</v>
      </c>
      <c r="BU30" s="4">
        <f t="shared" si="176"/>
        <v>0</v>
      </c>
      <c r="BV30" s="1" t="s">
        <v>539</v>
      </c>
      <c r="CX30" s="1" t="s">
        <v>540</v>
      </c>
      <c r="CZ30" s="1" t="s">
        <v>250</v>
      </c>
      <c r="DB30" s="1" t="s">
        <v>541</v>
      </c>
    </row>
    <row r="31" spans="1:107" ht="15.75" customHeight="1" x14ac:dyDescent="0.25">
      <c r="A31" s="1" t="b">
        <v>1</v>
      </c>
      <c r="B31" s="3">
        <v>46168.735289351855</v>
      </c>
      <c r="C31" s="1" t="s">
        <v>728</v>
      </c>
      <c r="D31" s="1" t="s">
        <v>439</v>
      </c>
      <c r="E31" s="4">
        <f t="shared" ref="E31:K31" si="177">IF(ISNUMBER(SEARCH(E$1,$D31)), SEARCH(E$1,$D31), 0)</f>
        <v>1</v>
      </c>
      <c r="F31" s="4">
        <f t="shared" si="177"/>
        <v>30</v>
      </c>
      <c r="G31" s="4">
        <f t="shared" si="177"/>
        <v>0</v>
      </c>
      <c r="H31" s="4">
        <f t="shared" si="177"/>
        <v>0</v>
      </c>
      <c r="I31" s="4">
        <f t="shared" si="177"/>
        <v>105</v>
      </c>
      <c r="J31" s="4">
        <f t="shared" si="177"/>
        <v>0</v>
      </c>
      <c r="K31" s="4">
        <f t="shared" si="177"/>
        <v>0</v>
      </c>
      <c r="L31" s="4">
        <f t="shared" si="1"/>
        <v>105</v>
      </c>
      <c r="N31" s="1" t="s">
        <v>328</v>
      </c>
      <c r="O31" s="4">
        <f t="shared" ref="O31:T31" si="178">IF(ISNUMBER(SEARCH(O$1,$N31)), 1, 0)</f>
        <v>1</v>
      </c>
      <c r="P31" s="4">
        <f t="shared" si="178"/>
        <v>1</v>
      </c>
      <c r="Q31" s="4">
        <f t="shared" si="178"/>
        <v>1</v>
      </c>
      <c r="R31" s="4">
        <f t="shared" si="178"/>
        <v>0</v>
      </c>
      <c r="S31" s="4">
        <f t="shared" si="178"/>
        <v>0</v>
      </c>
      <c r="T31" s="4">
        <f t="shared" si="178"/>
        <v>0</v>
      </c>
      <c r="V31" s="1" t="s">
        <v>24</v>
      </c>
      <c r="W31" s="1" t="str">
        <f t="shared" si="130"/>
        <v>False</v>
      </c>
      <c r="X31" s="1" t="str">
        <f t="shared" si="130"/>
        <v>False</v>
      </c>
      <c r="Y31" s="1" t="str">
        <f t="shared" si="130"/>
        <v>True</v>
      </c>
      <c r="Z31" s="1" t="str">
        <f t="shared" si="130"/>
        <v>False</v>
      </c>
      <c r="AA31" s="1" t="str">
        <f t="shared" si="130"/>
        <v>False</v>
      </c>
      <c r="AB31" s="1" t="s">
        <v>357</v>
      </c>
      <c r="AC31" s="4">
        <f t="shared" ref="AC31:AH31" si="179">IF(ISNUMBER(SEARCH(AC$1,$AB31)), 1, 0)</f>
        <v>1</v>
      </c>
      <c r="AD31" s="4">
        <f t="shared" si="179"/>
        <v>0</v>
      </c>
      <c r="AE31" s="4">
        <f t="shared" si="179"/>
        <v>0</v>
      </c>
      <c r="AF31" s="4">
        <f t="shared" si="179"/>
        <v>0</v>
      </c>
      <c r="AG31" s="4">
        <f t="shared" si="179"/>
        <v>0</v>
      </c>
      <c r="AH31" s="4">
        <f t="shared" si="179"/>
        <v>1</v>
      </c>
      <c r="AI31" s="1">
        <f t="shared" si="5"/>
        <v>2</v>
      </c>
      <c r="AK31" s="1" t="s">
        <v>246</v>
      </c>
      <c r="AL31" s="4">
        <f t="shared" ref="AL31:AS31" si="180">IF(ISNUMBER(SEARCH(AL$1,$AK31)), 1, 0)</f>
        <v>1</v>
      </c>
      <c r="AM31" s="4">
        <f t="shared" si="180"/>
        <v>1</v>
      </c>
      <c r="AN31" s="4">
        <f t="shared" si="180"/>
        <v>0</v>
      </c>
      <c r="AO31" s="4">
        <f t="shared" si="180"/>
        <v>1</v>
      </c>
      <c r="AP31" s="4">
        <f t="shared" si="180"/>
        <v>0</v>
      </c>
      <c r="AQ31" s="4">
        <f t="shared" si="180"/>
        <v>1</v>
      </c>
      <c r="AR31" s="4">
        <f t="shared" si="180"/>
        <v>0</v>
      </c>
      <c r="AS31" s="4">
        <f t="shared" si="180"/>
        <v>0</v>
      </c>
      <c r="AU31" s="1" t="s">
        <v>47</v>
      </c>
      <c r="AV31" s="1">
        <f t="shared" si="7"/>
        <v>1</v>
      </c>
      <c r="AW31" s="1">
        <f t="shared" si="8"/>
        <v>0</v>
      </c>
      <c r="AX31" s="1">
        <f t="shared" si="9"/>
        <v>0</v>
      </c>
      <c r="AY31" s="1" t="s">
        <v>48</v>
      </c>
      <c r="BA31" s="1" t="s">
        <v>729</v>
      </c>
      <c r="BB31" s="4">
        <f t="shared" ref="BB31:BJ31" si="181">IF(ISNUMBER(SEARCH(BB$1,$BA31)), 1, 0)</f>
        <v>0</v>
      </c>
      <c r="BC31" s="4">
        <f t="shared" si="181"/>
        <v>1</v>
      </c>
      <c r="BD31" s="4">
        <f t="shared" si="181"/>
        <v>0</v>
      </c>
      <c r="BE31" s="4">
        <f t="shared" si="181"/>
        <v>0</v>
      </c>
      <c r="BF31" s="4">
        <f t="shared" si="181"/>
        <v>1</v>
      </c>
      <c r="BG31" s="4">
        <f t="shared" si="181"/>
        <v>0</v>
      </c>
      <c r="BH31" s="4">
        <f t="shared" si="181"/>
        <v>0</v>
      </c>
      <c r="BI31" s="4">
        <f t="shared" si="181"/>
        <v>0</v>
      </c>
      <c r="BJ31" s="4">
        <f t="shared" si="181"/>
        <v>0</v>
      </c>
      <c r="BK31" s="4">
        <f t="shared" si="11"/>
        <v>2</v>
      </c>
      <c r="BM31" s="1" t="s">
        <v>166</v>
      </c>
      <c r="BN31" s="1" t="s">
        <v>268</v>
      </c>
      <c r="BO31" s="4">
        <f t="shared" ref="BO31:BU31" si="182">IF(ISNUMBER(SEARCH(BO$1,$BN31)), 1, 0)</f>
        <v>1</v>
      </c>
      <c r="BP31" s="4">
        <f t="shared" si="182"/>
        <v>1</v>
      </c>
      <c r="BQ31" s="4">
        <f t="shared" si="182"/>
        <v>0</v>
      </c>
      <c r="BR31" s="4">
        <f t="shared" si="182"/>
        <v>0</v>
      </c>
      <c r="BS31" s="4">
        <f t="shared" si="182"/>
        <v>0</v>
      </c>
      <c r="BT31" s="4">
        <f t="shared" si="182"/>
        <v>0</v>
      </c>
      <c r="BU31" s="4">
        <f t="shared" si="182"/>
        <v>0</v>
      </c>
      <c r="BV31" s="1" t="s">
        <v>730</v>
      </c>
      <c r="CH31" s="1" t="s">
        <v>731</v>
      </c>
      <c r="CI31" s="1" t="s">
        <v>732</v>
      </c>
      <c r="CJ31" s="1" t="s">
        <v>733</v>
      </c>
      <c r="CK31" s="1" t="s">
        <v>734</v>
      </c>
      <c r="CL31" s="1" t="s">
        <v>177</v>
      </c>
      <c r="CX31" s="1" t="s">
        <v>735</v>
      </c>
      <c r="CZ31" s="1" t="s">
        <v>736</v>
      </c>
      <c r="DC31" s="1" t="s">
        <v>180</v>
      </c>
    </row>
    <row r="32" spans="1:107" ht="15.75" customHeight="1" x14ac:dyDescent="0.25">
      <c r="A32" s="1" t="b">
        <v>0</v>
      </c>
      <c r="B32" s="3">
        <v>46157.592962962961</v>
      </c>
      <c r="C32" s="1" t="s">
        <v>379</v>
      </c>
      <c r="D32" s="1" t="s">
        <v>192</v>
      </c>
      <c r="E32" s="4">
        <f t="shared" ref="E32:K32" si="183">IF(ISNUMBER(SEARCH(E$1,$D32)), SEARCH(E$1,$D32), 0)</f>
        <v>1</v>
      </c>
      <c r="F32" s="4">
        <f t="shared" si="183"/>
        <v>30</v>
      </c>
      <c r="G32" s="4">
        <f t="shared" si="183"/>
        <v>0</v>
      </c>
      <c r="H32" s="4">
        <f t="shared" si="183"/>
        <v>0</v>
      </c>
      <c r="I32" s="4">
        <f t="shared" si="183"/>
        <v>0</v>
      </c>
      <c r="J32" s="4">
        <f t="shared" si="183"/>
        <v>0</v>
      </c>
      <c r="K32" s="4">
        <f t="shared" si="183"/>
        <v>105</v>
      </c>
      <c r="L32" s="4">
        <f t="shared" si="1"/>
        <v>105</v>
      </c>
      <c r="N32" s="1" t="s">
        <v>187</v>
      </c>
      <c r="O32" s="4">
        <f t="shared" ref="O32:T32" si="184">IF(ISNUMBER(SEARCH(O$1,$N32)), 1, 0)</f>
        <v>1</v>
      </c>
      <c r="P32" s="4">
        <f t="shared" si="184"/>
        <v>1</v>
      </c>
      <c r="Q32" s="4">
        <f t="shared" si="184"/>
        <v>1</v>
      </c>
      <c r="R32" s="4">
        <f t="shared" si="184"/>
        <v>1</v>
      </c>
      <c r="S32" s="4">
        <f t="shared" si="184"/>
        <v>1</v>
      </c>
      <c r="T32" s="4">
        <f t="shared" si="184"/>
        <v>1</v>
      </c>
      <c r="V32" s="1" t="s">
        <v>26</v>
      </c>
      <c r="W32" s="1" t="str">
        <f t="shared" si="130"/>
        <v>False</v>
      </c>
      <c r="X32" s="1" t="str">
        <f t="shared" si="130"/>
        <v>False</v>
      </c>
      <c r="Y32" s="1" t="str">
        <f t="shared" si="130"/>
        <v>False</v>
      </c>
      <c r="Z32" s="1" t="str">
        <f t="shared" si="130"/>
        <v>False</v>
      </c>
      <c r="AA32" s="1" t="str">
        <f t="shared" si="130"/>
        <v>True</v>
      </c>
      <c r="AB32" s="1" t="s">
        <v>380</v>
      </c>
      <c r="AC32" s="4">
        <f t="shared" ref="AC32:AH32" si="185">IF(ISNUMBER(SEARCH(AC$1,$AB32)), 1, 0)</f>
        <v>1</v>
      </c>
      <c r="AD32" s="4">
        <f t="shared" si="185"/>
        <v>0</v>
      </c>
      <c r="AE32" s="4">
        <f t="shared" si="185"/>
        <v>1</v>
      </c>
      <c r="AF32" s="4">
        <f t="shared" si="185"/>
        <v>1</v>
      </c>
      <c r="AG32" s="4">
        <f t="shared" si="185"/>
        <v>0</v>
      </c>
      <c r="AH32" s="4">
        <f t="shared" si="185"/>
        <v>0</v>
      </c>
      <c r="AI32" s="1">
        <f t="shared" si="5"/>
        <v>3</v>
      </c>
      <c r="AK32" s="1" t="s">
        <v>381</v>
      </c>
      <c r="AL32" s="4">
        <f t="shared" ref="AL32:AS32" si="186">IF(ISNUMBER(SEARCH(AL$1,$AK32)), 1, 0)</f>
        <v>1</v>
      </c>
      <c r="AM32" s="4">
        <f t="shared" si="186"/>
        <v>1</v>
      </c>
      <c r="AN32" s="4">
        <f t="shared" si="186"/>
        <v>1</v>
      </c>
      <c r="AO32" s="4">
        <f t="shared" si="186"/>
        <v>1</v>
      </c>
      <c r="AP32" s="4">
        <f t="shared" si="186"/>
        <v>1</v>
      </c>
      <c r="AQ32" s="4">
        <f t="shared" si="186"/>
        <v>1</v>
      </c>
      <c r="AR32" s="4">
        <f t="shared" si="186"/>
        <v>0</v>
      </c>
      <c r="AS32" s="4">
        <f t="shared" si="186"/>
        <v>0</v>
      </c>
      <c r="AU32" s="1" t="s">
        <v>47</v>
      </c>
      <c r="AV32" s="1">
        <f t="shared" si="7"/>
        <v>1</v>
      </c>
      <c r="AW32" s="1">
        <f t="shared" si="8"/>
        <v>0</v>
      </c>
      <c r="AX32" s="1">
        <f t="shared" si="9"/>
        <v>0</v>
      </c>
      <c r="AY32" s="1" t="s">
        <v>48</v>
      </c>
      <c r="BA32" s="1" t="s">
        <v>358</v>
      </c>
      <c r="BB32" s="4">
        <f t="shared" ref="BB32:BJ32" si="187">IF(ISNUMBER(SEARCH(BB$1,$BA32)), 1, 0)</f>
        <v>1</v>
      </c>
      <c r="BC32" s="4">
        <f t="shared" si="187"/>
        <v>1</v>
      </c>
      <c r="BD32" s="4">
        <f t="shared" si="187"/>
        <v>1</v>
      </c>
      <c r="BE32" s="4">
        <f t="shared" si="187"/>
        <v>1</v>
      </c>
      <c r="BF32" s="4">
        <f t="shared" si="187"/>
        <v>1</v>
      </c>
      <c r="BG32" s="4">
        <f t="shared" si="187"/>
        <v>0</v>
      </c>
      <c r="BH32" s="4">
        <f t="shared" si="187"/>
        <v>0</v>
      </c>
      <c r="BI32" s="4">
        <f t="shared" si="187"/>
        <v>1</v>
      </c>
      <c r="BJ32" s="4">
        <f t="shared" si="187"/>
        <v>1</v>
      </c>
      <c r="BK32" s="4">
        <f t="shared" si="11"/>
        <v>7</v>
      </c>
      <c r="BM32" s="1" t="s">
        <v>232</v>
      </c>
      <c r="BN32" s="1" t="s">
        <v>382</v>
      </c>
      <c r="BO32" s="4">
        <f t="shared" ref="BO32:BU32" si="188">IF(ISNUMBER(SEARCH(BO$1,$BN32)), 1, 0)</f>
        <v>1</v>
      </c>
      <c r="BP32" s="4">
        <f t="shared" si="188"/>
        <v>1</v>
      </c>
      <c r="BQ32" s="4">
        <f t="shared" si="188"/>
        <v>1</v>
      </c>
      <c r="BR32" s="4">
        <f t="shared" si="188"/>
        <v>1</v>
      </c>
      <c r="BS32" s="4">
        <f t="shared" si="188"/>
        <v>1</v>
      </c>
      <c r="BT32" s="4">
        <f t="shared" si="188"/>
        <v>1</v>
      </c>
      <c r="BU32" s="4">
        <f t="shared" si="188"/>
        <v>0</v>
      </c>
    </row>
    <row r="33" spans="1:107" ht="15.75" customHeight="1" x14ac:dyDescent="0.25">
      <c r="A33" s="1" t="b">
        <v>1</v>
      </c>
      <c r="B33" s="3">
        <v>46166.415347222224</v>
      </c>
      <c r="C33" s="1" t="s">
        <v>639</v>
      </c>
      <c r="D33" s="1" t="s">
        <v>439</v>
      </c>
      <c r="E33" s="4">
        <f t="shared" ref="E33:K33" si="189">IF(ISNUMBER(SEARCH(E$1,$D33)), SEARCH(E$1,$D33), 0)</f>
        <v>1</v>
      </c>
      <c r="F33" s="4">
        <f t="shared" si="189"/>
        <v>30</v>
      </c>
      <c r="G33" s="4">
        <f t="shared" si="189"/>
        <v>0</v>
      </c>
      <c r="H33" s="4">
        <f t="shared" si="189"/>
        <v>0</v>
      </c>
      <c r="I33" s="4">
        <f t="shared" si="189"/>
        <v>105</v>
      </c>
      <c r="J33" s="4">
        <f t="shared" si="189"/>
        <v>0</v>
      </c>
      <c r="K33" s="4">
        <f t="shared" si="189"/>
        <v>0</v>
      </c>
      <c r="L33" s="4">
        <f t="shared" si="1"/>
        <v>105</v>
      </c>
      <c r="N33" s="1" t="s">
        <v>272</v>
      </c>
      <c r="O33" s="4">
        <f t="shared" ref="O33:T33" si="190">IF(ISNUMBER(SEARCH(O$1,$N33)), 1, 0)</f>
        <v>1</v>
      </c>
      <c r="P33" s="4">
        <f t="shared" si="190"/>
        <v>1</v>
      </c>
      <c r="Q33" s="4">
        <f t="shared" si="190"/>
        <v>1</v>
      </c>
      <c r="R33" s="4">
        <f t="shared" si="190"/>
        <v>1</v>
      </c>
      <c r="S33" s="4">
        <f t="shared" si="190"/>
        <v>1</v>
      </c>
      <c r="T33" s="4">
        <f t="shared" si="190"/>
        <v>0</v>
      </c>
      <c r="V33" s="1" t="s">
        <v>26</v>
      </c>
      <c r="W33" s="1" t="str">
        <f t="shared" ref="W33:AA42" si="191">IF(W$1=$V33, "True", "False")</f>
        <v>False</v>
      </c>
      <c r="X33" s="1" t="str">
        <f t="shared" si="191"/>
        <v>False</v>
      </c>
      <c r="Y33" s="1" t="str">
        <f t="shared" si="191"/>
        <v>False</v>
      </c>
      <c r="Z33" s="1" t="str">
        <f t="shared" si="191"/>
        <v>False</v>
      </c>
      <c r="AA33" s="1" t="str">
        <f t="shared" si="191"/>
        <v>True</v>
      </c>
      <c r="AB33" s="1" t="s">
        <v>568</v>
      </c>
      <c r="AC33" s="4">
        <f t="shared" ref="AC33:AH33" si="192">IF(ISNUMBER(SEARCH(AC$1,$AB33)), 1, 0)</f>
        <v>1</v>
      </c>
      <c r="AD33" s="4">
        <f t="shared" si="192"/>
        <v>0</v>
      </c>
      <c r="AE33" s="4">
        <f t="shared" si="192"/>
        <v>0</v>
      </c>
      <c r="AF33" s="4">
        <f t="shared" si="192"/>
        <v>1</v>
      </c>
      <c r="AG33" s="4">
        <f t="shared" si="192"/>
        <v>0</v>
      </c>
      <c r="AH33" s="4">
        <f t="shared" si="192"/>
        <v>1</v>
      </c>
      <c r="AI33" s="1">
        <f t="shared" si="5"/>
        <v>3</v>
      </c>
      <c r="AK33" s="1" t="s">
        <v>470</v>
      </c>
      <c r="AL33" s="4">
        <f t="shared" ref="AL33:AS33" si="193">IF(ISNUMBER(SEARCH(AL$1,$AK33)), 1, 0)</f>
        <v>0</v>
      </c>
      <c r="AM33" s="4">
        <f t="shared" si="193"/>
        <v>1</v>
      </c>
      <c r="AN33" s="4">
        <f t="shared" si="193"/>
        <v>0</v>
      </c>
      <c r="AO33" s="4">
        <f t="shared" si="193"/>
        <v>1</v>
      </c>
      <c r="AP33" s="4">
        <f t="shared" si="193"/>
        <v>0</v>
      </c>
      <c r="AQ33" s="4">
        <f t="shared" si="193"/>
        <v>1</v>
      </c>
      <c r="AR33" s="4">
        <f t="shared" si="193"/>
        <v>0</v>
      </c>
      <c r="AS33" s="4">
        <f t="shared" si="193"/>
        <v>0</v>
      </c>
      <c r="AU33" s="1" t="s">
        <v>49</v>
      </c>
      <c r="AV33" s="1">
        <f t="shared" si="7"/>
        <v>0</v>
      </c>
      <c r="AW33" s="1">
        <f t="shared" si="8"/>
        <v>0</v>
      </c>
      <c r="AX33" s="1">
        <f t="shared" si="9"/>
        <v>1</v>
      </c>
      <c r="AY33" s="1" t="s">
        <v>48</v>
      </c>
      <c r="BA33" s="1" t="s">
        <v>253</v>
      </c>
      <c r="BB33" s="4">
        <f t="shared" ref="BB33:BJ33" si="194">IF(ISNUMBER(SEARCH(BB$1,$BA33)), 1, 0)</f>
        <v>1</v>
      </c>
      <c r="BC33" s="4">
        <f t="shared" si="194"/>
        <v>1</v>
      </c>
      <c r="BD33" s="4">
        <f t="shared" si="194"/>
        <v>1</v>
      </c>
      <c r="BE33" s="4">
        <f t="shared" si="194"/>
        <v>1</v>
      </c>
      <c r="BF33" s="4">
        <f t="shared" si="194"/>
        <v>1</v>
      </c>
      <c r="BG33" s="4">
        <f t="shared" si="194"/>
        <v>0</v>
      </c>
      <c r="BH33" s="4">
        <f t="shared" si="194"/>
        <v>0</v>
      </c>
      <c r="BI33" s="4">
        <f t="shared" si="194"/>
        <v>0</v>
      </c>
      <c r="BJ33" s="4">
        <f t="shared" si="194"/>
        <v>1</v>
      </c>
      <c r="BK33" s="4">
        <f t="shared" si="11"/>
        <v>6</v>
      </c>
      <c r="BM33" s="1" t="s">
        <v>166</v>
      </c>
      <c r="BN33" s="1" t="s">
        <v>219</v>
      </c>
      <c r="BO33" s="4">
        <f t="shared" ref="BO33:BU33" si="195">IF(ISNUMBER(SEARCH(BO$1,$BN33)), 1, 0)</f>
        <v>1</v>
      </c>
      <c r="BP33" s="4">
        <f t="shared" si="195"/>
        <v>0</v>
      </c>
      <c r="BQ33" s="4">
        <f t="shared" si="195"/>
        <v>0</v>
      </c>
      <c r="BR33" s="4">
        <f t="shared" si="195"/>
        <v>0</v>
      </c>
      <c r="BS33" s="4">
        <f t="shared" si="195"/>
        <v>0</v>
      </c>
      <c r="BT33" s="4">
        <f t="shared" si="195"/>
        <v>1</v>
      </c>
      <c r="BU33" s="4">
        <f t="shared" si="195"/>
        <v>0</v>
      </c>
      <c r="CH33" s="1" t="s">
        <v>640</v>
      </c>
      <c r="CI33" s="1" t="s">
        <v>641</v>
      </c>
      <c r="CJ33" s="1" t="s">
        <v>642</v>
      </c>
      <c r="CL33" s="1" t="s">
        <v>177</v>
      </c>
      <c r="CX33" s="1" t="s">
        <v>643</v>
      </c>
      <c r="CZ33" s="1" t="s">
        <v>644</v>
      </c>
      <c r="DB33" s="1" t="s">
        <v>645</v>
      </c>
    </row>
    <row r="34" spans="1:107" ht="15.75" customHeight="1" x14ac:dyDescent="0.25">
      <c r="A34" s="1" t="b">
        <v>1</v>
      </c>
      <c r="B34" s="3">
        <v>46164.688993055555</v>
      </c>
      <c r="C34" s="1" t="s">
        <v>517</v>
      </c>
      <c r="D34" s="1" t="s">
        <v>518</v>
      </c>
      <c r="E34" s="4">
        <f t="shared" ref="E34:K34" si="196">IF(ISNUMBER(SEARCH(E$1,$D34)), SEARCH(E$1,$D34), 0)</f>
        <v>1</v>
      </c>
      <c r="F34" s="4">
        <f t="shared" si="196"/>
        <v>30</v>
      </c>
      <c r="G34" s="4">
        <f t="shared" si="196"/>
        <v>0</v>
      </c>
      <c r="H34" s="4">
        <f t="shared" si="196"/>
        <v>105</v>
      </c>
      <c r="I34" s="4">
        <f t="shared" si="196"/>
        <v>143</v>
      </c>
      <c r="J34" s="4">
        <f t="shared" si="196"/>
        <v>0</v>
      </c>
      <c r="K34" s="4">
        <f t="shared" si="196"/>
        <v>0</v>
      </c>
      <c r="L34" s="4">
        <f t="shared" si="1"/>
        <v>143</v>
      </c>
      <c r="N34" s="1" t="s">
        <v>240</v>
      </c>
      <c r="O34" s="4">
        <f t="shared" ref="O34:T34" si="197">IF(ISNUMBER(SEARCH(O$1,$N34)), 1, 0)</f>
        <v>1</v>
      </c>
      <c r="P34" s="4">
        <f t="shared" si="197"/>
        <v>1</v>
      </c>
      <c r="Q34" s="4">
        <f t="shared" si="197"/>
        <v>1</v>
      </c>
      <c r="R34" s="4">
        <f t="shared" si="197"/>
        <v>1</v>
      </c>
      <c r="S34" s="4">
        <f t="shared" si="197"/>
        <v>0</v>
      </c>
      <c r="T34" s="4">
        <f t="shared" si="197"/>
        <v>0</v>
      </c>
      <c r="V34" s="1" t="s">
        <v>26</v>
      </c>
      <c r="W34" s="1" t="str">
        <f t="shared" si="191"/>
        <v>False</v>
      </c>
      <c r="X34" s="1" t="str">
        <f t="shared" si="191"/>
        <v>False</v>
      </c>
      <c r="Y34" s="1" t="str">
        <f t="shared" si="191"/>
        <v>False</v>
      </c>
      <c r="Z34" s="1" t="str">
        <f t="shared" si="191"/>
        <v>False</v>
      </c>
      <c r="AA34" s="1" t="str">
        <f t="shared" si="191"/>
        <v>True</v>
      </c>
      <c r="AB34" s="1" t="s">
        <v>519</v>
      </c>
      <c r="AC34" s="4">
        <f t="shared" ref="AC34:AH34" si="198">IF(ISNUMBER(SEARCH(AC$1,$AB34)), 1, 0)</f>
        <v>1</v>
      </c>
      <c r="AD34" s="4">
        <f t="shared" si="198"/>
        <v>0</v>
      </c>
      <c r="AE34" s="4">
        <f t="shared" si="198"/>
        <v>0</v>
      </c>
      <c r="AF34" s="4">
        <f t="shared" si="198"/>
        <v>0</v>
      </c>
      <c r="AG34" s="4">
        <f t="shared" si="198"/>
        <v>1</v>
      </c>
      <c r="AH34" s="4">
        <f t="shared" si="198"/>
        <v>0</v>
      </c>
      <c r="AI34" s="1">
        <f t="shared" si="5"/>
        <v>2</v>
      </c>
      <c r="AK34" s="1" t="s">
        <v>317</v>
      </c>
      <c r="AL34" s="4">
        <f t="shared" ref="AL34:AS34" si="199">IF(ISNUMBER(SEARCH(AL$1,$AK34)), 1, 0)</f>
        <v>0</v>
      </c>
      <c r="AM34" s="4">
        <f t="shared" si="199"/>
        <v>1</v>
      </c>
      <c r="AN34" s="4">
        <f t="shared" si="199"/>
        <v>0</v>
      </c>
      <c r="AO34" s="4">
        <f t="shared" si="199"/>
        <v>1</v>
      </c>
      <c r="AP34" s="4">
        <f t="shared" si="199"/>
        <v>1</v>
      </c>
      <c r="AQ34" s="4">
        <f t="shared" si="199"/>
        <v>1</v>
      </c>
      <c r="AR34" s="4">
        <f t="shared" si="199"/>
        <v>0</v>
      </c>
      <c r="AS34" s="4">
        <f t="shared" si="199"/>
        <v>0</v>
      </c>
      <c r="AU34" s="1" t="s">
        <v>48</v>
      </c>
      <c r="AV34" s="1">
        <f t="shared" si="7"/>
        <v>0</v>
      </c>
      <c r="AW34" s="1">
        <f t="shared" si="8"/>
        <v>1</v>
      </c>
      <c r="AX34" s="1">
        <f t="shared" si="9"/>
        <v>0</v>
      </c>
      <c r="AY34" s="1" t="s">
        <v>48</v>
      </c>
      <c r="BA34" s="1" t="s">
        <v>493</v>
      </c>
      <c r="BB34" s="4">
        <f t="shared" ref="BB34:BJ34" si="200">IF(ISNUMBER(SEARCH(BB$1,$BA34)), 1, 0)</f>
        <v>1</v>
      </c>
      <c r="BC34" s="4">
        <f t="shared" si="200"/>
        <v>1</v>
      </c>
      <c r="BD34" s="4">
        <f t="shared" si="200"/>
        <v>1</v>
      </c>
      <c r="BE34" s="4">
        <f t="shared" si="200"/>
        <v>0</v>
      </c>
      <c r="BF34" s="4">
        <f t="shared" si="200"/>
        <v>1</v>
      </c>
      <c r="BG34" s="4">
        <f t="shared" si="200"/>
        <v>0</v>
      </c>
      <c r="BH34" s="4">
        <f t="shared" si="200"/>
        <v>1</v>
      </c>
      <c r="BI34" s="4">
        <f t="shared" si="200"/>
        <v>0</v>
      </c>
      <c r="BJ34" s="4">
        <f t="shared" si="200"/>
        <v>1</v>
      </c>
      <c r="BK34" s="4">
        <f t="shared" si="11"/>
        <v>6</v>
      </c>
      <c r="BM34" s="1" t="s">
        <v>190</v>
      </c>
      <c r="BN34" s="1" t="s">
        <v>340</v>
      </c>
      <c r="BO34" s="4">
        <f t="shared" ref="BO34:BU34" si="201">IF(ISNUMBER(SEARCH(BO$1,$BN34)), 1, 0)</f>
        <v>1</v>
      </c>
      <c r="BP34" s="4">
        <f t="shared" si="201"/>
        <v>1</v>
      </c>
      <c r="BQ34" s="4">
        <f t="shared" si="201"/>
        <v>0</v>
      </c>
      <c r="BR34" s="4">
        <f t="shared" si="201"/>
        <v>0</v>
      </c>
      <c r="BS34" s="4">
        <f t="shared" si="201"/>
        <v>0</v>
      </c>
      <c r="BT34" s="4">
        <f t="shared" si="201"/>
        <v>0</v>
      </c>
      <c r="BU34" s="4">
        <f t="shared" si="201"/>
        <v>0</v>
      </c>
      <c r="BW34" s="1" t="s">
        <v>220</v>
      </c>
      <c r="CB34" s="1" t="s">
        <v>47</v>
      </c>
      <c r="CF34" s="1" t="s">
        <v>387</v>
      </c>
      <c r="CG34" s="1" t="s">
        <v>388</v>
      </c>
      <c r="CH34" s="1" t="s">
        <v>520</v>
      </c>
      <c r="CL34" s="1" t="s">
        <v>177</v>
      </c>
      <c r="CX34" s="1" t="s">
        <v>450</v>
      </c>
      <c r="CZ34" s="1" t="s">
        <v>250</v>
      </c>
      <c r="DB34" s="1" t="s">
        <v>521</v>
      </c>
      <c r="DC34" s="1" t="s">
        <v>238</v>
      </c>
    </row>
    <row r="35" spans="1:107" ht="15.75" customHeight="1" x14ac:dyDescent="0.25">
      <c r="A35" s="1" t="b">
        <v>1</v>
      </c>
      <c r="B35" s="3">
        <v>46166.38758101852</v>
      </c>
      <c r="C35" s="1" t="s">
        <v>635</v>
      </c>
      <c r="D35" s="1" t="s">
        <v>207</v>
      </c>
      <c r="E35" s="4">
        <f t="shared" ref="E35:K35" si="202">IF(ISNUMBER(SEARCH(E$1,$D35)), SEARCH(E$1,$D35), 0)</f>
        <v>1</v>
      </c>
      <c r="F35" s="4">
        <f t="shared" si="202"/>
        <v>30</v>
      </c>
      <c r="G35" s="4">
        <f t="shared" si="202"/>
        <v>0</v>
      </c>
      <c r="H35" s="4">
        <f t="shared" si="202"/>
        <v>0</v>
      </c>
      <c r="I35" s="4">
        <f t="shared" si="202"/>
        <v>0</v>
      </c>
      <c r="J35" s="4">
        <f t="shared" si="202"/>
        <v>0</v>
      </c>
      <c r="K35" s="4">
        <f t="shared" si="202"/>
        <v>0</v>
      </c>
      <c r="L35" s="4">
        <f t="shared" si="1"/>
        <v>30</v>
      </c>
      <c r="N35" s="1" t="s">
        <v>244</v>
      </c>
      <c r="O35" s="4">
        <f t="shared" ref="O35:T35" si="203">IF(ISNUMBER(SEARCH(O$1,$N35)), 1, 0)</f>
        <v>1</v>
      </c>
      <c r="P35" s="4">
        <f t="shared" si="203"/>
        <v>0</v>
      </c>
      <c r="Q35" s="4">
        <f t="shared" si="203"/>
        <v>1</v>
      </c>
      <c r="R35" s="4">
        <f t="shared" si="203"/>
        <v>1</v>
      </c>
      <c r="S35" s="4">
        <f t="shared" si="203"/>
        <v>0</v>
      </c>
      <c r="T35" s="4">
        <f t="shared" si="203"/>
        <v>0</v>
      </c>
      <c r="V35" s="1" t="s">
        <v>24</v>
      </c>
      <c r="W35" s="1" t="str">
        <f t="shared" si="191"/>
        <v>False</v>
      </c>
      <c r="X35" s="1" t="str">
        <f t="shared" si="191"/>
        <v>False</v>
      </c>
      <c r="Y35" s="1" t="str">
        <f t="shared" si="191"/>
        <v>True</v>
      </c>
      <c r="Z35" s="1" t="str">
        <f t="shared" si="191"/>
        <v>False</v>
      </c>
      <c r="AA35" s="1" t="str">
        <f t="shared" si="191"/>
        <v>False</v>
      </c>
      <c r="AB35" s="1" t="s">
        <v>357</v>
      </c>
      <c r="AC35" s="4">
        <f t="shared" ref="AC35:AH35" si="204">IF(ISNUMBER(SEARCH(AC$1,$AB35)), 1, 0)</f>
        <v>1</v>
      </c>
      <c r="AD35" s="4">
        <f t="shared" si="204"/>
        <v>0</v>
      </c>
      <c r="AE35" s="4">
        <f t="shared" si="204"/>
        <v>0</v>
      </c>
      <c r="AF35" s="4">
        <f t="shared" si="204"/>
        <v>0</v>
      </c>
      <c r="AG35" s="4">
        <f t="shared" si="204"/>
        <v>0</v>
      </c>
      <c r="AH35" s="4">
        <f t="shared" si="204"/>
        <v>1</v>
      </c>
      <c r="AI35" s="1">
        <f t="shared" si="5"/>
        <v>2</v>
      </c>
      <c r="AK35" s="1" t="s">
        <v>259</v>
      </c>
      <c r="AL35" s="4">
        <f t="shared" ref="AL35:AS35" si="205">IF(ISNUMBER(SEARCH(AL$1,$AK35)), 1, 0)</f>
        <v>1</v>
      </c>
      <c r="AM35" s="4">
        <f t="shared" si="205"/>
        <v>1</v>
      </c>
      <c r="AN35" s="4">
        <f t="shared" si="205"/>
        <v>0</v>
      </c>
      <c r="AO35" s="4">
        <f t="shared" si="205"/>
        <v>1</v>
      </c>
      <c r="AP35" s="4">
        <f t="shared" si="205"/>
        <v>0</v>
      </c>
      <c r="AQ35" s="4">
        <f t="shared" si="205"/>
        <v>0</v>
      </c>
      <c r="AR35" s="4">
        <f t="shared" si="205"/>
        <v>0</v>
      </c>
      <c r="AS35" s="4">
        <f t="shared" si="205"/>
        <v>0</v>
      </c>
      <c r="AU35" s="1" t="s">
        <v>47</v>
      </c>
      <c r="AV35" s="1">
        <f t="shared" si="7"/>
        <v>1</v>
      </c>
      <c r="AW35" s="1">
        <f t="shared" si="8"/>
        <v>0</v>
      </c>
      <c r="AX35" s="1">
        <f t="shared" si="9"/>
        <v>0</v>
      </c>
      <c r="AY35" s="1" t="s">
        <v>48</v>
      </c>
      <c r="BA35" s="1" t="s">
        <v>318</v>
      </c>
      <c r="BB35" s="4">
        <f t="shared" ref="BB35:BJ35" si="206">IF(ISNUMBER(SEARCH(BB$1,$BA35)), 1, 0)</f>
        <v>0</v>
      </c>
      <c r="BC35" s="4">
        <f t="shared" si="206"/>
        <v>0</v>
      </c>
      <c r="BD35" s="4">
        <f t="shared" si="206"/>
        <v>1</v>
      </c>
      <c r="BE35" s="4">
        <f t="shared" si="206"/>
        <v>1</v>
      </c>
      <c r="BF35" s="4">
        <f t="shared" si="206"/>
        <v>1</v>
      </c>
      <c r="BG35" s="4">
        <f t="shared" si="206"/>
        <v>1</v>
      </c>
      <c r="BH35" s="4">
        <f t="shared" si="206"/>
        <v>0</v>
      </c>
      <c r="BI35" s="4">
        <f t="shared" si="206"/>
        <v>0</v>
      </c>
      <c r="BJ35" s="4">
        <f t="shared" si="206"/>
        <v>1</v>
      </c>
      <c r="BK35" s="4">
        <f t="shared" si="11"/>
        <v>5</v>
      </c>
      <c r="BM35" s="1" t="s">
        <v>232</v>
      </c>
      <c r="BN35" s="1" t="s">
        <v>340</v>
      </c>
      <c r="BO35" s="4">
        <f t="shared" ref="BO35:BU35" si="207">IF(ISNUMBER(SEARCH(BO$1,$BN35)), 1, 0)</f>
        <v>1</v>
      </c>
      <c r="BP35" s="4">
        <f t="shared" si="207"/>
        <v>1</v>
      </c>
      <c r="BQ35" s="4">
        <f t="shared" si="207"/>
        <v>0</v>
      </c>
      <c r="BR35" s="4">
        <f t="shared" si="207"/>
        <v>0</v>
      </c>
      <c r="BS35" s="4">
        <f t="shared" si="207"/>
        <v>0</v>
      </c>
      <c r="BT35" s="4">
        <f t="shared" si="207"/>
        <v>0</v>
      </c>
      <c r="BU35" s="4">
        <f t="shared" si="207"/>
        <v>0</v>
      </c>
      <c r="CX35" s="1" t="s">
        <v>636</v>
      </c>
      <c r="CZ35" s="1" t="s">
        <v>637</v>
      </c>
      <c r="DB35" s="1" t="s">
        <v>638</v>
      </c>
      <c r="DC35" s="1" t="s">
        <v>180</v>
      </c>
    </row>
    <row r="36" spans="1:107" ht="15.75" customHeight="1" x14ac:dyDescent="0.25">
      <c r="A36" s="1" t="b">
        <v>1</v>
      </c>
      <c r="B36" s="3">
        <v>46168.725011574075</v>
      </c>
      <c r="C36" s="1" t="s">
        <v>724</v>
      </c>
      <c r="D36" s="1" t="s">
        <v>207</v>
      </c>
      <c r="E36" s="4">
        <f t="shared" ref="E36:K36" si="208">IF(ISNUMBER(SEARCH(E$1,$D36)), SEARCH(E$1,$D36), 0)</f>
        <v>1</v>
      </c>
      <c r="F36" s="4">
        <f t="shared" si="208"/>
        <v>30</v>
      </c>
      <c r="G36" s="4">
        <f t="shared" si="208"/>
        <v>0</v>
      </c>
      <c r="H36" s="4">
        <f t="shared" si="208"/>
        <v>0</v>
      </c>
      <c r="I36" s="4">
        <f t="shared" si="208"/>
        <v>0</v>
      </c>
      <c r="J36" s="4">
        <f t="shared" si="208"/>
        <v>0</v>
      </c>
      <c r="K36" s="4">
        <f t="shared" si="208"/>
        <v>0</v>
      </c>
      <c r="L36" s="4">
        <f t="shared" si="1"/>
        <v>30</v>
      </c>
      <c r="N36" s="1" t="s">
        <v>208</v>
      </c>
      <c r="O36" s="4">
        <f t="shared" ref="O36:T36" si="209">IF(ISNUMBER(SEARCH(O$1,$N36)), 1, 0)</f>
        <v>1</v>
      </c>
      <c r="P36" s="4">
        <f t="shared" si="209"/>
        <v>1</v>
      </c>
      <c r="Q36" s="4">
        <f t="shared" si="209"/>
        <v>0</v>
      </c>
      <c r="R36" s="4">
        <f t="shared" si="209"/>
        <v>1</v>
      </c>
      <c r="S36" s="4">
        <f t="shared" si="209"/>
        <v>0</v>
      </c>
      <c r="T36" s="4">
        <f t="shared" si="209"/>
        <v>0</v>
      </c>
      <c r="V36" s="1" t="s">
        <v>24</v>
      </c>
      <c r="W36" s="1" t="str">
        <f t="shared" si="191"/>
        <v>False</v>
      </c>
      <c r="X36" s="1" t="str">
        <f t="shared" si="191"/>
        <v>False</v>
      </c>
      <c r="Y36" s="1" t="str">
        <f t="shared" si="191"/>
        <v>True</v>
      </c>
      <c r="Z36" s="1" t="str">
        <f t="shared" si="191"/>
        <v>False</v>
      </c>
      <c r="AA36" s="1" t="str">
        <f t="shared" si="191"/>
        <v>False</v>
      </c>
      <c r="AB36" s="1" t="s">
        <v>357</v>
      </c>
      <c r="AC36" s="4">
        <f t="shared" ref="AC36:AH36" si="210">IF(ISNUMBER(SEARCH(AC$1,$AB36)), 1, 0)</f>
        <v>1</v>
      </c>
      <c r="AD36" s="4">
        <f t="shared" si="210"/>
        <v>0</v>
      </c>
      <c r="AE36" s="4">
        <f t="shared" si="210"/>
        <v>0</v>
      </c>
      <c r="AF36" s="4">
        <f t="shared" si="210"/>
        <v>0</v>
      </c>
      <c r="AG36" s="4">
        <f t="shared" si="210"/>
        <v>0</v>
      </c>
      <c r="AH36" s="4">
        <f t="shared" si="210"/>
        <v>1</v>
      </c>
      <c r="AI36" s="1">
        <f t="shared" si="5"/>
        <v>2</v>
      </c>
      <c r="AK36" s="1" t="s">
        <v>506</v>
      </c>
      <c r="AL36" s="4">
        <f t="shared" ref="AL36:AS36" si="211">IF(ISNUMBER(SEARCH(AL$1,$AK36)), 1, 0)</f>
        <v>1</v>
      </c>
      <c r="AM36" s="4">
        <f t="shared" si="211"/>
        <v>1</v>
      </c>
      <c r="AN36" s="4">
        <f t="shared" si="211"/>
        <v>0</v>
      </c>
      <c r="AO36" s="4">
        <f t="shared" si="211"/>
        <v>0</v>
      </c>
      <c r="AP36" s="4">
        <f t="shared" si="211"/>
        <v>0</v>
      </c>
      <c r="AQ36" s="4">
        <f t="shared" si="211"/>
        <v>0</v>
      </c>
      <c r="AR36" s="4">
        <f t="shared" si="211"/>
        <v>0</v>
      </c>
      <c r="AS36" s="4">
        <f t="shared" si="211"/>
        <v>0</v>
      </c>
      <c r="AU36" s="1" t="s">
        <v>47</v>
      </c>
      <c r="AV36" s="1">
        <f t="shared" si="7"/>
        <v>1</v>
      </c>
      <c r="AW36" s="1">
        <f t="shared" si="8"/>
        <v>0</v>
      </c>
      <c r="AX36" s="1">
        <f t="shared" si="9"/>
        <v>0</v>
      </c>
      <c r="AY36" s="1" t="s">
        <v>48</v>
      </c>
      <c r="BA36" s="1" t="s">
        <v>725</v>
      </c>
      <c r="BB36" s="4">
        <f t="shared" ref="BB36:BJ36" si="212">IF(ISNUMBER(SEARCH(BB$1,$BA36)), 1, 0)</f>
        <v>0</v>
      </c>
      <c r="BC36" s="4">
        <f t="shared" si="212"/>
        <v>1</v>
      </c>
      <c r="BD36" s="4">
        <f t="shared" si="212"/>
        <v>1</v>
      </c>
      <c r="BE36" s="4">
        <f t="shared" si="212"/>
        <v>0</v>
      </c>
      <c r="BF36" s="4">
        <f t="shared" si="212"/>
        <v>1</v>
      </c>
      <c r="BG36" s="4">
        <f t="shared" si="212"/>
        <v>1</v>
      </c>
      <c r="BH36" s="4">
        <f t="shared" si="212"/>
        <v>0</v>
      </c>
      <c r="BI36" s="4">
        <f t="shared" si="212"/>
        <v>0</v>
      </c>
      <c r="BJ36" s="4">
        <f t="shared" si="212"/>
        <v>1</v>
      </c>
      <c r="BK36" s="4">
        <f t="shared" si="11"/>
        <v>5</v>
      </c>
      <c r="BM36" s="1" t="s">
        <v>232</v>
      </c>
      <c r="BN36" s="1" t="s">
        <v>726</v>
      </c>
      <c r="BO36" s="4">
        <f t="shared" ref="BO36:BU36" si="213">IF(ISNUMBER(SEARCH(BO$1,$BN36)), 1, 0)</f>
        <v>0</v>
      </c>
      <c r="BP36" s="4">
        <f t="shared" si="213"/>
        <v>1</v>
      </c>
      <c r="BQ36" s="4">
        <f t="shared" si="213"/>
        <v>0</v>
      </c>
      <c r="BR36" s="4">
        <f t="shared" si="213"/>
        <v>1</v>
      </c>
      <c r="BS36" s="4">
        <f t="shared" si="213"/>
        <v>0</v>
      </c>
      <c r="BT36" s="4">
        <f t="shared" si="213"/>
        <v>0</v>
      </c>
      <c r="BU36" s="4">
        <f t="shared" si="213"/>
        <v>0</v>
      </c>
      <c r="CX36" s="1" t="s">
        <v>686</v>
      </c>
      <c r="CZ36" s="1" t="s">
        <v>250</v>
      </c>
      <c r="DB36" s="1" t="s">
        <v>727</v>
      </c>
      <c r="DC36" s="1" t="s">
        <v>180</v>
      </c>
    </row>
    <row r="37" spans="1:107" ht="15.75" customHeight="1" x14ac:dyDescent="0.25">
      <c r="A37" s="1" t="b">
        <v>1</v>
      </c>
      <c r="B37" s="3">
        <v>46151.550763888888</v>
      </c>
      <c r="C37" s="1" t="s">
        <v>258</v>
      </c>
      <c r="D37" s="1" t="s">
        <v>207</v>
      </c>
      <c r="E37" s="4">
        <f t="shared" ref="E37:K37" si="214">IF(ISNUMBER(SEARCH(E$1,$D37)), SEARCH(E$1,$D37), 0)</f>
        <v>1</v>
      </c>
      <c r="F37" s="4">
        <f t="shared" si="214"/>
        <v>30</v>
      </c>
      <c r="G37" s="4">
        <f t="shared" si="214"/>
        <v>0</v>
      </c>
      <c r="H37" s="4">
        <f t="shared" si="214"/>
        <v>0</v>
      </c>
      <c r="I37" s="4">
        <f t="shared" si="214"/>
        <v>0</v>
      </c>
      <c r="J37" s="4">
        <f t="shared" si="214"/>
        <v>0</v>
      </c>
      <c r="K37" s="4">
        <f t="shared" si="214"/>
        <v>0</v>
      </c>
      <c r="L37" s="4">
        <f t="shared" si="1"/>
        <v>30</v>
      </c>
      <c r="N37" s="1" t="s">
        <v>208</v>
      </c>
      <c r="O37" s="4">
        <f t="shared" ref="O37:T37" si="215">IF(ISNUMBER(SEARCH(O$1,$N37)), 1, 0)</f>
        <v>1</v>
      </c>
      <c r="P37" s="4">
        <f t="shared" si="215"/>
        <v>1</v>
      </c>
      <c r="Q37" s="4">
        <f t="shared" si="215"/>
        <v>0</v>
      </c>
      <c r="R37" s="4">
        <f t="shared" si="215"/>
        <v>1</v>
      </c>
      <c r="S37" s="4">
        <f t="shared" si="215"/>
        <v>0</v>
      </c>
      <c r="T37" s="4">
        <f t="shared" si="215"/>
        <v>0</v>
      </c>
      <c r="W37" s="1" t="str">
        <f t="shared" si="191"/>
        <v>False</v>
      </c>
      <c r="X37" s="1" t="str">
        <f t="shared" si="191"/>
        <v>False</v>
      </c>
      <c r="Y37" s="1" t="str">
        <f t="shared" si="191"/>
        <v>False</v>
      </c>
      <c r="Z37" s="1" t="str">
        <f t="shared" si="191"/>
        <v>False</v>
      </c>
      <c r="AA37" s="1" t="str">
        <f t="shared" si="191"/>
        <v>False</v>
      </c>
      <c r="AB37" s="1" t="s">
        <v>245</v>
      </c>
      <c r="AC37" s="4">
        <f t="shared" ref="AC37:AH37" si="216">IF(ISNUMBER(SEARCH(AC$1,$AB37)), 1, 0)</f>
        <v>1</v>
      </c>
      <c r="AD37" s="4">
        <f t="shared" si="216"/>
        <v>0</v>
      </c>
      <c r="AE37" s="4">
        <f t="shared" si="216"/>
        <v>0</v>
      </c>
      <c r="AF37" s="4">
        <f t="shared" si="216"/>
        <v>1</v>
      </c>
      <c r="AG37" s="4">
        <f t="shared" si="216"/>
        <v>0</v>
      </c>
      <c r="AH37" s="4">
        <f t="shared" si="216"/>
        <v>0</v>
      </c>
      <c r="AI37" s="1">
        <f t="shared" si="5"/>
        <v>2</v>
      </c>
      <c r="AK37" s="1" t="s">
        <v>259</v>
      </c>
      <c r="AL37" s="4">
        <f t="shared" ref="AL37:AS37" si="217">IF(ISNUMBER(SEARCH(AL$1,$AK37)), 1, 0)</f>
        <v>1</v>
      </c>
      <c r="AM37" s="4">
        <f t="shared" si="217"/>
        <v>1</v>
      </c>
      <c r="AN37" s="4">
        <f t="shared" si="217"/>
        <v>0</v>
      </c>
      <c r="AO37" s="4">
        <f t="shared" si="217"/>
        <v>1</v>
      </c>
      <c r="AP37" s="4">
        <f t="shared" si="217"/>
        <v>0</v>
      </c>
      <c r="AQ37" s="4">
        <f t="shared" si="217"/>
        <v>0</v>
      </c>
      <c r="AR37" s="4">
        <f t="shared" si="217"/>
        <v>0</v>
      </c>
      <c r="AS37" s="4">
        <f t="shared" si="217"/>
        <v>0</v>
      </c>
      <c r="AU37" s="1" t="s">
        <v>48</v>
      </c>
      <c r="AV37" s="1">
        <f t="shared" si="7"/>
        <v>0</v>
      </c>
      <c r="AW37" s="1">
        <f t="shared" si="8"/>
        <v>1</v>
      </c>
      <c r="AX37" s="1">
        <f t="shared" si="9"/>
        <v>0</v>
      </c>
      <c r="AY37" s="1" t="s">
        <v>48</v>
      </c>
      <c r="BA37" s="1" t="s">
        <v>231</v>
      </c>
      <c r="BB37" s="4">
        <f t="shared" ref="BB37:BJ37" si="218">IF(ISNUMBER(SEARCH(BB$1,$BA37)), 1, 0)</f>
        <v>1</v>
      </c>
      <c r="BC37" s="4">
        <f t="shared" si="218"/>
        <v>1</v>
      </c>
      <c r="BD37" s="4">
        <f t="shared" si="218"/>
        <v>1</v>
      </c>
      <c r="BE37" s="4">
        <f t="shared" si="218"/>
        <v>1</v>
      </c>
      <c r="BF37" s="4">
        <f t="shared" si="218"/>
        <v>1</v>
      </c>
      <c r="BG37" s="4">
        <f t="shared" si="218"/>
        <v>1</v>
      </c>
      <c r="BH37" s="4">
        <f t="shared" si="218"/>
        <v>0</v>
      </c>
      <c r="BI37" s="4">
        <f t="shared" si="218"/>
        <v>0</v>
      </c>
      <c r="BJ37" s="4">
        <f t="shared" si="218"/>
        <v>1</v>
      </c>
      <c r="BK37" s="4">
        <f t="shared" si="11"/>
        <v>7</v>
      </c>
      <c r="BM37" s="1" t="s">
        <v>232</v>
      </c>
      <c r="BN37" s="1" t="s">
        <v>260</v>
      </c>
      <c r="BO37" s="4">
        <f t="shared" ref="BO37:BU37" si="219">IF(ISNUMBER(SEARCH(BO$1,$BN37)), 1, 0)</f>
        <v>0</v>
      </c>
      <c r="BP37" s="4">
        <f t="shared" si="219"/>
        <v>1</v>
      </c>
      <c r="BQ37" s="4">
        <f t="shared" si="219"/>
        <v>0</v>
      </c>
      <c r="BR37" s="4">
        <f t="shared" si="219"/>
        <v>1</v>
      </c>
      <c r="BS37" s="4">
        <f t="shared" si="219"/>
        <v>0</v>
      </c>
      <c r="BT37" s="4">
        <f t="shared" si="219"/>
        <v>0</v>
      </c>
      <c r="BU37" s="4">
        <f t="shared" si="219"/>
        <v>1</v>
      </c>
      <c r="BW37" s="1" t="s">
        <v>212</v>
      </c>
      <c r="BZ37" s="1" t="s">
        <v>256</v>
      </c>
      <c r="CX37" s="1" t="s">
        <v>261</v>
      </c>
      <c r="CZ37" s="1" t="s">
        <v>262</v>
      </c>
      <c r="DB37" s="1" t="s">
        <v>263</v>
      </c>
      <c r="DC37" s="1" t="s">
        <v>238</v>
      </c>
    </row>
    <row r="38" spans="1:107" ht="15.75" customHeight="1" x14ac:dyDescent="0.25">
      <c r="A38" s="1" t="b">
        <v>1</v>
      </c>
      <c r="B38" s="3">
        <v>46150.797233796293</v>
      </c>
      <c r="C38" s="1" t="s">
        <v>206</v>
      </c>
      <c r="D38" s="1" t="s">
        <v>207</v>
      </c>
      <c r="E38" s="4">
        <f t="shared" ref="E38:K38" si="220">IF(ISNUMBER(SEARCH(E$1,$D38)), SEARCH(E$1,$D38), 0)</f>
        <v>1</v>
      </c>
      <c r="F38" s="4">
        <f t="shared" si="220"/>
        <v>30</v>
      </c>
      <c r="G38" s="4">
        <f t="shared" si="220"/>
        <v>0</v>
      </c>
      <c r="H38" s="4">
        <f t="shared" si="220"/>
        <v>0</v>
      </c>
      <c r="I38" s="4">
        <f t="shared" si="220"/>
        <v>0</v>
      </c>
      <c r="J38" s="4">
        <f t="shared" si="220"/>
        <v>0</v>
      </c>
      <c r="K38" s="4">
        <f t="shared" si="220"/>
        <v>0</v>
      </c>
      <c r="L38" s="4">
        <f t="shared" si="1"/>
        <v>30</v>
      </c>
      <c r="N38" s="1" t="s">
        <v>208</v>
      </c>
      <c r="O38" s="4">
        <f t="shared" ref="O38:T38" si="221">IF(ISNUMBER(SEARCH(O$1,$N38)), 1, 0)</f>
        <v>1</v>
      </c>
      <c r="P38" s="4">
        <f t="shared" si="221"/>
        <v>1</v>
      </c>
      <c r="Q38" s="4">
        <f t="shared" si="221"/>
        <v>0</v>
      </c>
      <c r="R38" s="4">
        <f t="shared" si="221"/>
        <v>1</v>
      </c>
      <c r="S38" s="4">
        <f t="shared" si="221"/>
        <v>0</v>
      </c>
      <c r="T38" s="4">
        <f t="shared" si="221"/>
        <v>0</v>
      </c>
      <c r="W38" s="1" t="str">
        <f t="shared" si="191"/>
        <v>False</v>
      </c>
      <c r="X38" s="1" t="str">
        <f t="shared" si="191"/>
        <v>False</v>
      </c>
      <c r="Y38" s="1" t="str">
        <f t="shared" si="191"/>
        <v>False</v>
      </c>
      <c r="Z38" s="1" t="str">
        <f t="shared" si="191"/>
        <v>False</v>
      </c>
      <c r="AA38" s="1" t="str">
        <f t="shared" si="191"/>
        <v>False</v>
      </c>
      <c r="AB38" s="1" t="s">
        <v>209</v>
      </c>
      <c r="AC38" s="4">
        <f t="shared" ref="AC38:AH38" si="222">IF(ISNUMBER(SEARCH(AC$1,$AB38)), 1, 0)</f>
        <v>1</v>
      </c>
      <c r="AD38" s="4">
        <f t="shared" si="222"/>
        <v>1</v>
      </c>
      <c r="AE38" s="4">
        <f t="shared" si="222"/>
        <v>0</v>
      </c>
      <c r="AF38" s="4">
        <f t="shared" si="222"/>
        <v>1</v>
      </c>
      <c r="AG38" s="4">
        <f t="shared" si="222"/>
        <v>1</v>
      </c>
      <c r="AH38" s="4">
        <f t="shared" si="222"/>
        <v>0</v>
      </c>
      <c r="AI38" s="1">
        <f t="shared" si="5"/>
        <v>4</v>
      </c>
      <c r="AK38" s="1" t="s">
        <v>210</v>
      </c>
      <c r="AL38" s="4">
        <f t="shared" ref="AL38:AS38" si="223">IF(ISNUMBER(SEARCH(AL$1,$AK38)), 1, 0)</f>
        <v>1</v>
      </c>
      <c r="AM38" s="4">
        <f t="shared" si="223"/>
        <v>1</v>
      </c>
      <c r="AN38" s="4">
        <f t="shared" si="223"/>
        <v>1</v>
      </c>
      <c r="AO38" s="4">
        <f t="shared" si="223"/>
        <v>1</v>
      </c>
      <c r="AP38" s="4">
        <f t="shared" si="223"/>
        <v>0</v>
      </c>
      <c r="AQ38" s="4">
        <f t="shared" si="223"/>
        <v>0</v>
      </c>
      <c r="AR38" s="4">
        <f t="shared" si="223"/>
        <v>0</v>
      </c>
      <c r="AS38" s="4">
        <f t="shared" si="223"/>
        <v>0</v>
      </c>
      <c r="AU38" s="1" t="s">
        <v>48</v>
      </c>
      <c r="AV38" s="1">
        <f t="shared" si="7"/>
        <v>0</v>
      </c>
      <c r="AW38" s="1">
        <f t="shared" si="8"/>
        <v>1</v>
      </c>
      <c r="AX38" s="1">
        <f t="shared" si="9"/>
        <v>0</v>
      </c>
      <c r="AY38" s="1" t="s">
        <v>47</v>
      </c>
      <c r="AZ38" s="1" t="s">
        <v>47</v>
      </c>
      <c r="BA38" s="1" t="s">
        <v>211</v>
      </c>
      <c r="BB38" s="4">
        <f t="shared" ref="BB38:BJ38" si="224">IF(ISNUMBER(SEARCH(BB$1,$BA38)), 1, 0)</f>
        <v>1</v>
      </c>
      <c r="BC38" s="4">
        <f t="shared" si="224"/>
        <v>1</v>
      </c>
      <c r="BD38" s="4">
        <f t="shared" si="224"/>
        <v>1</v>
      </c>
      <c r="BE38" s="4">
        <f t="shared" si="224"/>
        <v>1</v>
      </c>
      <c r="BF38" s="4">
        <f t="shared" si="224"/>
        <v>0</v>
      </c>
      <c r="BG38" s="4">
        <f t="shared" si="224"/>
        <v>1</v>
      </c>
      <c r="BH38" s="4">
        <f t="shared" si="224"/>
        <v>0</v>
      </c>
      <c r="BI38" s="4">
        <f t="shared" si="224"/>
        <v>0</v>
      </c>
      <c r="BJ38" s="4">
        <f t="shared" si="224"/>
        <v>0</v>
      </c>
      <c r="BK38" s="4">
        <f t="shared" si="11"/>
        <v>5</v>
      </c>
      <c r="BO38" s="4">
        <f t="shared" ref="BO38:BU38" si="225">IF(ISNUMBER(SEARCH(BO$1,$BN38)), 1, 0)</f>
        <v>0</v>
      </c>
      <c r="BP38" s="4">
        <f t="shared" si="225"/>
        <v>0</v>
      </c>
      <c r="BQ38" s="4">
        <f t="shared" si="225"/>
        <v>0</v>
      </c>
      <c r="BR38" s="4">
        <f t="shared" si="225"/>
        <v>0</v>
      </c>
      <c r="BS38" s="4">
        <f t="shared" si="225"/>
        <v>0</v>
      </c>
      <c r="BT38" s="4">
        <f t="shared" si="225"/>
        <v>0</v>
      </c>
      <c r="BU38" s="4">
        <f t="shared" si="225"/>
        <v>0</v>
      </c>
      <c r="BW38" s="1" t="s">
        <v>212</v>
      </c>
      <c r="CX38" s="1" t="s">
        <v>213</v>
      </c>
      <c r="CZ38" s="1" t="s">
        <v>214</v>
      </c>
      <c r="DB38" s="1" t="s">
        <v>215</v>
      </c>
      <c r="DC38" s="1" t="s">
        <v>180</v>
      </c>
    </row>
    <row r="39" spans="1:107" ht="15.75" customHeight="1" x14ac:dyDescent="0.25">
      <c r="A39" s="1" t="b">
        <v>1</v>
      </c>
      <c r="B39" s="3">
        <v>46159.974074074074</v>
      </c>
      <c r="C39" s="1" t="s">
        <v>400</v>
      </c>
      <c r="D39" s="1" t="s">
        <v>207</v>
      </c>
      <c r="E39" s="4">
        <f t="shared" ref="E39:K39" si="226">IF(ISNUMBER(SEARCH(E$1,$D39)), SEARCH(E$1,$D39), 0)</f>
        <v>1</v>
      </c>
      <c r="F39" s="4">
        <f t="shared" si="226"/>
        <v>30</v>
      </c>
      <c r="G39" s="4">
        <f t="shared" si="226"/>
        <v>0</v>
      </c>
      <c r="H39" s="4">
        <f t="shared" si="226"/>
        <v>0</v>
      </c>
      <c r="I39" s="4">
        <f t="shared" si="226"/>
        <v>0</v>
      </c>
      <c r="J39" s="4">
        <f t="shared" si="226"/>
        <v>0</v>
      </c>
      <c r="K39" s="4">
        <f t="shared" si="226"/>
        <v>0</v>
      </c>
      <c r="L39" s="4">
        <f t="shared" si="1"/>
        <v>30</v>
      </c>
      <c r="N39" s="1" t="s">
        <v>187</v>
      </c>
      <c r="O39" s="4">
        <f t="shared" ref="O39:T39" si="227">IF(ISNUMBER(SEARCH(O$1,$N39)), 1, 0)</f>
        <v>1</v>
      </c>
      <c r="P39" s="4">
        <f t="shared" si="227"/>
        <v>1</v>
      </c>
      <c r="Q39" s="4">
        <f t="shared" si="227"/>
        <v>1</v>
      </c>
      <c r="R39" s="4">
        <f t="shared" si="227"/>
        <v>1</v>
      </c>
      <c r="S39" s="4">
        <f t="shared" si="227"/>
        <v>1</v>
      </c>
      <c r="T39" s="4">
        <f t="shared" si="227"/>
        <v>1</v>
      </c>
      <c r="W39" s="1" t="str">
        <f t="shared" si="191"/>
        <v>False</v>
      </c>
      <c r="X39" s="1" t="str">
        <f t="shared" si="191"/>
        <v>False</v>
      </c>
      <c r="Y39" s="1" t="str">
        <f t="shared" si="191"/>
        <v>False</v>
      </c>
      <c r="Z39" s="1" t="str">
        <f t="shared" si="191"/>
        <v>False</v>
      </c>
      <c r="AA39" s="1" t="str">
        <f t="shared" si="191"/>
        <v>False</v>
      </c>
      <c r="AB39" s="1" t="s">
        <v>401</v>
      </c>
      <c r="AC39" s="4">
        <f t="shared" ref="AC39:AH39" si="228">IF(ISNUMBER(SEARCH(AC$1,$AB39)), 1, 0)</f>
        <v>0</v>
      </c>
      <c r="AD39" s="4">
        <f t="shared" si="228"/>
        <v>0</v>
      </c>
      <c r="AE39" s="4">
        <f t="shared" si="228"/>
        <v>0</v>
      </c>
      <c r="AF39" s="4">
        <f t="shared" si="228"/>
        <v>0</v>
      </c>
      <c r="AG39" s="4">
        <f t="shared" si="228"/>
        <v>0</v>
      </c>
      <c r="AH39" s="4">
        <f t="shared" si="228"/>
        <v>1</v>
      </c>
      <c r="AI39" s="1">
        <f t="shared" si="5"/>
        <v>1</v>
      </c>
      <c r="AJ39" s="1" t="s">
        <v>402</v>
      </c>
      <c r="AK39" s="1" t="s">
        <v>183</v>
      </c>
      <c r="AL39" s="4">
        <f t="shared" ref="AL39:AS39" si="229">IF(ISNUMBER(SEARCH(AL$1,$AK39)), 1, 0)</f>
        <v>0</v>
      </c>
      <c r="AM39" s="4">
        <f t="shared" si="229"/>
        <v>0</v>
      </c>
      <c r="AN39" s="4">
        <f t="shared" si="229"/>
        <v>0</v>
      </c>
      <c r="AO39" s="4">
        <f t="shared" si="229"/>
        <v>0</v>
      </c>
      <c r="AP39" s="4">
        <f t="shared" si="229"/>
        <v>0</v>
      </c>
      <c r="AQ39" s="4">
        <f t="shared" si="229"/>
        <v>0</v>
      </c>
      <c r="AR39" s="4">
        <f t="shared" si="229"/>
        <v>0</v>
      </c>
      <c r="AS39" s="4">
        <f t="shared" si="229"/>
        <v>0</v>
      </c>
      <c r="AT39" s="1" t="s">
        <v>403</v>
      </c>
      <c r="AU39" s="1" t="s">
        <v>48</v>
      </c>
      <c r="AV39" s="1">
        <f t="shared" si="7"/>
        <v>0</v>
      </c>
      <c r="AW39" s="1">
        <f t="shared" si="8"/>
        <v>1</v>
      </c>
      <c r="AX39" s="1">
        <f t="shared" si="9"/>
        <v>0</v>
      </c>
      <c r="AY39" s="1" t="s">
        <v>48</v>
      </c>
      <c r="BA39" s="1" t="s">
        <v>61</v>
      </c>
      <c r="BB39" s="4">
        <f t="shared" ref="BB39:BJ39" si="230">IF(ISNUMBER(SEARCH(BB$1,$BA39)), 1, 0)</f>
        <v>0</v>
      </c>
      <c r="BC39" s="4">
        <f t="shared" si="230"/>
        <v>0</v>
      </c>
      <c r="BD39" s="4">
        <f t="shared" si="230"/>
        <v>0</v>
      </c>
      <c r="BE39" s="4">
        <f t="shared" si="230"/>
        <v>0</v>
      </c>
      <c r="BF39" s="4">
        <f t="shared" si="230"/>
        <v>0</v>
      </c>
      <c r="BG39" s="4">
        <f t="shared" si="230"/>
        <v>0</v>
      </c>
      <c r="BH39" s="4">
        <f t="shared" si="230"/>
        <v>0</v>
      </c>
      <c r="BI39" s="4">
        <f t="shared" si="230"/>
        <v>0</v>
      </c>
      <c r="BJ39" s="4">
        <f t="shared" si="230"/>
        <v>1</v>
      </c>
      <c r="BK39" s="4">
        <f t="shared" si="11"/>
        <v>1</v>
      </c>
      <c r="BM39" s="1" t="s">
        <v>166</v>
      </c>
      <c r="BN39" s="1" t="s">
        <v>404</v>
      </c>
      <c r="BO39" s="4">
        <f t="shared" ref="BO39:BU39" si="231">IF(ISNUMBER(SEARCH(BO$1,$BN39)), 1, 0)</f>
        <v>0</v>
      </c>
      <c r="BP39" s="4">
        <f t="shared" si="231"/>
        <v>0</v>
      </c>
      <c r="BQ39" s="4">
        <f t="shared" si="231"/>
        <v>0</v>
      </c>
      <c r="BR39" s="4">
        <f t="shared" si="231"/>
        <v>0</v>
      </c>
      <c r="BS39" s="4">
        <f t="shared" si="231"/>
        <v>0</v>
      </c>
      <c r="BT39" s="4">
        <f t="shared" si="231"/>
        <v>0</v>
      </c>
      <c r="BU39" s="4">
        <f t="shared" si="231"/>
        <v>0</v>
      </c>
      <c r="BV39" s="1" t="s">
        <v>405</v>
      </c>
      <c r="BW39" s="1" t="s">
        <v>212</v>
      </c>
      <c r="BZ39" s="1" t="s">
        <v>406</v>
      </c>
      <c r="CX39" s="1" t="s">
        <v>320</v>
      </c>
      <c r="DC39" s="1" t="s">
        <v>238</v>
      </c>
    </row>
    <row r="40" spans="1:107" ht="15.75" customHeight="1" x14ac:dyDescent="0.25">
      <c r="A40" s="1" t="b">
        <v>1</v>
      </c>
      <c r="B40" s="3">
        <v>46173.256076388891</v>
      </c>
      <c r="C40" s="1" t="s">
        <v>798</v>
      </c>
      <c r="D40" s="1" t="s">
        <v>207</v>
      </c>
      <c r="E40" s="4">
        <f t="shared" ref="E40:K40" si="232">IF(ISNUMBER(SEARCH(E$1,$D40)), SEARCH(E$1,$D40), 0)</f>
        <v>1</v>
      </c>
      <c r="F40" s="4">
        <f t="shared" si="232"/>
        <v>30</v>
      </c>
      <c r="G40" s="4">
        <f t="shared" si="232"/>
        <v>0</v>
      </c>
      <c r="H40" s="4">
        <f t="shared" si="232"/>
        <v>0</v>
      </c>
      <c r="I40" s="4">
        <f t="shared" si="232"/>
        <v>0</v>
      </c>
      <c r="J40" s="4">
        <f t="shared" si="232"/>
        <v>0</v>
      </c>
      <c r="K40" s="4">
        <f t="shared" si="232"/>
        <v>0</v>
      </c>
      <c r="L40" s="4">
        <f t="shared" si="1"/>
        <v>30</v>
      </c>
      <c r="N40" s="1" t="s">
        <v>272</v>
      </c>
      <c r="O40" s="4">
        <f t="shared" ref="O40:T40" si="233">IF(ISNUMBER(SEARCH(O$1,$N40)), 1, 0)</f>
        <v>1</v>
      </c>
      <c r="P40" s="4">
        <f t="shared" si="233"/>
        <v>1</v>
      </c>
      <c r="Q40" s="4">
        <f t="shared" si="233"/>
        <v>1</v>
      </c>
      <c r="R40" s="4">
        <f t="shared" si="233"/>
        <v>1</v>
      </c>
      <c r="S40" s="4">
        <f t="shared" si="233"/>
        <v>1</v>
      </c>
      <c r="T40" s="4">
        <f t="shared" si="233"/>
        <v>0</v>
      </c>
      <c r="V40" s="1" t="s">
        <v>23</v>
      </c>
      <c r="W40" s="1" t="str">
        <f t="shared" si="191"/>
        <v>False</v>
      </c>
      <c r="X40" s="1" t="str">
        <f t="shared" si="191"/>
        <v>True</v>
      </c>
      <c r="Y40" s="1" t="str">
        <f t="shared" si="191"/>
        <v>False</v>
      </c>
      <c r="Z40" s="1" t="str">
        <f t="shared" si="191"/>
        <v>False</v>
      </c>
      <c r="AA40" s="1" t="str">
        <f t="shared" si="191"/>
        <v>False</v>
      </c>
      <c r="AB40" s="1" t="s">
        <v>799</v>
      </c>
      <c r="AC40" s="4">
        <f t="shared" ref="AC40:AH40" si="234">IF(ISNUMBER(SEARCH(AC$1,$AB40)), 1, 0)</f>
        <v>1</v>
      </c>
      <c r="AD40" s="4">
        <f t="shared" si="234"/>
        <v>0</v>
      </c>
      <c r="AE40" s="4">
        <f t="shared" si="234"/>
        <v>0</v>
      </c>
      <c r="AF40" s="4">
        <f t="shared" si="234"/>
        <v>0</v>
      </c>
      <c r="AG40" s="4">
        <f t="shared" si="234"/>
        <v>1</v>
      </c>
      <c r="AH40" s="4">
        <f t="shared" si="234"/>
        <v>1</v>
      </c>
      <c r="AI40" s="1">
        <f t="shared" si="5"/>
        <v>3</v>
      </c>
      <c r="AK40" s="1" t="s">
        <v>346</v>
      </c>
      <c r="AL40" s="4">
        <f t="shared" ref="AL40:AS40" si="235">IF(ISNUMBER(SEARCH(AL$1,$AK40)), 1, 0)</f>
        <v>0</v>
      </c>
      <c r="AM40" s="4">
        <f t="shared" si="235"/>
        <v>1</v>
      </c>
      <c r="AN40" s="4">
        <f t="shared" si="235"/>
        <v>1</v>
      </c>
      <c r="AO40" s="4">
        <f t="shared" si="235"/>
        <v>1</v>
      </c>
      <c r="AP40" s="4">
        <f t="shared" si="235"/>
        <v>0</v>
      </c>
      <c r="AQ40" s="4">
        <f t="shared" si="235"/>
        <v>0</v>
      </c>
      <c r="AR40" s="4">
        <f t="shared" si="235"/>
        <v>0</v>
      </c>
      <c r="AS40" s="4">
        <f t="shared" si="235"/>
        <v>0</v>
      </c>
      <c r="AU40" s="1" t="s">
        <v>48</v>
      </c>
      <c r="AV40" s="1">
        <f t="shared" si="7"/>
        <v>0</v>
      </c>
      <c r="AW40" s="1">
        <f t="shared" si="8"/>
        <v>1</v>
      </c>
      <c r="AX40" s="1">
        <f t="shared" si="9"/>
        <v>0</v>
      </c>
      <c r="AY40" s="1" t="s">
        <v>48</v>
      </c>
      <c r="BA40" s="1" t="s">
        <v>800</v>
      </c>
      <c r="BB40" s="4">
        <f t="shared" ref="BB40:BJ40" si="236">IF(ISNUMBER(SEARCH(BB$1,$BA40)), 1, 0)</f>
        <v>1</v>
      </c>
      <c r="BC40" s="4">
        <f t="shared" si="236"/>
        <v>1</v>
      </c>
      <c r="BD40" s="4">
        <f t="shared" si="236"/>
        <v>1</v>
      </c>
      <c r="BE40" s="4">
        <f t="shared" si="236"/>
        <v>1</v>
      </c>
      <c r="BF40" s="4">
        <f t="shared" si="236"/>
        <v>1</v>
      </c>
      <c r="BG40" s="4">
        <f t="shared" si="236"/>
        <v>1</v>
      </c>
      <c r="BH40" s="4">
        <f t="shared" si="236"/>
        <v>0</v>
      </c>
      <c r="BI40" s="4">
        <f t="shared" si="236"/>
        <v>0</v>
      </c>
      <c r="BJ40" s="4">
        <f t="shared" si="236"/>
        <v>0</v>
      </c>
      <c r="BK40" s="4">
        <f t="shared" si="11"/>
        <v>6</v>
      </c>
      <c r="BM40" s="1" t="s">
        <v>232</v>
      </c>
      <c r="BN40" s="1" t="s">
        <v>666</v>
      </c>
      <c r="BO40" s="4">
        <f t="shared" ref="BO40:BU40" si="237">IF(ISNUMBER(SEARCH(BO$1,$BN40)), 1, 0)</f>
        <v>0</v>
      </c>
      <c r="BP40" s="4">
        <f t="shared" si="237"/>
        <v>0</v>
      </c>
      <c r="BQ40" s="4">
        <f t="shared" si="237"/>
        <v>0</v>
      </c>
      <c r="BR40" s="4">
        <f t="shared" si="237"/>
        <v>1</v>
      </c>
      <c r="BS40" s="4">
        <f t="shared" si="237"/>
        <v>1</v>
      </c>
      <c r="BT40" s="4">
        <f t="shared" si="237"/>
        <v>0</v>
      </c>
      <c r="BU40" s="4">
        <f t="shared" si="237"/>
        <v>1</v>
      </c>
      <c r="BW40" s="1" t="s">
        <v>220</v>
      </c>
      <c r="CX40" s="1" t="s">
        <v>678</v>
      </c>
      <c r="CZ40" s="1" t="s">
        <v>644</v>
      </c>
      <c r="DC40" s="1" t="s">
        <v>180</v>
      </c>
    </row>
    <row r="41" spans="1:107" ht="15.75" customHeight="1" x14ac:dyDescent="0.25">
      <c r="A41" s="1" t="b">
        <v>1</v>
      </c>
      <c r="B41" s="3">
        <v>46165.493495370371</v>
      </c>
      <c r="C41" s="1" t="s">
        <v>618</v>
      </c>
      <c r="D41" s="1" t="s">
        <v>207</v>
      </c>
      <c r="E41" s="4">
        <f t="shared" ref="E41:K41" si="238">IF(ISNUMBER(SEARCH(E$1,$D41)), SEARCH(E$1,$D41), 0)</f>
        <v>1</v>
      </c>
      <c r="F41" s="4">
        <f t="shared" si="238"/>
        <v>30</v>
      </c>
      <c r="G41" s="4">
        <f t="shared" si="238"/>
        <v>0</v>
      </c>
      <c r="H41" s="4">
        <f t="shared" si="238"/>
        <v>0</v>
      </c>
      <c r="I41" s="4">
        <f t="shared" si="238"/>
        <v>0</v>
      </c>
      <c r="J41" s="4">
        <f t="shared" si="238"/>
        <v>0</v>
      </c>
      <c r="K41" s="4">
        <f t="shared" si="238"/>
        <v>0</v>
      </c>
      <c r="L41" s="4">
        <f t="shared" si="1"/>
        <v>30</v>
      </c>
      <c r="N41" s="1" t="s">
        <v>328</v>
      </c>
      <c r="O41" s="4">
        <f t="shared" ref="O41:T41" si="239">IF(ISNUMBER(SEARCH(O$1,$N41)), 1, 0)</f>
        <v>1</v>
      </c>
      <c r="P41" s="4">
        <f t="shared" si="239"/>
        <v>1</v>
      </c>
      <c r="Q41" s="4">
        <f t="shared" si="239"/>
        <v>1</v>
      </c>
      <c r="R41" s="4">
        <f t="shared" si="239"/>
        <v>0</v>
      </c>
      <c r="S41" s="4">
        <f t="shared" si="239"/>
        <v>0</v>
      </c>
      <c r="T41" s="4">
        <f t="shared" si="239"/>
        <v>0</v>
      </c>
      <c r="W41" s="1" t="str">
        <f t="shared" si="191"/>
        <v>False</v>
      </c>
      <c r="X41" s="1" t="str">
        <f t="shared" si="191"/>
        <v>False</v>
      </c>
      <c r="Y41" s="1" t="str">
        <f t="shared" si="191"/>
        <v>False</v>
      </c>
      <c r="Z41" s="1" t="str">
        <f t="shared" si="191"/>
        <v>False</v>
      </c>
      <c r="AA41" s="1" t="str">
        <f t="shared" si="191"/>
        <v>False</v>
      </c>
      <c r="AB41" s="1" t="s">
        <v>183</v>
      </c>
      <c r="AC41" s="4">
        <f t="shared" ref="AC41:AH41" si="240">IF(ISNUMBER(SEARCH(AC$1,$AB41)), 1, 0)</f>
        <v>0</v>
      </c>
      <c r="AD41" s="4">
        <f t="shared" si="240"/>
        <v>0</v>
      </c>
      <c r="AE41" s="4">
        <f t="shared" si="240"/>
        <v>0</v>
      </c>
      <c r="AF41" s="4">
        <f t="shared" si="240"/>
        <v>0</v>
      </c>
      <c r="AG41" s="4">
        <f t="shared" si="240"/>
        <v>0</v>
      </c>
      <c r="AH41" s="4">
        <f t="shared" si="240"/>
        <v>0</v>
      </c>
      <c r="AI41" s="1">
        <f t="shared" si="5"/>
        <v>0</v>
      </c>
      <c r="AJ41" s="1" t="s">
        <v>619</v>
      </c>
      <c r="AK41" s="1" t="s">
        <v>288</v>
      </c>
      <c r="AL41" s="4">
        <f t="shared" ref="AL41:AS41" si="241">IF(ISNUMBER(SEARCH(AL$1,$AK41)), 1, 0)</f>
        <v>0</v>
      </c>
      <c r="AM41" s="4">
        <f t="shared" si="241"/>
        <v>1</v>
      </c>
      <c r="AN41" s="4">
        <f t="shared" si="241"/>
        <v>0</v>
      </c>
      <c r="AO41" s="4">
        <f t="shared" si="241"/>
        <v>1</v>
      </c>
      <c r="AP41" s="4">
        <f t="shared" si="241"/>
        <v>0</v>
      </c>
      <c r="AQ41" s="4">
        <f t="shared" si="241"/>
        <v>0</v>
      </c>
      <c r="AR41" s="4">
        <f t="shared" si="241"/>
        <v>0</v>
      </c>
      <c r="AS41" s="4">
        <f t="shared" si="241"/>
        <v>0</v>
      </c>
      <c r="AU41" s="1" t="s">
        <v>47</v>
      </c>
      <c r="AV41" s="1">
        <f t="shared" si="7"/>
        <v>1</v>
      </c>
      <c r="AW41" s="1">
        <f t="shared" si="8"/>
        <v>0</v>
      </c>
      <c r="AX41" s="1">
        <f t="shared" si="9"/>
        <v>0</v>
      </c>
      <c r="AY41" s="1" t="s">
        <v>48</v>
      </c>
      <c r="BA41" s="1" t="s">
        <v>61</v>
      </c>
      <c r="BB41" s="4">
        <f t="shared" ref="BB41:BJ41" si="242">IF(ISNUMBER(SEARCH(BB$1,$BA41)), 1, 0)</f>
        <v>0</v>
      </c>
      <c r="BC41" s="4">
        <f t="shared" si="242"/>
        <v>0</v>
      </c>
      <c r="BD41" s="4">
        <f t="shared" si="242"/>
        <v>0</v>
      </c>
      <c r="BE41" s="4">
        <f t="shared" si="242"/>
        <v>0</v>
      </c>
      <c r="BF41" s="4">
        <f t="shared" si="242"/>
        <v>0</v>
      </c>
      <c r="BG41" s="4">
        <f t="shared" si="242"/>
        <v>0</v>
      </c>
      <c r="BH41" s="4">
        <f t="shared" si="242"/>
        <v>0</v>
      </c>
      <c r="BI41" s="4">
        <f t="shared" si="242"/>
        <v>0</v>
      </c>
      <c r="BJ41" s="4">
        <f t="shared" si="242"/>
        <v>1</v>
      </c>
      <c r="BK41" s="4">
        <f t="shared" si="11"/>
        <v>1</v>
      </c>
      <c r="BM41" s="1" t="s">
        <v>166</v>
      </c>
      <c r="BN41" s="1" t="s">
        <v>69</v>
      </c>
      <c r="BO41" s="4">
        <f t="shared" ref="BO41:BU41" si="243">IF(ISNUMBER(SEARCH(BO$1,$BN41)), 1, 0)</f>
        <v>0</v>
      </c>
      <c r="BP41" s="4">
        <f t="shared" si="243"/>
        <v>0</v>
      </c>
      <c r="BQ41" s="4">
        <f t="shared" si="243"/>
        <v>0</v>
      </c>
      <c r="BR41" s="4">
        <f t="shared" si="243"/>
        <v>1</v>
      </c>
      <c r="BS41" s="4">
        <f t="shared" si="243"/>
        <v>0</v>
      </c>
      <c r="BT41" s="4">
        <f t="shared" si="243"/>
        <v>0</v>
      </c>
      <c r="BU41" s="4">
        <f t="shared" si="243"/>
        <v>0</v>
      </c>
      <c r="CX41" s="1" t="s">
        <v>620</v>
      </c>
      <c r="CZ41" s="1" t="s">
        <v>178</v>
      </c>
      <c r="DC41" s="1" t="s">
        <v>180</v>
      </c>
    </row>
    <row r="42" spans="1:107" ht="15.75" customHeight="1" x14ac:dyDescent="0.25">
      <c r="A42" s="1" t="b">
        <v>1</v>
      </c>
      <c r="B42" s="3">
        <v>46166.708773148152</v>
      </c>
      <c r="C42" s="1" t="s">
        <v>650</v>
      </c>
      <c r="D42" s="1" t="s">
        <v>207</v>
      </c>
      <c r="E42" s="4">
        <f t="shared" ref="E42:K42" si="244">IF(ISNUMBER(SEARCH(E$1,$D42)), SEARCH(E$1,$D42), 0)</f>
        <v>1</v>
      </c>
      <c r="F42" s="4">
        <f t="shared" si="244"/>
        <v>30</v>
      </c>
      <c r="G42" s="4">
        <f t="shared" si="244"/>
        <v>0</v>
      </c>
      <c r="H42" s="4">
        <f t="shared" si="244"/>
        <v>0</v>
      </c>
      <c r="I42" s="4">
        <f t="shared" si="244"/>
        <v>0</v>
      </c>
      <c r="J42" s="4">
        <f t="shared" si="244"/>
        <v>0</v>
      </c>
      <c r="K42" s="4">
        <f t="shared" si="244"/>
        <v>0</v>
      </c>
      <c r="L42" s="4">
        <f t="shared" si="1"/>
        <v>30</v>
      </c>
      <c r="N42" s="1" t="s">
        <v>240</v>
      </c>
      <c r="O42" s="4">
        <f t="shared" ref="O42:T42" si="245">IF(ISNUMBER(SEARCH(O$1,$N42)), 1, 0)</f>
        <v>1</v>
      </c>
      <c r="P42" s="4">
        <f t="shared" si="245"/>
        <v>1</v>
      </c>
      <c r="Q42" s="4">
        <f t="shared" si="245"/>
        <v>1</v>
      </c>
      <c r="R42" s="4">
        <f t="shared" si="245"/>
        <v>1</v>
      </c>
      <c r="S42" s="4">
        <f t="shared" si="245"/>
        <v>0</v>
      </c>
      <c r="T42" s="4">
        <f t="shared" si="245"/>
        <v>0</v>
      </c>
      <c r="V42" s="1" t="s">
        <v>23</v>
      </c>
      <c r="W42" s="1" t="str">
        <f t="shared" si="191"/>
        <v>False</v>
      </c>
      <c r="X42" s="1" t="str">
        <f t="shared" si="191"/>
        <v>True</v>
      </c>
      <c r="Y42" s="1" t="str">
        <f t="shared" si="191"/>
        <v>False</v>
      </c>
      <c r="Z42" s="1" t="str">
        <f t="shared" si="191"/>
        <v>False</v>
      </c>
      <c r="AA42" s="1" t="str">
        <f t="shared" si="191"/>
        <v>False</v>
      </c>
      <c r="AC42" s="4">
        <f t="shared" ref="AC42:AH42" si="246">IF(ISNUMBER(SEARCH(AC$1,$AB42)), 1, 0)</f>
        <v>0</v>
      </c>
      <c r="AD42" s="4">
        <f t="shared" si="246"/>
        <v>0</v>
      </c>
      <c r="AE42" s="4">
        <f t="shared" si="246"/>
        <v>0</v>
      </c>
      <c r="AF42" s="4">
        <f t="shared" si="246"/>
        <v>0</v>
      </c>
      <c r="AG42" s="4">
        <f t="shared" si="246"/>
        <v>0</v>
      </c>
      <c r="AH42" s="4">
        <f t="shared" si="246"/>
        <v>0</v>
      </c>
      <c r="AI42" s="1">
        <f t="shared" si="5"/>
        <v>0</v>
      </c>
      <c r="AK42" s="1" t="s">
        <v>288</v>
      </c>
      <c r="AL42" s="4">
        <f t="shared" ref="AL42:AS42" si="247">IF(ISNUMBER(SEARCH(AL$1,$AK42)), 1, 0)</f>
        <v>0</v>
      </c>
      <c r="AM42" s="4">
        <f t="shared" si="247"/>
        <v>1</v>
      </c>
      <c r="AN42" s="4">
        <f t="shared" si="247"/>
        <v>0</v>
      </c>
      <c r="AO42" s="4">
        <f t="shared" si="247"/>
        <v>1</v>
      </c>
      <c r="AP42" s="4">
        <f t="shared" si="247"/>
        <v>0</v>
      </c>
      <c r="AQ42" s="4">
        <f t="shared" si="247"/>
        <v>0</v>
      </c>
      <c r="AR42" s="4">
        <f t="shared" si="247"/>
        <v>0</v>
      </c>
      <c r="AS42" s="4">
        <f t="shared" si="247"/>
        <v>0</v>
      </c>
      <c r="AU42" s="1" t="s">
        <v>47</v>
      </c>
      <c r="AV42" s="1">
        <f t="shared" si="7"/>
        <v>1</v>
      </c>
      <c r="AW42" s="1">
        <f t="shared" si="8"/>
        <v>0</v>
      </c>
      <c r="AX42" s="1">
        <f t="shared" si="9"/>
        <v>0</v>
      </c>
      <c r="AY42" s="1" t="s">
        <v>48</v>
      </c>
      <c r="BA42" s="1" t="s">
        <v>411</v>
      </c>
      <c r="BB42" s="4">
        <f t="shared" ref="BB42:BJ42" si="248">IF(ISNUMBER(SEARCH(BB$1,$BA42)), 1, 0)</f>
        <v>0</v>
      </c>
      <c r="BC42" s="4">
        <f t="shared" si="248"/>
        <v>1</v>
      </c>
      <c r="BD42" s="4">
        <f t="shared" si="248"/>
        <v>0</v>
      </c>
      <c r="BE42" s="4">
        <f t="shared" si="248"/>
        <v>0</v>
      </c>
      <c r="BF42" s="4">
        <f t="shared" si="248"/>
        <v>1</v>
      </c>
      <c r="BG42" s="4">
        <f t="shared" si="248"/>
        <v>0</v>
      </c>
      <c r="BH42" s="4">
        <f t="shared" si="248"/>
        <v>0</v>
      </c>
      <c r="BI42" s="4">
        <f t="shared" si="248"/>
        <v>0</v>
      </c>
      <c r="BJ42" s="4">
        <f t="shared" si="248"/>
        <v>1</v>
      </c>
      <c r="BK42" s="4">
        <f t="shared" si="11"/>
        <v>3</v>
      </c>
      <c r="BM42" s="1" t="s">
        <v>232</v>
      </c>
      <c r="BN42" s="1" t="s">
        <v>340</v>
      </c>
      <c r="BO42" s="4">
        <f t="shared" ref="BO42:BU42" si="249">IF(ISNUMBER(SEARCH(BO$1,$BN42)), 1, 0)</f>
        <v>1</v>
      </c>
      <c r="BP42" s="4">
        <f t="shared" si="249"/>
        <v>1</v>
      </c>
      <c r="BQ42" s="4">
        <f t="shared" si="249"/>
        <v>0</v>
      </c>
      <c r="BR42" s="4">
        <f t="shared" si="249"/>
        <v>0</v>
      </c>
      <c r="BS42" s="4">
        <f t="shared" si="249"/>
        <v>0</v>
      </c>
      <c r="BT42" s="4">
        <f t="shared" si="249"/>
        <v>0</v>
      </c>
      <c r="BU42" s="4">
        <f t="shared" si="249"/>
        <v>0</v>
      </c>
      <c r="CX42" s="1" t="s">
        <v>643</v>
      </c>
      <c r="CZ42" s="1" t="s">
        <v>651</v>
      </c>
      <c r="DA42" s="1" t="s">
        <v>652</v>
      </c>
      <c r="DB42" s="1" t="s">
        <v>653</v>
      </c>
      <c r="DC42" s="1" t="s">
        <v>180</v>
      </c>
    </row>
    <row r="43" spans="1:107" ht="15.75" customHeight="1" x14ac:dyDescent="0.25">
      <c r="A43" s="1" t="b">
        <v>1</v>
      </c>
      <c r="B43" s="3">
        <v>46164.591782407406</v>
      </c>
      <c r="C43" s="1" t="s">
        <v>488</v>
      </c>
      <c r="D43" s="1" t="s">
        <v>207</v>
      </c>
      <c r="E43" s="4">
        <f t="shared" ref="E43:K43" si="250">IF(ISNUMBER(SEARCH(E$1,$D43)), SEARCH(E$1,$D43), 0)</f>
        <v>1</v>
      </c>
      <c r="F43" s="4">
        <f t="shared" si="250"/>
        <v>30</v>
      </c>
      <c r="G43" s="4">
        <f t="shared" si="250"/>
        <v>0</v>
      </c>
      <c r="H43" s="4">
        <f t="shared" si="250"/>
        <v>0</v>
      </c>
      <c r="I43" s="4">
        <f t="shared" si="250"/>
        <v>0</v>
      </c>
      <c r="J43" s="4">
        <f t="shared" si="250"/>
        <v>0</v>
      </c>
      <c r="K43" s="4">
        <f t="shared" si="250"/>
        <v>0</v>
      </c>
      <c r="L43" s="4">
        <f t="shared" si="1"/>
        <v>30</v>
      </c>
      <c r="N43" s="1" t="s">
        <v>294</v>
      </c>
      <c r="O43" s="4">
        <f t="shared" ref="O43:T43" si="251">IF(ISNUMBER(SEARCH(O$1,$N43)), 1, 0)</f>
        <v>1</v>
      </c>
      <c r="P43" s="4">
        <f t="shared" si="251"/>
        <v>1</v>
      </c>
      <c r="Q43" s="4">
        <f t="shared" si="251"/>
        <v>0</v>
      </c>
      <c r="R43" s="4">
        <f t="shared" si="251"/>
        <v>0</v>
      </c>
      <c r="S43" s="4">
        <f t="shared" si="251"/>
        <v>0</v>
      </c>
      <c r="T43" s="4">
        <f t="shared" si="251"/>
        <v>0</v>
      </c>
      <c r="W43" s="1" t="str">
        <f t="shared" ref="W43:AA52" si="252">IF(W$1=$V43, "True", "False")</f>
        <v>False</v>
      </c>
      <c r="X43" s="1" t="str">
        <f t="shared" si="252"/>
        <v>False</v>
      </c>
      <c r="Y43" s="1" t="str">
        <f t="shared" si="252"/>
        <v>False</v>
      </c>
      <c r="Z43" s="1" t="str">
        <f t="shared" si="252"/>
        <v>False</v>
      </c>
      <c r="AA43" s="1" t="str">
        <f t="shared" si="252"/>
        <v>False</v>
      </c>
      <c r="AB43" s="1" t="s">
        <v>31</v>
      </c>
      <c r="AC43" s="4">
        <f t="shared" ref="AC43:AH43" si="253">IF(ISNUMBER(SEARCH(AC$1,$AB43)), 1, 0)</f>
        <v>0</v>
      </c>
      <c r="AD43" s="4">
        <f t="shared" si="253"/>
        <v>0</v>
      </c>
      <c r="AE43" s="4">
        <f t="shared" si="253"/>
        <v>0</v>
      </c>
      <c r="AF43" s="4">
        <f t="shared" si="253"/>
        <v>1</v>
      </c>
      <c r="AG43" s="4">
        <f t="shared" si="253"/>
        <v>0</v>
      </c>
      <c r="AH43" s="4">
        <f t="shared" si="253"/>
        <v>0</v>
      </c>
      <c r="AI43" s="1">
        <f t="shared" si="5"/>
        <v>1</v>
      </c>
      <c r="AK43" s="1" t="s">
        <v>38</v>
      </c>
      <c r="AL43" s="4">
        <f t="shared" ref="AL43:AS43" si="254">IF(ISNUMBER(SEARCH(AL$1,$AK43)), 1, 0)</f>
        <v>0</v>
      </c>
      <c r="AM43" s="4">
        <f t="shared" si="254"/>
        <v>1</v>
      </c>
      <c r="AN43" s="4">
        <f t="shared" si="254"/>
        <v>0</v>
      </c>
      <c r="AO43" s="4">
        <f t="shared" si="254"/>
        <v>0</v>
      </c>
      <c r="AP43" s="4">
        <f t="shared" si="254"/>
        <v>0</v>
      </c>
      <c r="AQ43" s="4">
        <f t="shared" si="254"/>
        <v>0</v>
      </c>
      <c r="AR43" s="4">
        <f t="shared" si="254"/>
        <v>0</v>
      </c>
      <c r="AS43" s="4">
        <f t="shared" si="254"/>
        <v>0</v>
      </c>
      <c r="AU43" s="1" t="s">
        <v>47</v>
      </c>
      <c r="AV43" s="1">
        <f t="shared" si="7"/>
        <v>1</v>
      </c>
      <c r="AW43" s="1">
        <f t="shared" si="8"/>
        <v>0</v>
      </c>
      <c r="AX43" s="1">
        <f t="shared" si="9"/>
        <v>0</v>
      </c>
      <c r="AY43" s="1" t="s">
        <v>47</v>
      </c>
      <c r="AZ43" s="1" t="s">
        <v>48</v>
      </c>
      <c r="BB43" s="4">
        <f t="shared" ref="BB43:BJ43" si="255">IF(ISNUMBER(SEARCH(BB$1,$BA43)), 1, 0)</f>
        <v>0</v>
      </c>
      <c r="BC43" s="4">
        <f t="shared" si="255"/>
        <v>0</v>
      </c>
      <c r="BD43" s="4">
        <f t="shared" si="255"/>
        <v>0</v>
      </c>
      <c r="BE43" s="4">
        <f t="shared" si="255"/>
        <v>0</v>
      </c>
      <c r="BF43" s="4">
        <f t="shared" si="255"/>
        <v>0</v>
      </c>
      <c r="BG43" s="4">
        <f t="shared" si="255"/>
        <v>0</v>
      </c>
      <c r="BH43" s="4">
        <f t="shared" si="255"/>
        <v>0</v>
      </c>
      <c r="BI43" s="4">
        <f t="shared" si="255"/>
        <v>0</v>
      </c>
      <c r="BJ43" s="4">
        <f t="shared" si="255"/>
        <v>0</v>
      </c>
      <c r="BK43" s="4">
        <f t="shared" si="11"/>
        <v>0</v>
      </c>
      <c r="BO43" s="4">
        <f t="shared" ref="BO43:BU43" si="256">IF(ISNUMBER(SEARCH(BO$1,$BN43)), 1, 0)</f>
        <v>0</v>
      </c>
      <c r="BP43" s="4">
        <f t="shared" si="256"/>
        <v>0</v>
      </c>
      <c r="BQ43" s="4">
        <f t="shared" si="256"/>
        <v>0</v>
      </c>
      <c r="BR43" s="4">
        <f t="shared" si="256"/>
        <v>0</v>
      </c>
      <c r="BS43" s="4">
        <f t="shared" si="256"/>
        <v>0</v>
      </c>
      <c r="BT43" s="4">
        <f t="shared" si="256"/>
        <v>0</v>
      </c>
      <c r="BU43" s="4">
        <f t="shared" si="256"/>
        <v>0</v>
      </c>
      <c r="CX43" s="1" t="s">
        <v>261</v>
      </c>
      <c r="CZ43" s="1" t="s">
        <v>489</v>
      </c>
      <c r="DC43" s="1" t="s">
        <v>180</v>
      </c>
    </row>
    <row r="44" spans="1:107" ht="15.75" customHeight="1" x14ac:dyDescent="0.25">
      <c r="A44" s="1" t="b">
        <v>1</v>
      </c>
      <c r="B44" s="3">
        <v>46156.602488425924</v>
      </c>
      <c r="C44" s="1" t="s">
        <v>377</v>
      </c>
      <c r="D44" s="1" t="s">
        <v>207</v>
      </c>
      <c r="E44" s="4">
        <f t="shared" ref="E44:K44" si="257">IF(ISNUMBER(SEARCH(E$1,$D44)), SEARCH(E$1,$D44), 0)</f>
        <v>1</v>
      </c>
      <c r="F44" s="4">
        <f t="shared" si="257"/>
        <v>30</v>
      </c>
      <c r="G44" s="4">
        <f t="shared" si="257"/>
        <v>0</v>
      </c>
      <c r="H44" s="4">
        <f t="shared" si="257"/>
        <v>0</v>
      </c>
      <c r="I44" s="4">
        <f t="shared" si="257"/>
        <v>0</v>
      </c>
      <c r="J44" s="4">
        <f t="shared" si="257"/>
        <v>0</v>
      </c>
      <c r="K44" s="4">
        <f t="shared" si="257"/>
        <v>0</v>
      </c>
      <c r="L44" s="4">
        <f t="shared" si="1"/>
        <v>30</v>
      </c>
      <c r="N44" s="1" t="s">
        <v>240</v>
      </c>
      <c r="O44" s="4">
        <f t="shared" ref="O44:T44" si="258">IF(ISNUMBER(SEARCH(O$1,$N44)), 1, 0)</f>
        <v>1</v>
      </c>
      <c r="P44" s="4">
        <f t="shared" si="258"/>
        <v>1</v>
      </c>
      <c r="Q44" s="4">
        <f t="shared" si="258"/>
        <v>1</v>
      </c>
      <c r="R44" s="4">
        <f t="shared" si="258"/>
        <v>1</v>
      </c>
      <c r="S44" s="4">
        <f t="shared" si="258"/>
        <v>0</v>
      </c>
      <c r="T44" s="4">
        <f t="shared" si="258"/>
        <v>0</v>
      </c>
      <c r="W44" s="1" t="str">
        <f t="shared" si="252"/>
        <v>False</v>
      </c>
      <c r="X44" s="1" t="str">
        <f t="shared" si="252"/>
        <v>False</v>
      </c>
      <c r="Y44" s="1" t="str">
        <f t="shared" si="252"/>
        <v>False</v>
      </c>
      <c r="Z44" s="1" t="str">
        <f t="shared" si="252"/>
        <v>False</v>
      </c>
      <c r="AA44" s="1" t="str">
        <f t="shared" si="252"/>
        <v>False</v>
      </c>
      <c r="AB44" s="1" t="s">
        <v>28</v>
      </c>
      <c r="AC44" s="4">
        <f t="shared" ref="AC44:AH44" si="259">IF(ISNUMBER(SEARCH(AC$1,$AB44)), 1, 0)</f>
        <v>1</v>
      </c>
      <c r="AD44" s="4">
        <f t="shared" si="259"/>
        <v>0</v>
      </c>
      <c r="AE44" s="4">
        <f t="shared" si="259"/>
        <v>0</v>
      </c>
      <c r="AF44" s="4">
        <f t="shared" si="259"/>
        <v>0</v>
      </c>
      <c r="AG44" s="4">
        <f t="shared" si="259"/>
        <v>0</v>
      </c>
      <c r="AH44" s="4">
        <f t="shared" si="259"/>
        <v>0</v>
      </c>
      <c r="AI44" s="1">
        <f t="shared" si="5"/>
        <v>1</v>
      </c>
      <c r="AK44" s="1" t="s">
        <v>378</v>
      </c>
      <c r="AL44" s="4">
        <f t="shared" ref="AL44:AS44" si="260">IF(ISNUMBER(SEARCH(AL$1,$AK44)), 1, 0)</f>
        <v>0</v>
      </c>
      <c r="AM44" s="4">
        <f t="shared" si="260"/>
        <v>0</v>
      </c>
      <c r="AN44" s="4">
        <f t="shared" si="260"/>
        <v>1</v>
      </c>
      <c r="AO44" s="4">
        <f t="shared" si="260"/>
        <v>1</v>
      </c>
      <c r="AP44" s="4">
        <f t="shared" si="260"/>
        <v>1</v>
      </c>
      <c r="AQ44" s="4">
        <f t="shared" si="260"/>
        <v>0</v>
      </c>
      <c r="AR44" s="4">
        <f t="shared" si="260"/>
        <v>0</v>
      </c>
      <c r="AS44" s="4">
        <f t="shared" si="260"/>
        <v>0</v>
      </c>
      <c r="AU44" s="1" t="s">
        <v>47</v>
      </c>
      <c r="AV44" s="1">
        <f t="shared" si="7"/>
        <v>1</v>
      </c>
      <c r="AW44" s="1">
        <f t="shared" si="8"/>
        <v>0</v>
      </c>
      <c r="AX44" s="1">
        <f t="shared" si="9"/>
        <v>0</v>
      </c>
      <c r="AY44" s="1" t="s">
        <v>48</v>
      </c>
      <c r="BA44" s="1" t="s">
        <v>318</v>
      </c>
      <c r="BB44" s="4">
        <f t="shared" ref="BB44:BJ44" si="261">IF(ISNUMBER(SEARCH(BB$1,$BA44)), 1, 0)</f>
        <v>0</v>
      </c>
      <c r="BC44" s="4">
        <f t="shared" si="261"/>
        <v>0</v>
      </c>
      <c r="BD44" s="4">
        <f t="shared" si="261"/>
        <v>1</v>
      </c>
      <c r="BE44" s="4">
        <f t="shared" si="261"/>
        <v>1</v>
      </c>
      <c r="BF44" s="4">
        <f t="shared" si="261"/>
        <v>1</v>
      </c>
      <c r="BG44" s="4">
        <f t="shared" si="261"/>
        <v>1</v>
      </c>
      <c r="BH44" s="4">
        <f t="shared" si="261"/>
        <v>0</v>
      </c>
      <c r="BI44" s="4">
        <f t="shared" si="261"/>
        <v>0</v>
      </c>
      <c r="BJ44" s="4">
        <f t="shared" si="261"/>
        <v>1</v>
      </c>
      <c r="BK44" s="4">
        <f t="shared" si="11"/>
        <v>5</v>
      </c>
      <c r="BM44" s="1" t="s">
        <v>190</v>
      </c>
      <c r="BN44" s="1" t="s">
        <v>72</v>
      </c>
      <c r="BO44" s="4">
        <f t="shared" ref="BO44:BU44" si="262">IF(ISNUMBER(SEARCH(BO$1,$BN44)), 1, 0)</f>
        <v>0</v>
      </c>
      <c r="BP44" s="4">
        <f t="shared" si="262"/>
        <v>0</v>
      </c>
      <c r="BQ44" s="4">
        <f t="shared" si="262"/>
        <v>0</v>
      </c>
      <c r="BR44" s="4">
        <f t="shared" si="262"/>
        <v>0</v>
      </c>
      <c r="BS44" s="4">
        <f t="shared" si="262"/>
        <v>0</v>
      </c>
      <c r="BT44" s="4">
        <f t="shared" si="262"/>
        <v>0</v>
      </c>
      <c r="BU44" s="4">
        <f t="shared" si="262"/>
        <v>1</v>
      </c>
      <c r="CX44" s="1" t="s">
        <v>249</v>
      </c>
      <c r="CZ44" s="1" t="s">
        <v>178</v>
      </c>
      <c r="DC44" s="1" t="s">
        <v>238</v>
      </c>
    </row>
    <row r="45" spans="1:107" ht="15.75" customHeight="1" x14ac:dyDescent="0.25">
      <c r="A45" s="1" t="b">
        <v>1</v>
      </c>
      <c r="B45" s="3">
        <v>46170.474641203706</v>
      </c>
      <c r="C45" s="1" t="s">
        <v>766</v>
      </c>
      <c r="D45" s="1" t="s">
        <v>207</v>
      </c>
      <c r="E45" s="4">
        <f t="shared" ref="E45:K45" si="263">IF(ISNUMBER(SEARCH(E$1,$D45)), SEARCH(E$1,$D45), 0)</f>
        <v>1</v>
      </c>
      <c r="F45" s="4">
        <f t="shared" si="263"/>
        <v>30</v>
      </c>
      <c r="G45" s="4">
        <f t="shared" si="263"/>
        <v>0</v>
      </c>
      <c r="H45" s="4">
        <f t="shared" si="263"/>
        <v>0</v>
      </c>
      <c r="I45" s="4">
        <f t="shared" si="263"/>
        <v>0</v>
      </c>
      <c r="J45" s="4">
        <f t="shared" si="263"/>
        <v>0</v>
      </c>
      <c r="K45" s="4">
        <f t="shared" si="263"/>
        <v>0</v>
      </c>
      <c r="L45" s="4">
        <f t="shared" si="1"/>
        <v>30</v>
      </c>
      <c r="N45" s="1" t="s">
        <v>240</v>
      </c>
      <c r="O45" s="4">
        <f t="shared" ref="O45:T45" si="264">IF(ISNUMBER(SEARCH(O$1,$N45)), 1, 0)</f>
        <v>1</v>
      </c>
      <c r="P45" s="4">
        <f t="shared" si="264"/>
        <v>1</v>
      </c>
      <c r="Q45" s="4">
        <f t="shared" si="264"/>
        <v>1</v>
      </c>
      <c r="R45" s="4">
        <f t="shared" si="264"/>
        <v>1</v>
      </c>
      <c r="S45" s="4">
        <f t="shared" si="264"/>
        <v>0</v>
      </c>
      <c r="T45" s="4">
        <f t="shared" si="264"/>
        <v>0</v>
      </c>
      <c r="W45" s="1" t="str">
        <f t="shared" si="252"/>
        <v>False</v>
      </c>
      <c r="X45" s="1" t="str">
        <f t="shared" si="252"/>
        <v>False</v>
      </c>
      <c r="Y45" s="1" t="str">
        <f t="shared" si="252"/>
        <v>False</v>
      </c>
      <c r="Z45" s="1" t="str">
        <f t="shared" si="252"/>
        <v>False</v>
      </c>
      <c r="AA45" s="1" t="str">
        <f t="shared" si="252"/>
        <v>False</v>
      </c>
      <c r="AB45" s="1" t="s">
        <v>28</v>
      </c>
      <c r="AC45" s="4">
        <f t="shared" ref="AC45:AH45" si="265">IF(ISNUMBER(SEARCH(AC$1,$AB45)), 1, 0)</f>
        <v>1</v>
      </c>
      <c r="AD45" s="4">
        <f t="shared" si="265"/>
        <v>0</v>
      </c>
      <c r="AE45" s="4">
        <f t="shared" si="265"/>
        <v>0</v>
      </c>
      <c r="AF45" s="4">
        <f t="shared" si="265"/>
        <v>0</v>
      </c>
      <c r="AG45" s="4">
        <f t="shared" si="265"/>
        <v>0</v>
      </c>
      <c r="AH45" s="4">
        <f t="shared" si="265"/>
        <v>0</v>
      </c>
      <c r="AI45" s="1">
        <f t="shared" si="5"/>
        <v>1</v>
      </c>
      <c r="AK45" s="1" t="s">
        <v>346</v>
      </c>
      <c r="AL45" s="4">
        <f t="shared" ref="AL45:AS45" si="266">IF(ISNUMBER(SEARCH(AL$1,$AK45)), 1, 0)</f>
        <v>0</v>
      </c>
      <c r="AM45" s="4">
        <f t="shared" si="266"/>
        <v>1</v>
      </c>
      <c r="AN45" s="4">
        <f t="shared" si="266"/>
        <v>1</v>
      </c>
      <c r="AO45" s="4">
        <f t="shared" si="266"/>
        <v>1</v>
      </c>
      <c r="AP45" s="4">
        <f t="shared" si="266"/>
        <v>0</v>
      </c>
      <c r="AQ45" s="4">
        <f t="shared" si="266"/>
        <v>0</v>
      </c>
      <c r="AR45" s="4">
        <f t="shared" si="266"/>
        <v>0</v>
      </c>
      <c r="AS45" s="4">
        <f t="shared" si="266"/>
        <v>0</v>
      </c>
      <c r="AU45" s="1" t="s">
        <v>47</v>
      </c>
      <c r="AV45" s="1">
        <f t="shared" si="7"/>
        <v>1</v>
      </c>
      <c r="AW45" s="1">
        <f t="shared" si="8"/>
        <v>0</v>
      </c>
      <c r="AX45" s="1">
        <f t="shared" si="9"/>
        <v>0</v>
      </c>
      <c r="AY45" s="1" t="s">
        <v>48</v>
      </c>
      <c r="BA45" s="1" t="s">
        <v>457</v>
      </c>
      <c r="BB45" s="4">
        <f t="shared" ref="BB45:BJ45" si="267">IF(ISNUMBER(SEARCH(BB$1,$BA45)), 1, 0)</f>
        <v>0</v>
      </c>
      <c r="BC45" s="4">
        <f t="shared" si="267"/>
        <v>0</v>
      </c>
      <c r="BD45" s="4">
        <f t="shared" si="267"/>
        <v>0</v>
      </c>
      <c r="BE45" s="4">
        <f t="shared" si="267"/>
        <v>0</v>
      </c>
      <c r="BF45" s="4">
        <f t="shared" si="267"/>
        <v>1</v>
      </c>
      <c r="BG45" s="4">
        <f t="shared" si="267"/>
        <v>1</v>
      </c>
      <c r="BH45" s="4">
        <f t="shared" si="267"/>
        <v>0</v>
      </c>
      <c r="BI45" s="4">
        <f t="shared" si="267"/>
        <v>0</v>
      </c>
      <c r="BJ45" s="4">
        <f t="shared" si="267"/>
        <v>1</v>
      </c>
      <c r="BK45" s="4">
        <f t="shared" si="11"/>
        <v>3</v>
      </c>
      <c r="BM45" s="1" t="s">
        <v>232</v>
      </c>
      <c r="BN45" s="1" t="s">
        <v>69</v>
      </c>
      <c r="BO45" s="4">
        <f t="shared" ref="BO45:BU45" si="268">IF(ISNUMBER(SEARCH(BO$1,$BN45)), 1, 0)</f>
        <v>0</v>
      </c>
      <c r="BP45" s="4">
        <f t="shared" si="268"/>
        <v>0</v>
      </c>
      <c r="BQ45" s="4">
        <f t="shared" si="268"/>
        <v>0</v>
      </c>
      <c r="BR45" s="4">
        <f t="shared" si="268"/>
        <v>1</v>
      </c>
      <c r="BS45" s="4">
        <f t="shared" si="268"/>
        <v>0</v>
      </c>
      <c r="BT45" s="4">
        <f t="shared" si="268"/>
        <v>0</v>
      </c>
      <c r="BU45" s="4">
        <f t="shared" si="268"/>
        <v>0</v>
      </c>
      <c r="CX45" s="1" t="s">
        <v>620</v>
      </c>
      <c r="CZ45" s="1" t="s">
        <v>616</v>
      </c>
      <c r="DC45" s="1" t="s">
        <v>238</v>
      </c>
    </row>
    <row r="46" spans="1:107" ht="15.75" customHeight="1" x14ac:dyDescent="0.25">
      <c r="A46" s="1" t="b">
        <v>1</v>
      </c>
      <c r="B46" s="3">
        <v>46164.020451388889</v>
      </c>
      <c r="C46" s="1" t="s">
        <v>464</v>
      </c>
      <c r="D46" s="1" t="s">
        <v>192</v>
      </c>
      <c r="E46" s="4">
        <f t="shared" ref="E46:K46" si="269">IF(ISNUMBER(SEARCH(E$1,$D46)), SEARCH(E$1,$D46), 0)</f>
        <v>1</v>
      </c>
      <c r="F46" s="4">
        <f t="shared" si="269"/>
        <v>30</v>
      </c>
      <c r="G46" s="4">
        <f t="shared" si="269"/>
        <v>0</v>
      </c>
      <c r="H46" s="4">
        <f t="shared" si="269"/>
        <v>0</v>
      </c>
      <c r="I46" s="4">
        <f t="shared" si="269"/>
        <v>0</v>
      </c>
      <c r="J46" s="4">
        <f t="shared" si="269"/>
        <v>0</v>
      </c>
      <c r="K46" s="4">
        <f t="shared" si="269"/>
        <v>105</v>
      </c>
      <c r="L46" s="4">
        <f t="shared" si="1"/>
        <v>105</v>
      </c>
      <c r="N46" s="1" t="s">
        <v>294</v>
      </c>
      <c r="O46" s="4">
        <f t="shared" ref="O46:T46" si="270">IF(ISNUMBER(SEARCH(O$1,$N46)), 1, 0)</f>
        <v>1</v>
      </c>
      <c r="P46" s="4">
        <f t="shared" si="270"/>
        <v>1</v>
      </c>
      <c r="Q46" s="4">
        <f t="shared" si="270"/>
        <v>0</v>
      </c>
      <c r="R46" s="4">
        <f t="shared" si="270"/>
        <v>0</v>
      </c>
      <c r="S46" s="4">
        <f t="shared" si="270"/>
        <v>0</v>
      </c>
      <c r="T46" s="4">
        <f t="shared" si="270"/>
        <v>0</v>
      </c>
      <c r="V46" s="1" t="s">
        <v>26</v>
      </c>
      <c r="W46" s="1" t="str">
        <f t="shared" si="252"/>
        <v>False</v>
      </c>
      <c r="X46" s="1" t="str">
        <f t="shared" si="252"/>
        <v>False</v>
      </c>
      <c r="Y46" s="1" t="str">
        <f t="shared" si="252"/>
        <v>False</v>
      </c>
      <c r="Z46" s="1" t="str">
        <f t="shared" si="252"/>
        <v>False</v>
      </c>
      <c r="AA46" s="1" t="str">
        <f t="shared" si="252"/>
        <v>True</v>
      </c>
      <c r="AB46" s="1" t="s">
        <v>28</v>
      </c>
      <c r="AC46" s="4">
        <f t="shared" ref="AC46:AH46" si="271">IF(ISNUMBER(SEARCH(AC$1,$AB46)), 1, 0)</f>
        <v>1</v>
      </c>
      <c r="AD46" s="4">
        <f t="shared" si="271"/>
        <v>0</v>
      </c>
      <c r="AE46" s="4">
        <f t="shared" si="271"/>
        <v>0</v>
      </c>
      <c r="AF46" s="4">
        <f t="shared" si="271"/>
        <v>0</v>
      </c>
      <c r="AG46" s="4">
        <f t="shared" si="271"/>
        <v>0</v>
      </c>
      <c r="AH46" s="4">
        <f t="shared" si="271"/>
        <v>0</v>
      </c>
      <c r="AI46" s="1">
        <f t="shared" si="5"/>
        <v>1</v>
      </c>
      <c r="AK46" s="1" t="s">
        <v>259</v>
      </c>
      <c r="AL46" s="4">
        <f t="shared" ref="AL46:AS46" si="272">IF(ISNUMBER(SEARCH(AL$1,$AK46)), 1, 0)</f>
        <v>1</v>
      </c>
      <c r="AM46" s="4">
        <f t="shared" si="272"/>
        <v>1</v>
      </c>
      <c r="AN46" s="4">
        <f t="shared" si="272"/>
        <v>0</v>
      </c>
      <c r="AO46" s="4">
        <f t="shared" si="272"/>
        <v>1</v>
      </c>
      <c r="AP46" s="4">
        <f t="shared" si="272"/>
        <v>0</v>
      </c>
      <c r="AQ46" s="4">
        <f t="shared" si="272"/>
        <v>0</v>
      </c>
      <c r="AR46" s="4">
        <f t="shared" si="272"/>
        <v>0</v>
      </c>
      <c r="AS46" s="4">
        <f t="shared" si="272"/>
        <v>0</v>
      </c>
      <c r="AU46" s="1" t="s">
        <v>48</v>
      </c>
      <c r="AV46" s="1">
        <f t="shared" si="7"/>
        <v>0</v>
      </c>
      <c r="AW46" s="1">
        <f t="shared" si="8"/>
        <v>1</v>
      </c>
      <c r="AX46" s="1">
        <f t="shared" si="9"/>
        <v>0</v>
      </c>
      <c r="AY46" s="1" t="s">
        <v>48</v>
      </c>
      <c r="BA46" s="1" t="s">
        <v>325</v>
      </c>
      <c r="BB46" s="4">
        <f t="shared" ref="BB46:BJ46" si="273">IF(ISNUMBER(SEARCH(BB$1,$BA46)), 1, 0)</f>
        <v>1</v>
      </c>
      <c r="BC46" s="4">
        <f t="shared" si="273"/>
        <v>1</v>
      </c>
      <c r="BD46" s="4">
        <f t="shared" si="273"/>
        <v>1</v>
      </c>
      <c r="BE46" s="4">
        <f t="shared" si="273"/>
        <v>0</v>
      </c>
      <c r="BF46" s="4">
        <f t="shared" si="273"/>
        <v>1</v>
      </c>
      <c r="BG46" s="4">
        <f t="shared" si="273"/>
        <v>0</v>
      </c>
      <c r="BH46" s="4">
        <f t="shared" si="273"/>
        <v>0</v>
      </c>
      <c r="BI46" s="4">
        <f t="shared" si="273"/>
        <v>0</v>
      </c>
      <c r="BJ46" s="4">
        <f t="shared" si="273"/>
        <v>1</v>
      </c>
      <c r="BK46" s="4">
        <f t="shared" si="11"/>
        <v>5</v>
      </c>
      <c r="BM46" s="1" t="s">
        <v>232</v>
      </c>
      <c r="BN46" s="1" t="s">
        <v>340</v>
      </c>
      <c r="BO46" s="4">
        <f t="shared" ref="BO46:BU46" si="274">IF(ISNUMBER(SEARCH(BO$1,$BN46)), 1, 0)</f>
        <v>1</v>
      </c>
      <c r="BP46" s="4">
        <f t="shared" si="274"/>
        <v>1</v>
      </c>
      <c r="BQ46" s="4">
        <f t="shared" si="274"/>
        <v>0</v>
      </c>
      <c r="BR46" s="4">
        <f t="shared" si="274"/>
        <v>0</v>
      </c>
      <c r="BS46" s="4">
        <f t="shared" si="274"/>
        <v>0</v>
      </c>
      <c r="BT46" s="4">
        <f t="shared" si="274"/>
        <v>0</v>
      </c>
      <c r="BU46" s="4">
        <f t="shared" si="274"/>
        <v>0</v>
      </c>
      <c r="BW46" s="1" t="s">
        <v>255</v>
      </c>
      <c r="BZ46" s="1" t="s">
        <v>465</v>
      </c>
      <c r="CM46" s="1" t="s">
        <v>47</v>
      </c>
      <c r="CQ46" s="1" t="s">
        <v>47</v>
      </c>
      <c r="CX46" s="1" t="s">
        <v>466</v>
      </c>
      <c r="CZ46" s="1" t="s">
        <v>467</v>
      </c>
      <c r="DC46" s="1" t="s">
        <v>238</v>
      </c>
    </row>
    <row r="47" spans="1:107" ht="15.75" customHeight="1" x14ac:dyDescent="0.25">
      <c r="A47" s="1" t="b">
        <v>1</v>
      </c>
      <c r="B47" s="3">
        <v>46169.568993055553</v>
      </c>
      <c r="C47" s="1" t="s">
        <v>745</v>
      </c>
      <c r="D47" s="1" t="s">
        <v>439</v>
      </c>
      <c r="E47" s="4">
        <f t="shared" ref="E47:K47" si="275">IF(ISNUMBER(SEARCH(E$1,$D47)), SEARCH(E$1,$D47), 0)</f>
        <v>1</v>
      </c>
      <c r="F47" s="4">
        <f t="shared" si="275"/>
        <v>30</v>
      </c>
      <c r="G47" s="4">
        <f t="shared" si="275"/>
        <v>0</v>
      </c>
      <c r="H47" s="4">
        <f t="shared" si="275"/>
        <v>0</v>
      </c>
      <c r="I47" s="4">
        <f t="shared" si="275"/>
        <v>105</v>
      </c>
      <c r="J47" s="4">
        <f t="shared" si="275"/>
        <v>0</v>
      </c>
      <c r="K47" s="4">
        <f t="shared" si="275"/>
        <v>0</v>
      </c>
      <c r="L47" s="4">
        <f t="shared" si="1"/>
        <v>105</v>
      </c>
      <c r="N47" s="1" t="s">
        <v>208</v>
      </c>
      <c r="O47" s="4">
        <f t="shared" ref="O47:T47" si="276">IF(ISNUMBER(SEARCH(O$1,$N47)), 1, 0)</f>
        <v>1</v>
      </c>
      <c r="P47" s="4">
        <f t="shared" si="276"/>
        <v>1</v>
      </c>
      <c r="Q47" s="4">
        <f t="shared" si="276"/>
        <v>0</v>
      </c>
      <c r="R47" s="4">
        <f t="shared" si="276"/>
        <v>1</v>
      </c>
      <c r="S47" s="4">
        <f t="shared" si="276"/>
        <v>0</v>
      </c>
      <c r="T47" s="4">
        <f t="shared" si="276"/>
        <v>0</v>
      </c>
      <c r="W47" s="1" t="str">
        <f t="shared" si="252"/>
        <v>False</v>
      </c>
      <c r="X47" s="1" t="str">
        <f t="shared" si="252"/>
        <v>False</v>
      </c>
      <c r="Y47" s="1" t="str">
        <f t="shared" si="252"/>
        <v>False</v>
      </c>
      <c r="Z47" s="1" t="str">
        <f t="shared" si="252"/>
        <v>False</v>
      </c>
      <c r="AA47" s="1" t="str">
        <f t="shared" si="252"/>
        <v>False</v>
      </c>
      <c r="AB47" s="1" t="s">
        <v>33</v>
      </c>
      <c r="AC47" s="4">
        <f t="shared" ref="AC47:AH47" si="277">IF(ISNUMBER(SEARCH(AC$1,$AB47)), 1, 0)</f>
        <v>0</v>
      </c>
      <c r="AD47" s="4">
        <f t="shared" si="277"/>
        <v>0</v>
      </c>
      <c r="AE47" s="4">
        <f t="shared" si="277"/>
        <v>0</v>
      </c>
      <c r="AF47" s="4">
        <f t="shared" si="277"/>
        <v>0</v>
      </c>
      <c r="AG47" s="4">
        <f t="shared" si="277"/>
        <v>0</v>
      </c>
      <c r="AH47" s="4">
        <f t="shared" si="277"/>
        <v>1</v>
      </c>
      <c r="AI47" s="1">
        <f t="shared" si="5"/>
        <v>1</v>
      </c>
      <c r="AK47" s="1" t="s">
        <v>38</v>
      </c>
      <c r="AL47" s="4">
        <f t="shared" ref="AL47:AS47" si="278">IF(ISNUMBER(SEARCH(AL$1,$AK47)), 1, 0)</f>
        <v>0</v>
      </c>
      <c r="AM47" s="4">
        <f t="shared" si="278"/>
        <v>1</v>
      </c>
      <c r="AN47" s="4">
        <f t="shared" si="278"/>
        <v>0</v>
      </c>
      <c r="AO47" s="4">
        <f t="shared" si="278"/>
        <v>0</v>
      </c>
      <c r="AP47" s="4">
        <f t="shared" si="278"/>
        <v>0</v>
      </c>
      <c r="AQ47" s="4">
        <f t="shared" si="278"/>
        <v>0</v>
      </c>
      <c r="AR47" s="4">
        <f t="shared" si="278"/>
        <v>0</v>
      </c>
      <c r="AS47" s="4">
        <f t="shared" si="278"/>
        <v>0</v>
      </c>
      <c r="AU47" s="1" t="s">
        <v>47</v>
      </c>
      <c r="AV47" s="1">
        <f t="shared" si="7"/>
        <v>1</v>
      </c>
      <c r="AW47" s="1">
        <f t="shared" si="8"/>
        <v>0</v>
      </c>
      <c r="AX47" s="1">
        <f t="shared" si="9"/>
        <v>0</v>
      </c>
      <c r="AY47" s="1" t="s">
        <v>48</v>
      </c>
      <c r="BA47" s="1" t="s">
        <v>231</v>
      </c>
      <c r="BB47" s="4">
        <f t="shared" ref="BB47:BJ47" si="279">IF(ISNUMBER(SEARCH(BB$1,$BA47)), 1, 0)</f>
        <v>1</v>
      </c>
      <c r="BC47" s="4">
        <f t="shared" si="279"/>
        <v>1</v>
      </c>
      <c r="BD47" s="4">
        <f t="shared" si="279"/>
        <v>1</v>
      </c>
      <c r="BE47" s="4">
        <f t="shared" si="279"/>
        <v>1</v>
      </c>
      <c r="BF47" s="4">
        <f t="shared" si="279"/>
        <v>1</v>
      </c>
      <c r="BG47" s="4">
        <f t="shared" si="279"/>
        <v>1</v>
      </c>
      <c r="BH47" s="4">
        <f t="shared" si="279"/>
        <v>0</v>
      </c>
      <c r="BI47" s="4">
        <f t="shared" si="279"/>
        <v>0</v>
      </c>
      <c r="BJ47" s="4">
        <f t="shared" si="279"/>
        <v>1</v>
      </c>
      <c r="BK47" s="4">
        <f t="shared" si="11"/>
        <v>7</v>
      </c>
      <c r="BM47" s="1" t="s">
        <v>232</v>
      </c>
      <c r="BN47" s="1" t="s">
        <v>746</v>
      </c>
      <c r="BO47" s="4">
        <f t="shared" ref="BO47:BU47" si="280">IF(ISNUMBER(SEARCH(BO$1,$BN47)), 1, 0)</f>
        <v>0</v>
      </c>
      <c r="BP47" s="4">
        <f t="shared" si="280"/>
        <v>0</v>
      </c>
      <c r="BQ47" s="4">
        <f t="shared" si="280"/>
        <v>1</v>
      </c>
      <c r="BR47" s="4">
        <f t="shared" si="280"/>
        <v>1</v>
      </c>
      <c r="BS47" s="4">
        <f t="shared" si="280"/>
        <v>0</v>
      </c>
      <c r="BT47" s="4">
        <f t="shared" si="280"/>
        <v>1</v>
      </c>
      <c r="BU47" s="4">
        <f t="shared" si="280"/>
        <v>1</v>
      </c>
      <c r="CH47" s="1" t="s">
        <v>747</v>
      </c>
      <c r="CJ47" s="1" t="s">
        <v>642</v>
      </c>
      <c r="CL47" s="1" t="s">
        <v>352</v>
      </c>
      <c r="CX47" s="1" t="s">
        <v>748</v>
      </c>
      <c r="CZ47" s="1" t="s">
        <v>178</v>
      </c>
      <c r="DC47" s="1" t="s">
        <v>180</v>
      </c>
    </row>
    <row r="48" spans="1:107" ht="15.75" customHeight="1" x14ac:dyDescent="0.25">
      <c r="A48" s="1" t="b">
        <v>0</v>
      </c>
      <c r="B48" s="3">
        <v>46167.59337962963</v>
      </c>
      <c r="C48" s="1" t="s">
        <v>703</v>
      </c>
      <c r="D48" s="1" t="s">
        <v>192</v>
      </c>
      <c r="E48" s="4">
        <f t="shared" ref="E48:K48" si="281">IF(ISNUMBER(SEARCH(E$1,$D48)), SEARCH(E$1,$D48), 0)</f>
        <v>1</v>
      </c>
      <c r="F48" s="4">
        <f t="shared" si="281"/>
        <v>30</v>
      </c>
      <c r="G48" s="4">
        <f t="shared" si="281"/>
        <v>0</v>
      </c>
      <c r="H48" s="4">
        <f t="shared" si="281"/>
        <v>0</v>
      </c>
      <c r="I48" s="4">
        <f t="shared" si="281"/>
        <v>0</v>
      </c>
      <c r="J48" s="4">
        <f t="shared" si="281"/>
        <v>0</v>
      </c>
      <c r="K48" s="4">
        <f t="shared" si="281"/>
        <v>105</v>
      </c>
      <c r="L48" s="4">
        <f t="shared" si="1"/>
        <v>105</v>
      </c>
      <c r="N48" s="1" t="s">
        <v>240</v>
      </c>
      <c r="O48" s="4">
        <f t="shared" ref="O48:T48" si="282">IF(ISNUMBER(SEARCH(O$1,$N48)), 1, 0)</f>
        <v>1</v>
      </c>
      <c r="P48" s="4">
        <f t="shared" si="282"/>
        <v>1</v>
      </c>
      <c r="Q48" s="4">
        <f t="shared" si="282"/>
        <v>1</v>
      </c>
      <c r="R48" s="4">
        <f t="shared" si="282"/>
        <v>1</v>
      </c>
      <c r="S48" s="4">
        <f t="shared" si="282"/>
        <v>0</v>
      </c>
      <c r="T48" s="4">
        <f t="shared" si="282"/>
        <v>0</v>
      </c>
      <c r="W48" s="1" t="str">
        <f t="shared" si="252"/>
        <v>False</v>
      </c>
      <c r="X48" s="1" t="str">
        <f t="shared" si="252"/>
        <v>False</v>
      </c>
      <c r="Y48" s="1" t="str">
        <f t="shared" si="252"/>
        <v>False</v>
      </c>
      <c r="Z48" s="1" t="str">
        <f t="shared" si="252"/>
        <v>False</v>
      </c>
      <c r="AA48" s="1" t="str">
        <f t="shared" si="252"/>
        <v>False</v>
      </c>
      <c r="AB48" s="1" t="s">
        <v>31</v>
      </c>
      <c r="AC48" s="4">
        <f t="shared" ref="AC48:AH48" si="283">IF(ISNUMBER(SEARCH(AC$1,$AB48)), 1, 0)</f>
        <v>0</v>
      </c>
      <c r="AD48" s="4">
        <f t="shared" si="283"/>
        <v>0</v>
      </c>
      <c r="AE48" s="4">
        <f t="shared" si="283"/>
        <v>0</v>
      </c>
      <c r="AF48" s="4">
        <f t="shared" si="283"/>
        <v>1</v>
      </c>
      <c r="AG48" s="4">
        <f t="shared" si="283"/>
        <v>0</v>
      </c>
      <c r="AH48" s="4">
        <f t="shared" si="283"/>
        <v>0</v>
      </c>
      <c r="AI48" s="1">
        <f t="shared" si="5"/>
        <v>1</v>
      </c>
      <c r="AK48" s="1" t="s">
        <v>183</v>
      </c>
      <c r="AL48" s="4">
        <f t="shared" ref="AL48:AS48" si="284">IF(ISNUMBER(SEARCH(AL$1,$AK48)), 1, 0)</f>
        <v>0</v>
      </c>
      <c r="AM48" s="4">
        <f t="shared" si="284"/>
        <v>0</v>
      </c>
      <c r="AN48" s="4">
        <f t="shared" si="284"/>
        <v>0</v>
      </c>
      <c r="AO48" s="4">
        <f t="shared" si="284"/>
        <v>0</v>
      </c>
      <c r="AP48" s="4">
        <f t="shared" si="284"/>
        <v>0</v>
      </c>
      <c r="AQ48" s="4">
        <f t="shared" si="284"/>
        <v>0</v>
      </c>
      <c r="AR48" s="4">
        <f t="shared" si="284"/>
        <v>0</v>
      </c>
      <c r="AS48" s="4">
        <f t="shared" si="284"/>
        <v>0</v>
      </c>
      <c r="AT48" s="1" t="s">
        <v>704</v>
      </c>
      <c r="AU48" s="1" t="s">
        <v>47</v>
      </c>
      <c r="AV48" s="1">
        <f t="shared" si="7"/>
        <v>1</v>
      </c>
      <c r="AW48" s="1">
        <f t="shared" si="8"/>
        <v>0</v>
      </c>
      <c r="AX48" s="1">
        <f t="shared" si="9"/>
        <v>0</v>
      </c>
      <c r="AY48" s="1" t="s">
        <v>48</v>
      </c>
      <c r="BA48" s="1" t="s">
        <v>705</v>
      </c>
      <c r="BB48" s="4">
        <f t="shared" ref="BB48:BJ48" si="285">IF(ISNUMBER(SEARCH(BB$1,$BA48)), 1, 0)</f>
        <v>0</v>
      </c>
      <c r="BC48" s="4">
        <f t="shared" si="285"/>
        <v>1</v>
      </c>
      <c r="BD48" s="4">
        <f t="shared" si="285"/>
        <v>1</v>
      </c>
      <c r="BE48" s="4">
        <f t="shared" si="285"/>
        <v>0</v>
      </c>
      <c r="BF48" s="4">
        <f t="shared" si="285"/>
        <v>1</v>
      </c>
      <c r="BG48" s="4">
        <f t="shared" si="285"/>
        <v>1</v>
      </c>
      <c r="BH48" s="4">
        <f t="shared" si="285"/>
        <v>0</v>
      </c>
      <c r="BI48" s="4">
        <f t="shared" si="285"/>
        <v>0</v>
      </c>
      <c r="BJ48" s="4">
        <f t="shared" si="285"/>
        <v>1</v>
      </c>
      <c r="BK48" s="4">
        <f t="shared" si="11"/>
        <v>5</v>
      </c>
      <c r="BL48" s="1" t="s">
        <v>706</v>
      </c>
      <c r="BM48" s="1" t="s">
        <v>166</v>
      </c>
      <c r="BN48" s="1" t="s">
        <v>404</v>
      </c>
      <c r="BO48" s="4">
        <f t="shared" ref="BO48:BU48" si="286">IF(ISNUMBER(SEARCH(BO$1,$BN48)), 1, 0)</f>
        <v>0</v>
      </c>
      <c r="BP48" s="4">
        <f t="shared" si="286"/>
        <v>0</v>
      </c>
      <c r="BQ48" s="4">
        <f t="shared" si="286"/>
        <v>0</v>
      </c>
      <c r="BR48" s="4">
        <f t="shared" si="286"/>
        <v>0</v>
      </c>
      <c r="BS48" s="4">
        <f t="shared" si="286"/>
        <v>0</v>
      </c>
      <c r="BT48" s="4">
        <f t="shared" si="286"/>
        <v>0</v>
      </c>
      <c r="BU48" s="4">
        <f t="shared" si="286"/>
        <v>0</v>
      </c>
      <c r="BV48" s="1" t="s">
        <v>707</v>
      </c>
    </row>
    <row r="49" spans="1:107" ht="15.75" customHeight="1" x14ac:dyDescent="0.25">
      <c r="A49" s="1" t="b">
        <v>1</v>
      </c>
      <c r="B49" s="3">
        <v>46171.373171296298</v>
      </c>
      <c r="C49" s="1" t="s">
        <v>768</v>
      </c>
      <c r="D49" s="1" t="s">
        <v>439</v>
      </c>
      <c r="E49" s="4">
        <f t="shared" ref="E49:K49" si="287">IF(ISNUMBER(SEARCH(E$1,$D49)), SEARCH(E$1,$D49), 0)</f>
        <v>1</v>
      </c>
      <c r="F49" s="4">
        <f t="shared" si="287"/>
        <v>30</v>
      </c>
      <c r="G49" s="4">
        <f t="shared" si="287"/>
        <v>0</v>
      </c>
      <c r="H49" s="4">
        <f t="shared" si="287"/>
        <v>0</v>
      </c>
      <c r="I49" s="4">
        <f t="shared" si="287"/>
        <v>105</v>
      </c>
      <c r="J49" s="4">
        <f t="shared" si="287"/>
        <v>0</v>
      </c>
      <c r="K49" s="4">
        <f t="shared" si="287"/>
        <v>0</v>
      </c>
      <c r="L49" s="4">
        <f t="shared" si="1"/>
        <v>105</v>
      </c>
      <c r="N49" s="1" t="s">
        <v>328</v>
      </c>
      <c r="O49" s="4">
        <f t="shared" ref="O49:T49" si="288">IF(ISNUMBER(SEARCH(O$1,$N49)), 1, 0)</f>
        <v>1</v>
      </c>
      <c r="P49" s="4">
        <f t="shared" si="288"/>
        <v>1</v>
      </c>
      <c r="Q49" s="4">
        <f t="shared" si="288"/>
        <v>1</v>
      </c>
      <c r="R49" s="4">
        <f t="shared" si="288"/>
        <v>0</v>
      </c>
      <c r="S49" s="4">
        <f t="shared" si="288"/>
        <v>0</v>
      </c>
      <c r="T49" s="4">
        <f t="shared" si="288"/>
        <v>0</v>
      </c>
      <c r="V49" s="1" t="s">
        <v>25</v>
      </c>
      <c r="W49" s="1" t="str">
        <f t="shared" si="252"/>
        <v>False</v>
      </c>
      <c r="X49" s="1" t="str">
        <f t="shared" si="252"/>
        <v>False</v>
      </c>
      <c r="Y49" s="1" t="str">
        <f t="shared" si="252"/>
        <v>False</v>
      </c>
      <c r="Z49" s="1" t="str">
        <f t="shared" si="252"/>
        <v>True</v>
      </c>
      <c r="AA49" s="1" t="str">
        <f t="shared" si="252"/>
        <v>False</v>
      </c>
      <c r="AB49" s="1" t="s">
        <v>311</v>
      </c>
      <c r="AC49" s="4">
        <f t="shared" ref="AC49:AH49" si="289">IF(ISNUMBER(SEARCH(AC$1,$AB49)), 1, 0)</f>
        <v>1</v>
      </c>
      <c r="AD49" s="4">
        <f t="shared" si="289"/>
        <v>0</v>
      </c>
      <c r="AE49" s="4">
        <f t="shared" si="289"/>
        <v>0</v>
      </c>
      <c r="AF49" s="4">
        <f t="shared" si="289"/>
        <v>0</v>
      </c>
      <c r="AG49" s="4">
        <f t="shared" si="289"/>
        <v>0</v>
      </c>
      <c r="AH49" s="4">
        <f t="shared" si="289"/>
        <v>0</v>
      </c>
      <c r="AI49" s="1">
        <f t="shared" si="5"/>
        <v>1</v>
      </c>
      <c r="AJ49" s="1" t="s">
        <v>769</v>
      </c>
      <c r="AK49" s="1" t="s">
        <v>346</v>
      </c>
      <c r="AL49" s="4">
        <f t="shared" ref="AL49:AS49" si="290">IF(ISNUMBER(SEARCH(AL$1,$AK49)), 1, 0)</f>
        <v>0</v>
      </c>
      <c r="AM49" s="4">
        <f t="shared" si="290"/>
        <v>1</v>
      </c>
      <c r="AN49" s="4">
        <f t="shared" si="290"/>
        <v>1</v>
      </c>
      <c r="AO49" s="4">
        <f t="shared" si="290"/>
        <v>1</v>
      </c>
      <c r="AP49" s="4">
        <f t="shared" si="290"/>
        <v>0</v>
      </c>
      <c r="AQ49" s="4">
        <f t="shared" si="290"/>
        <v>0</v>
      </c>
      <c r="AR49" s="4">
        <f t="shared" si="290"/>
        <v>0</v>
      </c>
      <c r="AS49" s="4">
        <f t="shared" si="290"/>
        <v>0</v>
      </c>
      <c r="AU49" s="1" t="s">
        <v>47</v>
      </c>
      <c r="AV49" s="1">
        <f t="shared" si="7"/>
        <v>1</v>
      </c>
      <c r="AW49" s="1">
        <f t="shared" si="8"/>
        <v>0</v>
      </c>
      <c r="AX49" s="1">
        <f t="shared" si="9"/>
        <v>0</v>
      </c>
      <c r="AY49" s="1" t="s">
        <v>48</v>
      </c>
      <c r="BA49" s="1" t="s">
        <v>419</v>
      </c>
      <c r="BB49" s="4">
        <f t="shared" ref="BB49:BJ49" si="291">IF(ISNUMBER(SEARCH(BB$1,$BA49)), 1, 0)</f>
        <v>0</v>
      </c>
      <c r="BC49" s="4">
        <f t="shared" si="291"/>
        <v>1</v>
      </c>
      <c r="BD49" s="4">
        <f t="shared" si="291"/>
        <v>0</v>
      </c>
      <c r="BE49" s="4">
        <f t="shared" si="291"/>
        <v>1</v>
      </c>
      <c r="BF49" s="4">
        <f t="shared" si="291"/>
        <v>0</v>
      </c>
      <c r="BG49" s="4">
        <f t="shared" si="291"/>
        <v>1</v>
      </c>
      <c r="BH49" s="4">
        <f t="shared" si="291"/>
        <v>0</v>
      </c>
      <c r="BI49" s="4">
        <f t="shared" si="291"/>
        <v>0</v>
      </c>
      <c r="BJ49" s="4">
        <f t="shared" si="291"/>
        <v>1</v>
      </c>
      <c r="BK49" s="4">
        <f t="shared" si="11"/>
        <v>4</v>
      </c>
      <c r="BM49" s="1" t="s">
        <v>232</v>
      </c>
      <c r="BN49" s="1" t="s">
        <v>770</v>
      </c>
      <c r="BO49" s="4">
        <f t="shared" ref="BO49:BU49" si="292">IF(ISNUMBER(SEARCH(BO$1,$BN49)), 1, 0)</f>
        <v>0</v>
      </c>
      <c r="BP49" s="4">
        <f t="shared" si="292"/>
        <v>1</v>
      </c>
      <c r="BQ49" s="4">
        <f t="shared" si="292"/>
        <v>0</v>
      </c>
      <c r="BR49" s="4">
        <f t="shared" si="292"/>
        <v>1</v>
      </c>
      <c r="BS49" s="4">
        <f t="shared" si="292"/>
        <v>0</v>
      </c>
      <c r="BT49" s="4">
        <f t="shared" si="292"/>
        <v>1</v>
      </c>
      <c r="BU49" s="4">
        <f t="shared" si="292"/>
        <v>0</v>
      </c>
      <c r="CH49" s="1" t="s">
        <v>771</v>
      </c>
      <c r="CI49" s="1" t="s">
        <v>772</v>
      </c>
      <c r="CJ49" s="1" t="s">
        <v>549</v>
      </c>
      <c r="CL49" s="1" t="s">
        <v>601</v>
      </c>
      <c r="CX49" s="1" t="s">
        <v>534</v>
      </c>
      <c r="CZ49" s="1" t="s">
        <v>773</v>
      </c>
      <c r="DB49" s="1" t="s">
        <v>774</v>
      </c>
      <c r="DC49" s="1" t="s">
        <v>180</v>
      </c>
    </row>
    <row r="50" spans="1:107" ht="15.75" customHeight="1" x14ac:dyDescent="0.25">
      <c r="A50" s="1" t="b">
        <v>1</v>
      </c>
      <c r="B50" s="3">
        <v>46164.742569444446</v>
      </c>
      <c r="C50" s="1" t="s">
        <v>543</v>
      </c>
      <c r="D50" s="1" t="s">
        <v>544</v>
      </c>
      <c r="E50" s="4">
        <f t="shared" ref="E50:K50" si="293">IF(ISNUMBER(SEARCH(E$1,$D50)), SEARCH(E$1,$D50), 0)</f>
        <v>1</v>
      </c>
      <c r="F50" s="4">
        <f t="shared" si="293"/>
        <v>30</v>
      </c>
      <c r="G50" s="4">
        <f t="shared" si="293"/>
        <v>0</v>
      </c>
      <c r="H50" s="4">
        <f t="shared" si="293"/>
        <v>0</v>
      </c>
      <c r="I50" s="4">
        <f t="shared" si="293"/>
        <v>105</v>
      </c>
      <c r="J50" s="4">
        <f t="shared" si="293"/>
        <v>0</v>
      </c>
      <c r="K50" s="4">
        <f t="shared" si="293"/>
        <v>137</v>
      </c>
      <c r="L50" s="4">
        <f t="shared" si="1"/>
        <v>137</v>
      </c>
      <c r="N50" s="1" t="s">
        <v>187</v>
      </c>
      <c r="O50" s="4">
        <f t="shared" ref="O50:T50" si="294">IF(ISNUMBER(SEARCH(O$1,$N50)), 1, 0)</f>
        <v>1</v>
      </c>
      <c r="P50" s="4">
        <f t="shared" si="294"/>
        <v>1</v>
      </c>
      <c r="Q50" s="4">
        <f t="shared" si="294"/>
        <v>1</v>
      </c>
      <c r="R50" s="4">
        <f t="shared" si="294"/>
        <v>1</v>
      </c>
      <c r="S50" s="4">
        <f t="shared" si="294"/>
        <v>1</v>
      </c>
      <c r="T50" s="4">
        <f t="shared" si="294"/>
        <v>1</v>
      </c>
      <c r="W50" s="1" t="str">
        <f t="shared" si="252"/>
        <v>False</v>
      </c>
      <c r="X50" s="1" t="str">
        <f t="shared" si="252"/>
        <v>False</v>
      </c>
      <c r="Y50" s="1" t="str">
        <f t="shared" si="252"/>
        <v>False</v>
      </c>
      <c r="Z50" s="1" t="str">
        <f t="shared" si="252"/>
        <v>False</v>
      </c>
      <c r="AA50" s="1" t="str">
        <f t="shared" si="252"/>
        <v>False</v>
      </c>
      <c r="AB50" s="1" t="s">
        <v>29</v>
      </c>
      <c r="AC50" s="4">
        <f t="shared" ref="AC50:AH50" si="295">IF(ISNUMBER(SEARCH(AC$1,$AB50)), 1, 0)</f>
        <v>0</v>
      </c>
      <c r="AD50" s="4">
        <f t="shared" si="295"/>
        <v>1</v>
      </c>
      <c r="AE50" s="4">
        <f t="shared" si="295"/>
        <v>0</v>
      </c>
      <c r="AF50" s="4">
        <f t="shared" si="295"/>
        <v>0</v>
      </c>
      <c r="AG50" s="4">
        <f t="shared" si="295"/>
        <v>0</v>
      </c>
      <c r="AH50" s="4">
        <f t="shared" si="295"/>
        <v>0</v>
      </c>
      <c r="AI50" s="1">
        <f t="shared" si="5"/>
        <v>1</v>
      </c>
      <c r="AK50" s="1" t="s">
        <v>506</v>
      </c>
      <c r="AL50" s="4">
        <f t="shared" ref="AL50:AS50" si="296">IF(ISNUMBER(SEARCH(AL$1,$AK50)), 1, 0)</f>
        <v>1</v>
      </c>
      <c r="AM50" s="4">
        <f t="shared" si="296"/>
        <v>1</v>
      </c>
      <c r="AN50" s="4">
        <f t="shared" si="296"/>
        <v>0</v>
      </c>
      <c r="AO50" s="4">
        <f t="shared" si="296"/>
        <v>0</v>
      </c>
      <c r="AP50" s="4">
        <f t="shared" si="296"/>
        <v>0</v>
      </c>
      <c r="AQ50" s="4">
        <f t="shared" si="296"/>
        <v>0</v>
      </c>
      <c r="AR50" s="4">
        <f t="shared" si="296"/>
        <v>0</v>
      </c>
      <c r="AS50" s="4">
        <f t="shared" si="296"/>
        <v>0</v>
      </c>
      <c r="AU50" s="1" t="s">
        <v>48</v>
      </c>
      <c r="AV50" s="1">
        <f t="shared" si="7"/>
        <v>0</v>
      </c>
      <c r="AW50" s="1">
        <f t="shared" si="8"/>
        <v>1</v>
      </c>
      <c r="AX50" s="1">
        <f t="shared" si="9"/>
        <v>0</v>
      </c>
      <c r="AY50" s="1" t="s">
        <v>48</v>
      </c>
      <c r="BA50" s="1" t="s">
        <v>545</v>
      </c>
      <c r="BB50" s="4">
        <f t="shared" ref="BB50:BJ50" si="297">IF(ISNUMBER(SEARCH(BB$1,$BA50)), 1, 0)</f>
        <v>1</v>
      </c>
      <c r="BC50" s="4">
        <f t="shared" si="297"/>
        <v>0</v>
      </c>
      <c r="BD50" s="4">
        <f t="shared" si="297"/>
        <v>1</v>
      </c>
      <c r="BE50" s="4">
        <f t="shared" si="297"/>
        <v>0</v>
      </c>
      <c r="BF50" s="4">
        <f t="shared" si="297"/>
        <v>1</v>
      </c>
      <c r="BG50" s="4">
        <f t="shared" si="297"/>
        <v>0</v>
      </c>
      <c r="BH50" s="4">
        <f t="shared" si="297"/>
        <v>0</v>
      </c>
      <c r="BI50" s="4">
        <f t="shared" si="297"/>
        <v>0</v>
      </c>
      <c r="BJ50" s="4">
        <f t="shared" si="297"/>
        <v>1</v>
      </c>
      <c r="BK50" s="4">
        <f t="shared" si="11"/>
        <v>4</v>
      </c>
      <c r="BM50" s="1" t="s">
        <v>232</v>
      </c>
      <c r="BN50" s="1" t="s">
        <v>546</v>
      </c>
      <c r="BO50" s="4">
        <f t="shared" ref="BO50:BU50" si="298">IF(ISNUMBER(SEARCH(BO$1,$BN50)), 1, 0)</f>
        <v>0</v>
      </c>
      <c r="BP50" s="4">
        <f t="shared" si="298"/>
        <v>0</v>
      </c>
      <c r="BQ50" s="4">
        <f t="shared" si="298"/>
        <v>0</v>
      </c>
      <c r="BR50" s="4">
        <f t="shared" si="298"/>
        <v>0</v>
      </c>
      <c r="BS50" s="4">
        <f t="shared" si="298"/>
        <v>1</v>
      </c>
      <c r="BT50" s="4">
        <f t="shared" si="298"/>
        <v>0</v>
      </c>
      <c r="BU50" s="4">
        <f t="shared" si="298"/>
        <v>1</v>
      </c>
      <c r="BW50" s="1" t="s">
        <v>547</v>
      </c>
      <c r="BZ50" s="1" t="s">
        <v>548</v>
      </c>
      <c r="CH50" s="1" t="s">
        <v>520</v>
      </c>
      <c r="CJ50" s="1" t="s">
        <v>549</v>
      </c>
      <c r="CL50" s="1" t="s">
        <v>177</v>
      </c>
      <c r="CM50" s="1" t="s">
        <v>49</v>
      </c>
      <c r="CX50" s="1" t="s">
        <v>550</v>
      </c>
      <c r="CZ50" s="1" t="s">
        <v>178</v>
      </c>
      <c r="DC50" s="1" t="s">
        <v>180</v>
      </c>
    </row>
    <row r="51" spans="1:107" ht="15.75" customHeight="1" x14ac:dyDescent="0.25">
      <c r="A51" s="1" t="b">
        <v>1</v>
      </c>
      <c r="B51" s="3">
        <v>46154.916574074072</v>
      </c>
      <c r="C51" s="1" t="s">
        <v>343</v>
      </c>
      <c r="D51" s="1" t="s">
        <v>344</v>
      </c>
      <c r="E51" s="4">
        <f t="shared" ref="E51:K51" si="299">IF(ISNUMBER(SEARCH(E$1,$D51)), SEARCH(E$1,$D51), 0)</f>
        <v>1</v>
      </c>
      <c r="F51" s="4">
        <f t="shared" si="299"/>
        <v>30</v>
      </c>
      <c r="G51" s="4">
        <f t="shared" si="299"/>
        <v>0</v>
      </c>
      <c r="H51" s="4">
        <f t="shared" si="299"/>
        <v>0</v>
      </c>
      <c r="I51" s="4">
        <f t="shared" si="299"/>
        <v>105</v>
      </c>
      <c r="J51" s="4">
        <f t="shared" si="299"/>
        <v>137</v>
      </c>
      <c r="K51" s="4">
        <f t="shared" si="299"/>
        <v>0</v>
      </c>
      <c r="L51" s="4">
        <f t="shared" si="1"/>
        <v>137</v>
      </c>
      <c r="N51" s="1" t="s">
        <v>328</v>
      </c>
      <c r="O51" s="4">
        <f t="shared" ref="O51:T51" si="300">IF(ISNUMBER(SEARCH(O$1,$N51)), 1, 0)</f>
        <v>1</v>
      </c>
      <c r="P51" s="4">
        <f t="shared" si="300"/>
        <v>1</v>
      </c>
      <c r="Q51" s="4">
        <f t="shared" si="300"/>
        <v>1</v>
      </c>
      <c r="R51" s="4">
        <f t="shared" si="300"/>
        <v>0</v>
      </c>
      <c r="S51" s="4">
        <f t="shared" si="300"/>
        <v>0</v>
      </c>
      <c r="T51" s="4">
        <f t="shared" si="300"/>
        <v>0</v>
      </c>
      <c r="V51" s="1" t="s">
        <v>23</v>
      </c>
      <c r="W51" s="1" t="str">
        <f t="shared" si="252"/>
        <v>False</v>
      </c>
      <c r="X51" s="1" t="str">
        <f t="shared" si="252"/>
        <v>True</v>
      </c>
      <c r="Y51" s="1" t="str">
        <f t="shared" si="252"/>
        <v>False</v>
      </c>
      <c r="Z51" s="1" t="str">
        <f t="shared" si="252"/>
        <v>False</v>
      </c>
      <c r="AA51" s="1" t="str">
        <f t="shared" si="252"/>
        <v>False</v>
      </c>
      <c r="AB51" s="1" t="s">
        <v>183</v>
      </c>
      <c r="AC51" s="4">
        <f t="shared" ref="AC51:AH51" si="301">IF(ISNUMBER(SEARCH(AC$1,$AB51)), 1, 0)</f>
        <v>0</v>
      </c>
      <c r="AD51" s="4">
        <f t="shared" si="301"/>
        <v>0</v>
      </c>
      <c r="AE51" s="4">
        <f t="shared" si="301"/>
        <v>0</v>
      </c>
      <c r="AF51" s="4">
        <f t="shared" si="301"/>
        <v>0</v>
      </c>
      <c r="AG51" s="4">
        <f t="shared" si="301"/>
        <v>0</v>
      </c>
      <c r="AH51" s="4">
        <f t="shared" si="301"/>
        <v>0</v>
      </c>
      <c r="AI51" s="1">
        <f t="shared" si="5"/>
        <v>0</v>
      </c>
      <c r="AJ51" s="1" t="s">
        <v>345</v>
      </c>
      <c r="AK51" s="1" t="s">
        <v>346</v>
      </c>
      <c r="AL51" s="4">
        <f t="shared" ref="AL51:AS51" si="302">IF(ISNUMBER(SEARCH(AL$1,$AK51)), 1, 0)</f>
        <v>0</v>
      </c>
      <c r="AM51" s="4">
        <f t="shared" si="302"/>
        <v>1</v>
      </c>
      <c r="AN51" s="4">
        <f t="shared" si="302"/>
        <v>1</v>
      </c>
      <c r="AO51" s="4">
        <f t="shared" si="302"/>
        <v>1</v>
      </c>
      <c r="AP51" s="4">
        <f t="shared" si="302"/>
        <v>0</v>
      </c>
      <c r="AQ51" s="4">
        <f t="shared" si="302"/>
        <v>0</v>
      </c>
      <c r="AR51" s="4">
        <f t="shared" si="302"/>
        <v>0</v>
      </c>
      <c r="AS51" s="4">
        <f t="shared" si="302"/>
        <v>0</v>
      </c>
      <c r="AU51" s="1" t="s">
        <v>47</v>
      </c>
      <c r="AV51" s="1">
        <f t="shared" si="7"/>
        <v>1</v>
      </c>
      <c r="AW51" s="1">
        <f t="shared" si="8"/>
        <v>0</v>
      </c>
      <c r="AX51" s="1">
        <f t="shared" si="9"/>
        <v>0</v>
      </c>
      <c r="AY51" s="1" t="s">
        <v>48</v>
      </c>
      <c r="BA51" s="1" t="s">
        <v>347</v>
      </c>
      <c r="BB51" s="4">
        <f t="shared" ref="BB51:BJ51" si="303">IF(ISNUMBER(SEARCH(BB$1,$BA51)), 1, 0)</f>
        <v>1</v>
      </c>
      <c r="BC51" s="4">
        <f t="shared" si="303"/>
        <v>0</v>
      </c>
      <c r="BD51" s="4">
        <f t="shared" si="303"/>
        <v>0</v>
      </c>
      <c r="BE51" s="4">
        <f t="shared" si="303"/>
        <v>0</v>
      </c>
      <c r="BF51" s="4">
        <f t="shared" si="303"/>
        <v>1</v>
      </c>
      <c r="BG51" s="4">
        <f t="shared" si="303"/>
        <v>0</v>
      </c>
      <c r="BH51" s="4">
        <f t="shared" si="303"/>
        <v>0</v>
      </c>
      <c r="BI51" s="4">
        <f t="shared" si="303"/>
        <v>0</v>
      </c>
      <c r="BJ51" s="4">
        <f t="shared" si="303"/>
        <v>1</v>
      </c>
      <c r="BK51" s="4">
        <f t="shared" si="11"/>
        <v>3</v>
      </c>
      <c r="BM51" s="1" t="s">
        <v>166</v>
      </c>
      <c r="BN51" s="1" t="s">
        <v>348</v>
      </c>
      <c r="BO51" s="4">
        <f t="shared" ref="BO51:BU51" si="304">IF(ISNUMBER(SEARCH(BO$1,$BN51)), 1, 0)</f>
        <v>0</v>
      </c>
      <c r="BP51" s="4">
        <f t="shared" si="304"/>
        <v>0</v>
      </c>
      <c r="BQ51" s="4">
        <f t="shared" si="304"/>
        <v>0</v>
      </c>
      <c r="BR51" s="4">
        <f t="shared" si="304"/>
        <v>0</v>
      </c>
      <c r="BS51" s="4">
        <f t="shared" si="304"/>
        <v>0</v>
      </c>
      <c r="BT51" s="4">
        <f t="shared" si="304"/>
        <v>1</v>
      </c>
      <c r="BU51" s="4">
        <f t="shared" si="304"/>
        <v>0</v>
      </c>
      <c r="BV51" s="1" t="s">
        <v>349</v>
      </c>
      <c r="CH51" s="1" t="s">
        <v>350</v>
      </c>
      <c r="CI51" s="1" t="s">
        <v>351</v>
      </c>
      <c r="CL51" s="1" t="s">
        <v>352</v>
      </c>
      <c r="CX51" s="1" t="s">
        <v>353</v>
      </c>
      <c r="CZ51" s="1" t="s">
        <v>354</v>
      </c>
      <c r="DB51" s="1" t="s">
        <v>355</v>
      </c>
      <c r="DC51" s="1" t="s">
        <v>180</v>
      </c>
    </row>
    <row r="52" spans="1:107" ht="15.75" customHeight="1" x14ac:dyDescent="0.25">
      <c r="A52" s="1" t="b">
        <v>0</v>
      </c>
      <c r="B52" s="3">
        <v>46155.403379629628</v>
      </c>
      <c r="C52" s="1" t="s">
        <v>363</v>
      </c>
      <c r="D52" s="1" t="s">
        <v>364</v>
      </c>
      <c r="E52" s="4">
        <f t="shared" ref="E52:K52" si="305">IF(ISNUMBER(SEARCH(E$1,$D52)), SEARCH(E$1,$D52), 0)</f>
        <v>0</v>
      </c>
      <c r="F52" s="4">
        <f t="shared" si="305"/>
        <v>1</v>
      </c>
      <c r="G52" s="4">
        <f t="shared" si="305"/>
        <v>76</v>
      </c>
      <c r="H52" s="4">
        <f t="shared" si="305"/>
        <v>0</v>
      </c>
      <c r="I52" s="4">
        <f t="shared" si="305"/>
        <v>0</v>
      </c>
      <c r="J52" s="4">
        <f t="shared" si="305"/>
        <v>0</v>
      </c>
      <c r="K52" s="4">
        <f t="shared" si="305"/>
        <v>132</v>
      </c>
      <c r="L52" s="4">
        <f t="shared" si="1"/>
        <v>132</v>
      </c>
      <c r="N52" s="1" t="s">
        <v>187</v>
      </c>
      <c r="O52" s="4">
        <f t="shared" ref="O52:T52" si="306">IF(ISNUMBER(SEARCH(O$1,$N52)), 1, 0)</f>
        <v>1</v>
      </c>
      <c r="P52" s="4">
        <f t="shared" si="306"/>
        <v>1</v>
      </c>
      <c r="Q52" s="4">
        <f t="shared" si="306"/>
        <v>1</v>
      </c>
      <c r="R52" s="4">
        <f t="shared" si="306"/>
        <v>1</v>
      </c>
      <c r="S52" s="4">
        <f t="shared" si="306"/>
        <v>1</v>
      </c>
      <c r="T52" s="4">
        <f t="shared" si="306"/>
        <v>1</v>
      </c>
      <c r="W52" s="1" t="str">
        <f t="shared" si="252"/>
        <v>False</v>
      </c>
      <c r="X52" s="1" t="str">
        <f t="shared" si="252"/>
        <v>False</v>
      </c>
      <c r="Y52" s="1" t="str">
        <f t="shared" si="252"/>
        <v>False</v>
      </c>
      <c r="Z52" s="1" t="str">
        <f t="shared" si="252"/>
        <v>False</v>
      </c>
      <c r="AA52" s="1" t="str">
        <f t="shared" si="252"/>
        <v>False</v>
      </c>
      <c r="AB52" s="1" t="s">
        <v>31</v>
      </c>
      <c r="AC52" s="4">
        <f t="shared" ref="AC52:AH52" si="307">IF(ISNUMBER(SEARCH(AC$1,$AB52)), 1, 0)</f>
        <v>0</v>
      </c>
      <c r="AD52" s="4">
        <f t="shared" si="307"/>
        <v>0</v>
      </c>
      <c r="AE52" s="4">
        <f t="shared" si="307"/>
        <v>0</v>
      </c>
      <c r="AF52" s="4">
        <f t="shared" si="307"/>
        <v>1</v>
      </c>
      <c r="AG52" s="4">
        <f t="shared" si="307"/>
        <v>0</v>
      </c>
      <c r="AH52" s="4">
        <f t="shared" si="307"/>
        <v>0</v>
      </c>
      <c r="AI52" s="1">
        <f t="shared" si="5"/>
        <v>1</v>
      </c>
      <c r="AK52" s="1" t="s">
        <v>365</v>
      </c>
      <c r="AL52" s="4">
        <f t="shared" ref="AL52:AS52" si="308">IF(ISNUMBER(SEARCH(AL$1,$AK52)), 1, 0)</f>
        <v>1</v>
      </c>
      <c r="AM52" s="4">
        <f t="shared" si="308"/>
        <v>1</v>
      </c>
      <c r="AN52" s="4">
        <f t="shared" si="308"/>
        <v>1</v>
      </c>
      <c r="AO52" s="4">
        <f t="shared" si="308"/>
        <v>1</v>
      </c>
      <c r="AP52" s="4">
        <f t="shared" si="308"/>
        <v>1</v>
      </c>
      <c r="AQ52" s="4">
        <f t="shared" si="308"/>
        <v>1</v>
      </c>
      <c r="AR52" s="4">
        <f t="shared" si="308"/>
        <v>1</v>
      </c>
      <c r="AS52" s="4">
        <f t="shared" si="308"/>
        <v>1</v>
      </c>
      <c r="AU52" s="1" t="s">
        <v>47</v>
      </c>
      <c r="AV52" s="1">
        <f t="shared" si="7"/>
        <v>1</v>
      </c>
      <c r="AW52" s="1">
        <f t="shared" si="8"/>
        <v>0</v>
      </c>
      <c r="AX52" s="1">
        <f t="shared" si="9"/>
        <v>0</v>
      </c>
      <c r="AY52" s="1" t="s">
        <v>47</v>
      </c>
      <c r="AZ52" s="1" t="s">
        <v>48</v>
      </c>
      <c r="BA52" s="1" t="s">
        <v>165</v>
      </c>
      <c r="BB52" s="4">
        <f t="shared" ref="BB52:BJ52" si="309">IF(ISNUMBER(SEARCH(BB$1,$BA52)), 1, 0)</f>
        <v>1</v>
      </c>
      <c r="BC52" s="4">
        <f t="shared" si="309"/>
        <v>1</v>
      </c>
      <c r="BD52" s="4">
        <f t="shared" si="309"/>
        <v>1</v>
      </c>
      <c r="BE52" s="4">
        <f t="shared" si="309"/>
        <v>1</v>
      </c>
      <c r="BF52" s="4">
        <f t="shared" si="309"/>
        <v>1</v>
      </c>
      <c r="BG52" s="4">
        <f t="shared" si="309"/>
        <v>1</v>
      </c>
      <c r="BH52" s="4">
        <f t="shared" si="309"/>
        <v>1</v>
      </c>
      <c r="BI52" s="4">
        <f t="shared" si="309"/>
        <v>1</v>
      </c>
      <c r="BJ52" s="4">
        <f t="shared" si="309"/>
        <v>1</v>
      </c>
      <c r="BK52" s="4">
        <f t="shared" si="11"/>
        <v>9</v>
      </c>
      <c r="BO52" s="4">
        <f t="shared" ref="BO52:BU52" si="310">IF(ISNUMBER(SEARCH(BO$1,$BN52)), 1, 0)</f>
        <v>0</v>
      </c>
      <c r="BP52" s="4">
        <f t="shared" si="310"/>
        <v>0</v>
      </c>
      <c r="BQ52" s="4">
        <f t="shared" si="310"/>
        <v>0</v>
      </c>
      <c r="BR52" s="4">
        <f t="shared" si="310"/>
        <v>0</v>
      </c>
      <c r="BS52" s="4">
        <f t="shared" si="310"/>
        <v>0</v>
      </c>
      <c r="BT52" s="4">
        <f t="shared" si="310"/>
        <v>0</v>
      </c>
      <c r="BU52" s="4">
        <f t="shared" si="310"/>
        <v>0</v>
      </c>
    </row>
    <row r="53" spans="1:107" ht="15.75" customHeight="1" x14ac:dyDescent="0.25">
      <c r="A53" s="1" t="b">
        <v>1</v>
      </c>
      <c r="B53" s="3">
        <v>46171.379513888889</v>
      </c>
      <c r="C53" s="1" t="s">
        <v>775</v>
      </c>
      <c r="D53" s="1" t="s">
        <v>776</v>
      </c>
      <c r="E53" s="4">
        <f t="shared" ref="E53:K53" si="311">IF(ISNUMBER(SEARCH(E$1,$D53)), SEARCH(E$1,$D53), 0)</f>
        <v>0</v>
      </c>
      <c r="F53" s="4">
        <f t="shared" si="311"/>
        <v>1</v>
      </c>
      <c r="G53" s="4">
        <f t="shared" si="311"/>
        <v>76</v>
      </c>
      <c r="H53" s="4">
        <f t="shared" si="311"/>
        <v>0</v>
      </c>
      <c r="I53" s="4">
        <f t="shared" si="311"/>
        <v>0</v>
      </c>
      <c r="J53" s="4">
        <f t="shared" si="311"/>
        <v>132</v>
      </c>
      <c r="K53" s="4">
        <f t="shared" si="311"/>
        <v>0</v>
      </c>
      <c r="L53" s="4">
        <f t="shared" si="1"/>
        <v>132</v>
      </c>
      <c r="N53" s="1" t="s">
        <v>244</v>
      </c>
      <c r="O53" s="4">
        <f t="shared" ref="O53:T53" si="312">IF(ISNUMBER(SEARCH(O$1,$N53)), 1, 0)</f>
        <v>1</v>
      </c>
      <c r="P53" s="4">
        <f t="shared" si="312"/>
        <v>0</v>
      </c>
      <c r="Q53" s="4">
        <f t="shared" si="312"/>
        <v>1</v>
      </c>
      <c r="R53" s="4">
        <f t="shared" si="312"/>
        <v>1</v>
      </c>
      <c r="S53" s="4">
        <f t="shared" si="312"/>
        <v>0</v>
      </c>
      <c r="T53" s="4">
        <f t="shared" si="312"/>
        <v>0</v>
      </c>
      <c r="V53" s="1" t="s">
        <v>24</v>
      </c>
      <c r="W53" s="1" t="str">
        <f t="shared" ref="W53:AA62" si="313">IF(W$1=$V53, "True", "False")</f>
        <v>False</v>
      </c>
      <c r="X53" s="1" t="str">
        <f t="shared" si="313"/>
        <v>False</v>
      </c>
      <c r="Y53" s="1" t="str">
        <f t="shared" si="313"/>
        <v>True</v>
      </c>
      <c r="Z53" s="1" t="str">
        <f t="shared" si="313"/>
        <v>False</v>
      </c>
      <c r="AA53" s="1" t="str">
        <f t="shared" si="313"/>
        <v>False</v>
      </c>
      <c r="AB53" s="1" t="s">
        <v>28</v>
      </c>
      <c r="AC53" s="4">
        <f t="shared" ref="AC53:AH53" si="314">IF(ISNUMBER(SEARCH(AC$1,$AB53)), 1, 0)</f>
        <v>1</v>
      </c>
      <c r="AD53" s="4">
        <f t="shared" si="314"/>
        <v>0</v>
      </c>
      <c r="AE53" s="4">
        <f t="shared" si="314"/>
        <v>0</v>
      </c>
      <c r="AF53" s="4">
        <f t="shared" si="314"/>
        <v>0</v>
      </c>
      <c r="AG53" s="4">
        <f t="shared" si="314"/>
        <v>0</v>
      </c>
      <c r="AH53" s="4">
        <f t="shared" si="314"/>
        <v>0</v>
      </c>
      <c r="AI53" s="1">
        <f t="shared" si="5"/>
        <v>1</v>
      </c>
      <c r="AK53" s="1" t="s">
        <v>470</v>
      </c>
      <c r="AL53" s="4">
        <f t="shared" ref="AL53:AS53" si="315">IF(ISNUMBER(SEARCH(AL$1,$AK53)), 1, 0)</f>
        <v>0</v>
      </c>
      <c r="AM53" s="4">
        <f t="shared" si="315"/>
        <v>1</v>
      </c>
      <c r="AN53" s="4">
        <f t="shared" si="315"/>
        <v>0</v>
      </c>
      <c r="AO53" s="4">
        <f t="shared" si="315"/>
        <v>1</v>
      </c>
      <c r="AP53" s="4">
        <f t="shared" si="315"/>
        <v>0</v>
      </c>
      <c r="AQ53" s="4">
        <f t="shared" si="315"/>
        <v>1</v>
      </c>
      <c r="AR53" s="4">
        <f t="shared" si="315"/>
        <v>0</v>
      </c>
      <c r="AS53" s="4">
        <f t="shared" si="315"/>
        <v>0</v>
      </c>
      <c r="AU53" s="1" t="s">
        <v>48</v>
      </c>
      <c r="AV53" s="1">
        <f t="shared" si="7"/>
        <v>0</v>
      </c>
      <c r="AW53" s="1">
        <f t="shared" si="8"/>
        <v>1</v>
      </c>
      <c r="AX53" s="1">
        <f t="shared" si="9"/>
        <v>0</v>
      </c>
      <c r="AY53" s="1" t="s">
        <v>48</v>
      </c>
      <c r="BA53" s="1" t="s">
        <v>777</v>
      </c>
      <c r="BB53" s="4">
        <f t="shared" ref="BB53:BJ53" si="316">IF(ISNUMBER(SEARCH(BB$1,$BA53)), 1, 0)</f>
        <v>0</v>
      </c>
      <c r="BC53" s="4">
        <f t="shared" si="316"/>
        <v>0</v>
      </c>
      <c r="BD53" s="4">
        <f t="shared" si="316"/>
        <v>1</v>
      </c>
      <c r="BE53" s="4">
        <f t="shared" si="316"/>
        <v>1</v>
      </c>
      <c r="BF53" s="4">
        <f t="shared" si="316"/>
        <v>0</v>
      </c>
      <c r="BG53" s="4">
        <f t="shared" si="316"/>
        <v>0</v>
      </c>
      <c r="BH53" s="4">
        <f t="shared" si="316"/>
        <v>1</v>
      </c>
      <c r="BI53" s="4">
        <f t="shared" si="316"/>
        <v>0</v>
      </c>
      <c r="BJ53" s="4">
        <f t="shared" si="316"/>
        <v>0</v>
      </c>
      <c r="BK53" s="4">
        <f t="shared" si="11"/>
        <v>3</v>
      </c>
      <c r="BM53" s="1" t="s">
        <v>232</v>
      </c>
      <c r="BN53" s="1" t="s">
        <v>726</v>
      </c>
      <c r="BO53" s="4">
        <f t="shared" ref="BO53:BU53" si="317">IF(ISNUMBER(SEARCH(BO$1,$BN53)), 1, 0)</f>
        <v>0</v>
      </c>
      <c r="BP53" s="4">
        <f t="shared" si="317"/>
        <v>1</v>
      </c>
      <c r="BQ53" s="4">
        <f t="shared" si="317"/>
        <v>0</v>
      </c>
      <c r="BR53" s="4">
        <f t="shared" si="317"/>
        <v>1</v>
      </c>
      <c r="BS53" s="4">
        <f t="shared" si="317"/>
        <v>0</v>
      </c>
      <c r="BT53" s="4">
        <f t="shared" si="317"/>
        <v>0</v>
      </c>
      <c r="BU53" s="4">
        <f t="shared" si="317"/>
        <v>0</v>
      </c>
      <c r="BW53" s="1" t="s">
        <v>169</v>
      </c>
      <c r="BZ53" s="1" t="s">
        <v>465</v>
      </c>
      <c r="CR53" s="1" t="s">
        <v>250</v>
      </c>
      <c r="CT53" s="1" t="s">
        <v>778</v>
      </c>
      <c r="CU53" s="1" t="s">
        <v>250</v>
      </c>
      <c r="CX53" s="1" t="s">
        <v>779</v>
      </c>
      <c r="CY53" s="1" t="s">
        <v>780</v>
      </c>
      <c r="CZ53" s="1" t="s">
        <v>250</v>
      </c>
      <c r="DC53" s="1" t="s">
        <v>180</v>
      </c>
    </row>
    <row r="54" spans="1:107" ht="15.75" customHeight="1" x14ac:dyDescent="0.25">
      <c r="A54" s="1" t="b">
        <v>1</v>
      </c>
      <c r="B54" s="3">
        <v>46167.40320601852</v>
      </c>
      <c r="C54" s="1" t="s">
        <v>684</v>
      </c>
      <c r="D54" s="1" t="s">
        <v>5</v>
      </c>
      <c r="E54" s="4">
        <f t="shared" ref="E54:K54" si="318">IF(ISNUMBER(SEARCH(E$1,$D54)), SEARCH(E$1,$D54), 0)</f>
        <v>0</v>
      </c>
      <c r="F54" s="4">
        <f t="shared" si="318"/>
        <v>1</v>
      </c>
      <c r="G54" s="4">
        <f t="shared" si="318"/>
        <v>0</v>
      </c>
      <c r="H54" s="4">
        <f t="shared" si="318"/>
        <v>0</v>
      </c>
      <c r="I54" s="4">
        <f t="shared" si="318"/>
        <v>0</v>
      </c>
      <c r="J54" s="4">
        <f t="shared" si="318"/>
        <v>0</v>
      </c>
      <c r="K54" s="4">
        <f t="shared" si="318"/>
        <v>0</v>
      </c>
      <c r="L54" s="4">
        <f t="shared" si="1"/>
        <v>1</v>
      </c>
      <c r="N54" s="1" t="s">
        <v>323</v>
      </c>
      <c r="O54" s="4">
        <f t="shared" ref="O54:T54" si="319">IF(ISNUMBER(SEARCH(O$1,$N54)), 1, 0)</f>
        <v>1</v>
      </c>
      <c r="P54" s="4">
        <f t="shared" si="319"/>
        <v>1</v>
      </c>
      <c r="Q54" s="4">
        <f t="shared" si="319"/>
        <v>1</v>
      </c>
      <c r="R54" s="4">
        <f t="shared" si="319"/>
        <v>1</v>
      </c>
      <c r="S54" s="4">
        <f t="shared" si="319"/>
        <v>0</v>
      </c>
      <c r="T54" s="4">
        <f t="shared" si="319"/>
        <v>1</v>
      </c>
      <c r="V54" s="1" t="s">
        <v>24</v>
      </c>
      <c r="W54" s="1" t="str">
        <f t="shared" si="313"/>
        <v>False</v>
      </c>
      <c r="X54" s="1" t="str">
        <f t="shared" si="313"/>
        <v>False</v>
      </c>
      <c r="Y54" s="1" t="str">
        <f t="shared" si="313"/>
        <v>True</v>
      </c>
      <c r="Z54" s="1" t="str">
        <f t="shared" si="313"/>
        <v>False</v>
      </c>
      <c r="AA54" s="1" t="str">
        <f t="shared" si="313"/>
        <v>False</v>
      </c>
      <c r="AB54" s="1" t="s">
        <v>685</v>
      </c>
      <c r="AC54" s="4">
        <f t="shared" ref="AC54:AH54" si="320">IF(ISNUMBER(SEARCH(AC$1,$AB54)), 1, 0)</f>
        <v>0</v>
      </c>
      <c r="AD54" s="4">
        <f t="shared" si="320"/>
        <v>0</v>
      </c>
      <c r="AE54" s="4">
        <f t="shared" si="320"/>
        <v>0</v>
      </c>
      <c r="AF54" s="4">
        <f t="shared" si="320"/>
        <v>1</v>
      </c>
      <c r="AG54" s="4">
        <f t="shared" si="320"/>
        <v>1</v>
      </c>
      <c r="AH54" s="4">
        <f t="shared" si="320"/>
        <v>1</v>
      </c>
      <c r="AI54" s="1">
        <f t="shared" si="5"/>
        <v>3</v>
      </c>
      <c r="AK54" s="1" t="s">
        <v>317</v>
      </c>
      <c r="AL54" s="4">
        <f t="shared" ref="AL54:AS54" si="321">IF(ISNUMBER(SEARCH(AL$1,$AK54)), 1, 0)</f>
        <v>0</v>
      </c>
      <c r="AM54" s="4">
        <f t="shared" si="321"/>
        <v>1</v>
      </c>
      <c r="AN54" s="4">
        <f t="shared" si="321"/>
        <v>0</v>
      </c>
      <c r="AO54" s="4">
        <f t="shared" si="321"/>
        <v>1</v>
      </c>
      <c r="AP54" s="4">
        <f t="shared" si="321"/>
        <v>1</v>
      </c>
      <c r="AQ54" s="4">
        <f t="shared" si="321"/>
        <v>1</v>
      </c>
      <c r="AR54" s="4">
        <f t="shared" si="321"/>
        <v>0</v>
      </c>
      <c r="AS54" s="4">
        <f t="shared" si="321"/>
        <v>0</v>
      </c>
      <c r="AU54" s="1" t="s">
        <v>48</v>
      </c>
      <c r="AV54" s="1">
        <f t="shared" si="7"/>
        <v>0</v>
      </c>
      <c r="AW54" s="1">
        <f t="shared" si="8"/>
        <v>1</v>
      </c>
      <c r="AX54" s="1">
        <f t="shared" si="9"/>
        <v>0</v>
      </c>
      <c r="AY54" s="1" t="s">
        <v>48</v>
      </c>
      <c r="BA54" s="1" t="s">
        <v>225</v>
      </c>
      <c r="BB54" s="4">
        <f t="shared" ref="BB54:BJ54" si="322">IF(ISNUMBER(SEARCH(BB$1,$BA54)), 1, 0)</f>
        <v>0</v>
      </c>
      <c r="BC54" s="4">
        <f t="shared" si="322"/>
        <v>0</v>
      </c>
      <c r="BD54" s="4">
        <f t="shared" si="322"/>
        <v>0</v>
      </c>
      <c r="BE54" s="4">
        <f t="shared" si="322"/>
        <v>1</v>
      </c>
      <c r="BF54" s="4">
        <f t="shared" si="322"/>
        <v>0</v>
      </c>
      <c r="BG54" s="4">
        <f t="shared" si="322"/>
        <v>0</v>
      </c>
      <c r="BH54" s="4">
        <f t="shared" si="322"/>
        <v>0</v>
      </c>
      <c r="BI54" s="4">
        <f t="shared" si="322"/>
        <v>0</v>
      </c>
      <c r="BJ54" s="4">
        <f t="shared" si="322"/>
        <v>1</v>
      </c>
      <c r="BK54" s="4">
        <f t="shared" si="11"/>
        <v>2</v>
      </c>
      <c r="BM54" s="1" t="s">
        <v>190</v>
      </c>
      <c r="BN54" s="1" t="s">
        <v>72</v>
      </c>
      <c r="BO54" s="4">
        <f t="shared" ref="BO54:BU54" si="323">IF(ISNUMBER(SEARCH(BO$1,$BN54)), 1, 0)</f>
        <v>0</v>
      </c>
      <c r="BP54" s="4">
        <f t="shared" si="323"/>
        <v>0</v>
      </c>
      <c r="BQ54" s="4">
        <f t="shared" si="323"/>
        <v>0</v>
      </c>
      <c r="BR54" s="4">
        <f t="shared" si="323"/>
        <v>0</v>
      </c>
      <c r="BS54" s="4">
        <f t="shared" si="323"/>
        <v>0</v>
      </c>
      <c r="BT54" s="4">
        <f t="shared" si="323"/>
        <v>0</v>
      </c>
      <c r="BU54" s="4">
        <f t="shared" si="323"/>
        <v>1</v>
      </c>
      <c r="BW54" s="1" t="s">
        <v>220</v>
      </c>
      <c r="BZ54" s="1" t="s">
        <v>278</v>
      </c>
      <c r="CX54" s="1" t="s">
        <v>686</v>
      </c>
      <c r="CZ54" s="1" t="s">
        <v>333</v>
      </c>
      <c r="DA54" s="1" t="s">
        <v>687</v>
      </c>
      <c r="DB54" s="1" t="s">
        <v>688</v>
      </c>
      <c r="DC54" s="1" t="s">
        <v>180</v>
      </c>
    </row>
    <row r="55" spans="1:107" ht="15.75" customHeight="1" x14ac:dyDescent="0.25">
      <c r="A55" s="1" t="b">
        <v>1</v>
      </c>
      <c r="B55" s="3">
        <v>46151.410277777781</v>
      </c>
      <c r="C55" s="1" t="s">
        <v>251</v>
      </c>
      <c r="D55" s="1" t="s">
        <v>5</v>
      </c>
      <c r="E55" s="4">
        <f t="shared" ref="E55:K55" si="324">IF(ISNUMBER(SEARCH(E$1,$D55)), SEARCH(E$1,$D55), 0)</f>
        <v>0</v>
      </c>
      <c r="F55" s="4">
        <f t="shared" si="324"/>
        <v>1</v>
      </c>
      <c r="G55" s="4">
        <f t="shared" si="324"/>
        <v>0</v>
      </c>
      <c r="H55" s="4">
        <f t="shared" si="324"/>
        <v>0</v>
      </c>
      <c r="I55" s="4">
        <f t="shared" si="324"/>
        <v>0</v>
      </c>
      <c r="J55" s="4">
        <f t="shared" si="324"/>
        <v>0</v>
      </c>
      <c r="K55" s="4">
        <f t="shared" si="324"/>
        <v>0</v>
      </c>
      <c r="L55" s="4">
        <f t="shared" si="1"/>
        <v>1</v>
      </c>
      <c r="N55" s="1" t="s">
        <v>240</v>
      </c>
      <c r="O55" s="4">
        <f t="shared" ref="O55:T55" si="325">IF(ISNUMBER(SEARCH(O$1,$N55)), 1, 0)</f>
        <v>1</v>
      </c>
      <c r="P55" s="4">
        <f t="shared" si="325"/>
        <v>1</v>
      </c>
      <c r="Q55" s="4">
        <f t="shared" si="325"/>
        <v>1</v>
      </c>
      <c r="R55" s="4">
        <f t="shared" si="325"/>
        <v>1</v>
      </c>
      <c r="S55" s="4">
        <f t="shared" si="325"/>
        <v>0</v>
      </c>
      <c r="T55" s="4">
        <f t="shared" si="325"/>
        <v>0</v>
      </c>
      <c r="V55" s="1" t="s">
        <v>24</v>
      </c>
      <c r="W55" s="1" t="str">
        <f t="shared" si="313"/>
        <v>False</v>
      </c>
      <c r="X55" s="1" t="str">
        <f t="shared" si="313"/>
        <v>False</v>
      </c>
      <c r="Y55" s="1" t="str">
        <f t="shared" si="313"/>
        <v>True</v>
      </c>
      <c r="Z55" s="1" t="str">
        <f t="shared" si="313"/>
        <v>False</v>
      </c>
      <c r="AA55" s="1" t="str">
        <f t="shared" si="313"/>
        <v>False</v>
      </c>
      <c r="AB55" s="1" t="s">
        <v>28</v>
      </c>
      <c r="AC55" s="4">
        <f t="shared" ref="AC55:AH55" si="326">IF(ISNUMBER(SEARCH(AC$1,$AB55)), 1, 0)</f>
        <v>1</v>
      </c>
      <c r="AD55" s="4">
        <f t="shared" si="326"/>
        <v>0</v>
      </c>
      <c r="AE55" s="4">
        <f t="shared" si="326"/>
        <v>0</v>
      </c>
      <c r="AF55" s="4">
        <f t="shared" si="326"/>
        <v>0</v>
      </c>
      <c r="AG55" s="4">
        <f t="shared" si="326"/>
        <v>0</v>
      </c>
      <c r="AH55" s="4">
        <f t="shared" si="326"/>
        <v>0</v>
      </c>
      <c r="AI55" s="1">
        <f t="shared" si="5"/>
        <v>1</v>
      </c>
      <c r="AK55" s="1" t="s">
        <v>252</v>
      </c>
      <c r="AL55" s="4">
        <f t="shared" ref="AL55:AS55" si="327">IF(ISNUMBER(SEARCH(AL$1,$AK55)), 1, 0)</f>
        <v>0</v>
      </c>
      <c r="AM55" s="4">
        <f t="shared" si="327"/>
        <v>1</v>
      </c>
      <c r="AN55" s="4">
        <f t="shared" si="327"/>
        <v>1</v>
      </c>
      <c r="AO55" s="4">
        <f t="shared" si="327"/>
        <v>0</v>
      </c>
      <c r="AP55" s="4">
        <f t="shared" si="327"/>
        <v>0</v>
      </c>
      <c r="AQ55" s="4">
        <f t="shared" si="327"/>
        <v>1</v>
      </c>
      <c r="AR55" s="4">
        <f t="shared" si="327"/>
        <v>0</v>
      </c>
      <c r="AS55" s="4">
        <f t="shared" si="327"/>
        <v>0</v>
      </c>
      <c r="AU55" s="1" t="s">
        <v>48</v>
      </c>
      <c r="AV55" s="1">
        <f t="shared" si="7"/>
        <v>0</v>
      </c>
      <c r="AW55" s="1">
        <f t="shared" si="8"/>
        <v>1</v>
      </c>
      <c r="AX55" s="1">
        <f t="shared" si="9"/>
        <v>0</v>
      </c>
      <c r="AY55" s="1" t="s">
        <v>48</v>
      </c>
      <c r="BA55" s="1" t="s">
        <v>253</v>
      </c>
      <c r="BB55" s="4">
        <f t="shared" ref="BB55:BJ55" si="328">IF(ISNUMBER(SEARCH(BB$1,$BA55)), 1, 0)</f>
        <v>1</v>
      </c>
      <c r="BC55" s="4">
        <f t="shared" si="328"/>
        <v>1</v>
      </c>
      <c r="BD55" s="4">
        <f t="shared" si="328"/>
        <v>1</v>
      </c>
      <c r="BE55" s="4">
        <f t="shared" si="328"/>
        <v>1</v>
      </c>
      <c r="BF55" s="4">
        <f t="shared" si="328"/>
        <v>1</v>
      </c>
      <c r="BG55" s="4">
        <f t="shared" si="328"/>
        <v>0</v>
      </c>
      <c r="BH55" s="4">
        <f t="shared" si="328"/>
        <v>0</v>
      </c>
      <c r="BI55" s="4">
        <f t="shared" si="328"/>
        <v>0</v>
      </c>
      <c r="BJ55" s="4">
        <f t="shared" si="328"/>
        <v>1</v>
      </c>
      <c r="BK55" s="4">
        <f t="shared" si="11"/>
        <v>6</v>
      </c>
      <c r="BM55" s="1" t="s">
        <v>218</v>
      </c>
      <c r="BN55" s="1" t="s">
        <v>254</v>
      </c>
      <c r="BO55" s="4">
        <f t="shared" ref="BO55:BU55" si="329">IF(ISNUMBER(SEARCH(BO$1,$BN55)), 1, 0)</f>
        <v>1</v>
      </c>
      <c r="BP55" s="4">
        <f t="shared" si="329"/>
        <v>1</v>
      </c>
      <c r="BQ55" s="4">
        <f t="shared" si="329"/>
        <v>0</v>
      </c>
      <c r="BR55" s="4">
        <f t="shared" si="329"/>
        <v>1</v>
      </c>
      <c r="BS55" s="4">
        <f t="shared" si="329"/>
        <v>0</v>
      </c>
      <c r="BT55" s="4">
        <f t="shared" si="329"/>
        <v>1</v>
      </c>
      <c r="BU55" s="4">
        <f t="shared" si="329"/>
        <v>0</v>
      </c>
      <c r="BW55" s="1" t="s">
        <v>255</v>
      </c>
      <c r="BZ55" s="1" t="s">
        <v>256</v>
      </c>
      <c r="CX55" s="1" t="s">
        <v>257</v>
      </c>
      <c r="CZ55" s="1" t="s">
        <v>178</v>
      </c>
      <c r="DC55" s="1" t="s">
        <v>238</v>
      </c>
    </row>
    <row r="56" spans="1:107" ht="15.75" customHeight="1" x14ac:dyDescent="0.25">
      <c r="A56" s="1" t="b">
        <v>1</v>
      </c>
      <c r="B56" s="3">
        <v>46155.428888888891</v>
      </c>
      <c r="C56" s="1" t="s">
        <v>366</v>
      </c>
      <c r="D56" s="1" t="s">
        <v>5</v>
      </c>
      <c r="E56" s="4">
        <f t="shared" ref="E56:K56" si="330">IF(ISNUMBER(SEARCH(E$1,$D56)), SEARCH(E$1,$D56), 0)</f>
        <v>0</v>
      </c>
      <c r="F56" s="4">
        <f t="shared" si="330"/>
        <v>1</v>
      </c>
      <c r="G56" s="4">
        <f t="shared" si="330"/>
        <v>0</v>
      </c>
      <c r="H56" s="4">
        <f t="shared" si="330"/>
        <v>0</v>
      </c>
      <c r="I56" s="4">
        <f t="shared" si="330"/>
        <v>0</v>
      </c>
      <c r="J56" s="4">
        <f t="shared" si="330"/>
        <v>0</v>
      </c>
      <c r="K56" s="4">
        <f t="shared" si="330"/>
        <v>0</v>
      </c>
      <c r="L56" s="4">
        <f t="shared" si="1"/>
        <v>1</v>
      </c>
      <c r="N56" s="1" t="s">
        <v>367</v>
      </c>
      <c r="O56" s="4">
        <f t="shared" ref="O56:T56" si="331">IF(ISNUMBER(SEARCH(O$1,$N56)), 1, 0)</f>
        <v>1</v>
      </c>
      <c r="P56" s="4">
        <f t="shared" si="331"/>
        <v>1</v>
      </c>
      <c r="Q56" s="4">
        <f t="shared" si="331"/>
        <v>1</v>
      </c>
      <c r="R56" s="4">
        <f t="shared" si="331"/>
        <v>1</v>
      </c>
      <c r="S56" s="4">
        <f t="shared" si="331"/>
        <v>0</v>
      </c>
      <c r="T56" s="4">
        <f t="shared" si="331"/>
        <v>0</v>
      </c>
      <c r="U56" s="1" t="s">
        <v>368</v>
      </c>
      <c r="V56" s="1" t="s">
        <v>23</v>
      </c>
      <c r="W56" s="1" t="str">
        <f t="shared" si="313"/>
        <v>False</v>
      </c>
      <c r="X56" s="1" t="str">
        <f t="shared" si="313"/>
        <v>True</v>
      </c>
      <c r="Y56" s="1" t="str">
        <f t="shared" si="313"/>
        <v>False</v>
      </c>
      <c r="Z56" s="1" t="str">
        <f t="shared" si="313"/>
        <v>False</v>
      </c>
      <c r="AA56" s="1" t="str">
        <f t="shared" si="313"/>
        <v>False</v>
      </c>
      <c r="AB56" s="1" t="s">
        <v>28</v>
      </c>
      <c r="AC56" s="4">
        <f t="shared" ref="AC56:AH56" si="332">IF(ISNUMBER(SEARCH(AC$1,$AB56)), 1, 0)</f>
        <v>1</v>
      </c>
      <c r="AD56" s="4">
        <f t="shared" si="332"/>
        <v>0</v>
      </c>
      <c r="AE56" s="4">
        <f t="shared" si="332"/>
        <v>0</v>
      </c>
      <c r="AF56" s="4">
        <f t="shared" si="332"/>
        <v>0</v>
      </c>
      <c r="AG56" s="4">
        <f t="shared" si="332"/>
        <v>0</v>
      </c>
      <c r="AH56" s="4">
        <f t="shared" si="332"/>
        <v>0</v>
      </c>
      <c r="AI56" s="1">
        <f t="shared" si="5"/>
        <v>1</v>
      </c>
      <c r="AK56" s="1" t="s">
        <v>369</v>
      </c>
      <c r="AL56" s="4">
        <f t="shared" ref="AL56:AS56" si="333">IF(ISNUMBER(SEARCH(AL$1,$AK56)), 1, 0)</f>
        <v>0</v>
      </c>
      <c r="AM56" s="4">
        <f t="shared" si="333"/>
        <v>1</v>
      </c>
      <c r="AN56" s="4">
        <f t="shared" si="333"/>
        <v>0</v>
      </c>
      <c r="AO56" s="4">
        <f t="shared" si="333"/>
        <v>1</v>
      </c>
      <c r="AP56" s="4">
        <f t="shared" si="333"/>
        <v>0</v>
      </c>
      <c r="AQ56" s="4">
        <f t="shared" si="333"/>
        <v>1</v>
      </c>
      <c r="AR56" s="4">
        <f t="shared" si="333"/>
        <v>0</v>
      </c>
      <c r="AS56" s="4">
        <f t="shared" si="333"/>
        <v>0</v>
      </c>
      <c r="AT56" s="1" t="s">
        <v>370</v>
      </c>
      <c r="AU56" s="1" t="s">
        <v>47</v>
      </c>
      <c r="AV56" s="1">
        <f t="shared" si="7"/>
        <v>1</v>
      </c>
      <c r="AW56" s="1">
        <f t="shared" si="8"/>
        <v>0</v>
      </c>
      <c r="AX56" s="1">
        <f t="shared" si="9"/>
        <v>0</v>
      </c>
      <c r="AY56" s="1" t="s">
        <v>48</v>
      </c>
      <c r="BA56" s="1" t="s">
        <v>371</v>
      </c>
      <c r="BB56" s="4">
        <f t="shared" ref="BB56:BJ56" si="334">IF(ISNUMBER(SEARCH(BB$1,$BA56)), 1, 0)</f>
        <v>1</v>
      </c>
      <c r="BC56" s="4">
        <f t="shared" si="334"/>
        <v>1</v>
      </c>
      <c r="BD56" s="4">
        <f t="shared" si="334"/>
        <v>1</v>
      </c>
      <c r="BE56" s="4">
        <f t="shared" si="334"/>
        <v>0</v>
      </c>
      <c r="BF56" s="4">
        <f t="shared" si="334"/>
        <v>1</v>
      </c>
      <c r="BG56" s="4">
        <f t="shared" si="334"/>
        <v>1</v>
      </c>
      <c r="BH56" s="4">
        <f t="shared" si="334"/>
        <v>0</v>
      </c>
      <c r="BI56" s="4">
        <f t="shared" si="334"/>
        <v>0</v>
      </c>
      <c r="BJ56" s="4">
        <f t="shared" si="334"/>
        <v>1</v>
      </c>
      <c r="BK56" s="4">
        <f t="shared" si="11"/>
        <v>6</v>
      </c>
      <c r="BM56" s="1" t="s">
        <v>190</v>
      </c>
      <c r="BN56" s="1" t="s">
        <v>372</v>
      </c>
      <c r="BO56" s="4">
        <f t="shared" ref="BO56:BU56" si="335">IF(ISNUMBER(SEARCH(BO$1,$BN56)), 1, 0)</f>
        <v>0</v>
      </c>
      <c r="BP56" s="4">
        <f t="shared" si="335"/>
        <v>0</v>
      </c>
      <c r="BQ56" s="4">
        <f t="shared" si="335"/>
        <v>0</v>
      </c>
      <c r="BR56" s="4">
        <f t="shared" si="335"/>
        <v>0</v>
      </c>
      <c r="BS56" s="4">
        <f t="shared" si="335"/>
        <v>0</v>
      </c>
      <c r="BT56" s="4">
        <f t="shared" si="335"/>
        <v>1</v>
      </c>
      <c r="BU56" s="4">
        <f t="shared" si="335"/>
        <v>1</v>
      </c>
      <c r="CX56" s="1" t="s">
        <v>373</v>
      </c>
      <c r="CZ56" s="1" t="s">
        <v>374</v>
      </c>
      <c r="DB56" s="1" t="s">
        <v>375</v>
      </c>
      <c r="DC56" s="1" t="s">
        <v>238</v>
      </c>
    </row>
    <row r="57" spans="1:107" ht="15.75" customHeight="1" x14ac:dyDescent="0.25">
      <c r="A57" s="1" t="b">
        <v>1</v>
      </c>
      <c r="B57" s="3">
        <v>46165.828402777777</v>
      </c>
      <c r="C57" s="1" t="s">
        <v>626</v>
      </c>
      <c r="D57" s="1" t="s">
        <v>5</v>
      </c>
      <c r="E57" s="4">
        <f t="shared" ref="E57:K57" si="336">IF(ISNUMBER(SEARCH(E$1,$D57)), SEARCH(E$1,$D57), 0)</f>
        <v>0</v>
      </c>
      <c r="F57" s="4">
        <f t="shared" si="336"/>
        <v>1</v>
      </c>
      <c r="G57" s="4">
        <f t="shared" si="336"/>
        <v>0</v>
      </c>
      <c r="H57" s="4">
        <f t="shared" si="336"/>
        <v>0</v>
      </c>
      <c r="I57" s="4">
        <f t="shared" si="336"/>
        <v>0</v>
      </c>
      <c r="J57" s="4">
        <f t="shared" si="336"/>
        <v>0</v>
      </c>
      <c r="K57" s="4">
        <f t="shared" si="336"/>
        <v>0</v>
      </c>
      <c r="L57" s="4">
        <f t="shared" si="1"/>
        <v>1</v>
      </c>
      <c r="N57" s="1" t="s">
        <v>14</v>
      </c>
      <c r="O57" s="4">
        <f t="shared" ref="O57:T57" si="337">IF(ISNUMBER(SEARCH(O$1,$N57)), 1, 0)</f>
        <v>1</v>
      </c>
      <c r="P57" s="4">
        <f t="shared" si="337"/>
        <v>0</v>
      </c>
      <c r="Q57" s="4">
        <f t="shared" si="337"/>
        <v>0</v>
      </c>
      <c r="R57" s="4">
        <f t="shared" si="337"/>
        <v>0</v>
      </c>
      <c r="S57" s="4">
        <f t="shared" si="337"/>
        <v>0</v>
      </c>
      <c r="T57" s="4">
        <f t="shared" si="337"/>
        <v>0</v>
      </c>
      <c r="W57" s="1" t="str">
        <f t="shared" si="313"/>
        <v>False</v>
      </c>
      <c r="X57" s="1" t="str">
        <f t="shared" si="313"/>
        <v>False</v>
      </c>
      <c r="Y57" s="1" t="str">
        <f t="shared" si="313"/>
        <v>False</v>
      </c>
      <c r="Z57" s="1" t="str">
        <f t="shared" si="313"/>
        <v>False</v>
      </c>
      <c r="AA57" s="1" t="str">
        <f t="shared" si="313"/>
        <v>False</v>
      </c>
      <c r="AB57" s="1" t="s">
        <v>311</v>
      </c>
      <c r="AC57" s="4">
        <f t="shared" ref="AC57:AH57" si="338">IF(ISNUMBER(SEARCH(AC$1,$AB57)), 1, 0)</f>
        <v>1</v>
      </c>
      <c r="AD57" s="4">
        <f t="shared" si="338"/>
        <v>0</v>
      </c>
      <c r="AE57" s="4">
        <f t="shared" si="338"/>
        <v>0</v>
      </c>
      <c r="AF57" s="4">
        <f t="shared" si="338"/>
        <v>0</v>
      </c>
      <c r="AG57" s="4">
        <f t="shared" si="338"/>
        <v>0</v>
      </c>
      <c r="AH57" s="4">
        <f t="shared" si="338"/>
        <v>0</v>
      </c>
      <c r="AI57" s="1">
        <f t="shared" si="5"/>
        <v>1</v>
      </c>
      <c r="AJ57" s="1" t="s">
        <v>627</v>
      </c>
      <c r="AK57" s="1" t="s">
        <v>470</v>
      </c>
      <c r="AL57" s="4">
        <f t="shared" ref="AL57:AS57" si="339">IF(ISNUMBER(SEARCH(AL$1,$AK57)), 1, 0)</f>
        <v>0</v>
      </c>
      <c r="AM57" s="4">
        <f t="shared" si="339"/>
        <v>1</v>
      </c>
      <c r="AN57" s="4">
        <f t="shared" si="339"/>
        <v>0</v>
      </c>
      <c r="AO57" s="4">
        <f t="shared" si="339"/>
        <v>1</v>
      </c>
      <c r="AP57" s="4">
        <f t="shared" si="339"/>
        <v>0</v>
      </c>
      <c r="AQ57" s="4">
        <f t="shared" si="339"/>
        <v>1</v>
      </c>
      <c r="AR57" s="4">
        <f t="shared" si="339"/>
        <v>0</v>
      </c>
      <c r="AS57" s="4">
        <f t="shared" si="339"/>
        <v>0</v>
      </c>
      <c r="AU57" s="1" t="s">
        <v>47</v>
      </c>
      <c r="AV57" s="1">
        <f t="shared" si="7"/>
        <v>1</v>
      </c>
      <c r="AW57" s="1">
        <f t="shared" si="8"/>
        <v>0</v>
      </c>
      <c r="AX57" s="1">
        <f t="shared" si="9"/>
        <v>0</v>
      </c>
      <c r="AY57" s="1" t="s">
        <v>48</v>
      </c>
      <c r="BA57" s="1" t="s">
        <v>628</v>
      </c>
      <c r="BB57" s="4">
        <f t="shared" ref="BB57:BJ57" si="340">IF(ISNUMBER(SEARCH(BB$1,$BA57)), 1, 0)</f>
        <v>1</v>
      </c>
      <c r="BC57" s="4">
        <f t="shared" si="340"/>
        <v>0</v>
      </c>
      <c r="BD57" s="4">
        <f t="shared" si="340"/>
        <v>1</v>
      </c>
      <c r="BE57" s="4">
        <f t="shared" si="340"/>
        <v>1</v>
      </c>
      <c r="BF57" s="4">
        <f t="shared" si="340"/>
        <v>1</v>
      </c>
      <c r="BG57" s="4">
        <f t="shared" si="340"/>
        <v>0</v>
      </c>
      <c r="BH57" s="4">
        <f t="shared" si="340"/>
        <v>0</v>
      </c>
      <c r="BI57" s="4">
        <f t="shared" si="340"/>
        <v>0</v>
      </c>
      <c r="BJ57" s="4">
        <f t="shared" si="340"/>
        <v>1</v>
      </c>
      <c r="BK57" s="4">
        <f t="shared" si="11"/>
        <v>5</v>
      </c>
      <c r="BM57" s="1" t="s">
        <v>232</v>
      </c>
      <c r="BN57" s="1" t="s">
        <v>629</v>
      </c>
      <c r="BO57" s="4">
        <f t="shared" ref="BO57:BU57" si="341">IF(ISNUMBER(SEARCH(BO$1,$BN57)), 1, 0)</f>
        <v>0</v>
      </c>
      <c r="BP57" s="4">
        <f t="shared" si="341"/>
        <v>0</v>
      </c>
      <c r="BQ57" s="4">
        <f t="shared" si="341"/>
        <v>0</v>
      </c>
      <c r="BR57" s="4">
        <f t="shared" si="341"/>
        <v>0</v>
      </c>
      <c r="BS57" s="4">
        <f t="shared" si="341"/>
        <v>1</v>
      </c>
      <c r="BT57" s="4">
        <f t="shared" si="341"/>
        <v>1</v>
      </c>
      <c r="BU57" s="4">
        <f t="shared" si="341"/>
        <v>0</v>
      </c>
      <c r="CX57" s="1" t="s">
        <v>630</v>
      </c>
      <c r="CZ57" s="1" t="s">
        <v>631</v>
      </c>
      <c r="DC57" s="1" t="s">
        <v>238</v>
      </c>
    </row>
    <row r="58" spans="1:107" ht="15.75" customHeight="1" x14ac:dyDescent="0.25">
      <c r="A58" s="1" t="b">
        <v>1</v>
      </c>
      <c r="B58" s="3">
        <v>46164.563344907408</v>
      </c>
      <c r="C58" s="1" t="s">
        <v>482</v>
      </c>
      <c r="D58" s="1" t="s">
        <v>5</v>
      </c>
      <c r="E58" s="4">
        <f t="shared" ref="E58:K58" si="342">IF(ISNUMBER(SEARCH(E$1,$D58)), SEARCH(E$1,$D58), 0)</f>
        <v>0</v>
      </c>
      <c r="F58" s="4">
        <f t="shared" si="342"/>
        <v>1</v>
      </c>
      <c r="G58" s="4">
        <f t="shared" si="342"/>
        <v>0</v>
      </c>
      <c r="H58" s="4">
        <f t="shared" si="342"/>
        <v>0</v>
      </c>
      <c r="I58" s="4">
        <f t="shared" si="342"/>
        <v>0</v>
      </c>
      <c r="J58" s="4">
        <f t="shared" si="342"/>
        <v>0</v>
      </c>
      <c r="K58" s="4">
        <f t="shared" si="342"/>
        <v>0</v>
      </c>
      <c r="L58" s="4">
        <f t="shared" si="1"/>
        <v>1</v>
      </c>
      <c r="N58" s="1" t="s">
        <v>240</v>
      </c>
      <c r="O58" s="4">
        <f t="shared" ref="O58:T58" si="343">IF(ISNUMBER(SEARCH(O$1,$N58)), 1, 0)</f>
        <v>1</v>
      </c>
      <c r="P58" s="4">
        <f t="shared" si="343"/>
        <v>1</v>
      </c>
      <c r="Q58" s="4">
        <f t="shared" si="343"/>
        <v>1</v>
      </c>
      <c r="R58" s="4">
        <f t="shared" si="343"/>
        <v>1</v>
      </c>
      <c r="S58" s="4">
        <f t="shared" si="343"/>
        <v>0</v>
      </c>
      <c r="T58" s="4">
        <f t="shared" si="343"/>
        <v>0</v>
      </c>
      <c r="V58" s="1" t="s">
        <v>26</v>
      </c>
      <c r="W58" s="1" t="str">
        <f t="shared" si="313"/>
        <v>False</v>
      </c>
      <c r="X58" s="1" t="str">
        <f t="shared" si="313"/>
        <v>False</v>
      </c>
      <c r="Y58" s="1" t="str">
        <f t="shared" si="313"/>
        <v>False</v>
      </c>
      <c r="Z58" s="1" t="str">
        <f t="shared" si="313"/>
        <v>False</v>
      </c>
      <c r="AA58" s="1" t="str">
        <f t="shared" si="313"/>
        <v>True</v>
      </c>
      <c r="AB58" s="1" t="s">
        <v>28</v>
      </c>
      <c r="AC58" s="4">
        <f t="shared" ref="AC58:AH58" si="344">IF(ISNUMBER(SEARCH(AC$1,$AB58)), 1, 0)</f>
        <v>1</v>
      </c>
      <c r="AD58" s="4">
        <f t="shared" si="344"/>
        <v>0</v>
      </c>
      <c r="AE58" s="4">
        <f t="shared" si="344"/>
        <v>0</v>
      </c>
      <c r="AF58" s="4">
        <f t="shared" si="344"/>
        <v>0</v>
      </c>
      <c r="AG58" s="4">
        <f t="shared" si="344"/>
        <v>0</v>
      </c>
      <c r="AH58" s="4">
        <f t="shared" si="344"/>
        <v>0</v>
      </c>
      <c r="AI58" s="1">
        <f t="shared" si="5"/>
        <v>1</v>
      </c>
      <c r="AK58" s="1" t="s">
        <v>483</v>
      </c>
      <c r="AL58" s="4">
        <f t="shared" ref="AL58:AS58" si="345">IF(ISNUMBER(SEARCH(AL$1,$AK58)), 1, 0)</f>
        <v>1</v>
      </c>
      <c r="AM58" s="4">
        <f t="shared" si="345"/>
        <v>1</v>
      </c>
      <c r="AN58" s="4">
        <f t="shared" si="345"/>
        <v>1</v>
      </c>
      <c r="AO58" s="4">
        <f t="shared" si="345"/>
        <v>0</v>
      </c>
      <c r="AP58" s="4">
        <f t="shared" si="345"/>
        <v>0</v>
      </c>
      <c r="AQ58" s="4">
        <f t="shared" si="345"/>
        <v>0</v>
      </c>
      <c r="AR58" s="4">
        <f t="shared" si="345"/>
        <v>0</v>
      </c>
      <c r="AS58" s="4">
        <f t="shared" si="345"/>
        <v>0</v>
      </c>
      <c r="AU58" s="1" t="s">
        <v>47</v>
      </c>
      <c r="AV58" s="1">
        <f t="shared" si="7"/>
        <v>1</v>
      </c>
      <c r="AW58" s="1">
        <f t="shared" si="8"/>
        <v>0</v>
      </c>
      <c r="AX58" s="1">
        <f t="shared" si="9"/>
        <v>0</v>
      </c>
      <c r="AY58" s="1" t="s">
        <v>48</v>
      </c>
      <c r="BA58" s="1" t="s">
        <v>484</v>
      </c>
      <c r="BB58" s="4">
        <f t="shared" ref="BB58:BJ58" si="346">IF(ISNUMBER(SEARCH(BB$1,$BA58)), 1, 0)</f>
        <v>0</v>
      </c>
      <c r="BC58" s="4">
        <f t="shared" si="346"/>
        <v>0</v>
      </c>
      <c r="BD58" s="4">
        <f t="shared" si="346"/>
        <v>1</v>
      </c>
      <c r="BE58" s="4">
        <f t="shared" si="346"/>
        <v>0</v>
      </c>
      <c r="BF58" s="4">
        <f t="shared" si="346"/>
        <v>0</v>
      </c>
      <c r="BG58" s="4">
        <f t="shared" si="346"/>
        <v>0</v>
      </c>
      <c r="BH58" s="4">
        <f t="shared" si="346"/>
        <v>1</v>
      </c>
      <c r="BI58" s="4">
        <f t="shared" si="346"/>
        <v>0</v>
      </c>
      <c r="BJ58" s="4">
        <f t="shared" si="346"/>
        <v>0</v>
      </c>
      <c r="BK58" s="4">
        <f t="shared" si="11"/>
        <v>2</v>
      </c>
      <c r="BM58" s="1" t="s">
        <v>166</v>
      </c>
      <c r="BN58" s="1" t="s">
        <v>340</v>
      </c>
      <c r="BO58" s="4">
        <f t="shared" ref="BO58:BU58" si="347">IF(ISNUMBER(SEARCH(BO$1,$BN58)), 1, 0)</f>
        <v>1</v>
      </c>
      <c r="BP58" s="4">
        <f t="shared" si="347"/>
        <v>1</v>
      </c>
      <c r="BQ58" s="4">
        <f t="shared" si="347"/>
        <v>0</v>
      </c>
      <c r="BR58" s="4">
        <f t="shared" si="347"/>
        <v>0</v>
      </c>
      <c r="BS58" s="4">
        <f t="shared" si="347"/>
        <v>0</v>
      </c>
      <c r="BT58" s="4">
        <f t="shared" si="347"/>
        <v>0</v>
      </c>
      <c r="BU58" s="4">
        <f t="shared" si="347"/>
        <v>0</v>
      </c>
      <c r="CX58" s="1" t="s">
        <v>249</v>
      </c>
      <c r="CZ58" s="1" t="s">
        <v>485</v>
      </c>
      <c r="DC58" s="1" t="s">
        <v>180</v>
      </c>
    </row>
    <row r="59" spans="1:107" ht="15.75" customHeight="1" x14ac:dyDescent="0.25">
      <c r="A59" s="1" t="b">
        <v>1</v>
      </c>
      <c r="B59" s="3">
        <v>46167.020335648151</v>
      </c>
      <c r="C59" s="1" t="s">
        <v>669</v>
      </c>
      <c r="D59" s="1" t="s">
        <v>5</v>
      </c>
      <c r="E59" s="4">
        <f t="shared" ref="E59:K59" si="348">IF(ISNUMBER(SEARCH(E$1,$D59)), SEARCH(E$1,$D59), 0)</f>
        <v>0</v>
      </c>
      <c r="F59" s="4">
        <f t="shared" si="348"/>
        <v>1</v>
      </c>
      <c r="G59" s="4">
        <f t="shared" si="348"/>
        <v>0</v>
      </c>
      <c r="H59" s="4">
        <f t="shared" si="348"/>
        <v>0</v>
      </c>
      <c r="I59" s="4">
        <f t="shared" si="348"/>
        <v>0</v>
      </c>
      <c r="J59" s="4">
        <f t="shared" si="348"/>
        <v>0</v>
      </c>
      <c r="K59" s="4">
        <f t="shared" si="348"/>
        <v>0</v>
      </c>
      <c r="L59" s="4">
        <f t="shared" si="1"/>
        <v>1</v>
      </c>
      <c r="N59" s="1" t="s">
        <v>187</v>
      </c>
      <c r="O59" s="4">
        <f t="shared" ref="O59:T59" si="349">IF(ISNUMBER(SEARCH(O$1,$N59)), 1, 0)</f>
        <v>1</v>
      </c>
      <c r="P59" s="4">
        <f t="shared" si="349"/>
        <v>1</v>
      </c>
      <c r="Q59" s="4">
        <f t="shared" si="349"/>
        <v>1</v>
      </c>
      <c r="R59" s="4">
        <f t="shared" si="349"/>
        <v>1</v>
      </c>
      <c r="S59" s="4">
        <f t="shared" si="349"/>
        <v>1</v>
      </c>
      <c r="T59" s="4">
        <f t="shared" si="349"/>
        <v>1</v>
      </c>
      <c r="V59" s="1" t="s">
        <v>25</v>
      </c>
      <c r="W59" s="1" t="str">
        <f t="shared" si="313"/>
        <v>False</v>
      </c>
      <c r="X59" s="1" t="str">
        <f t="shared" si="313"/>
        <v>False</v>
      </c>
      <c r="Y59" s="1" t="str">
        <f t="shared" si="313"/>
        <v>False</v>
      </c>
      <c r="Z59" s="1" t="str">
        <f t="shared" si="313"/>
        <v>True</v>
      </c>
      <c r="AA59" s="1" t="str">
        <f t="shared" si="313"/>
        <v>False</v>
      </c>
      <c r="AB59" s="1" t="s">
        <v>560</v>
      </c>
      <c r="AC59" s="4">
        <f t="shared" ref="AC59:AH59" si="350">IF(ISNUMBER(SEARCH(AC$1,$AB59)), 1, 0)</f>
        <v>1</v>
      </c>
      <c r="AD59" s="4">
        <f t="shared" si="350"/>
        <v>0</v>
      </c>
      <c r="AE59" s="4">
        <f t="shared" si="350"/>
        <v>1</v>
      </c>
      <c r="AF59" s="4">
        <f t="shared" si="350"/>
        <v>0</v>
      </c>
      <c r="AG59" s="4">
        <f t="shared" si="350"/>
        <v>0</v>
      </c>
      <c r="AH59" s="4">
        <f t="shared" si="350"/>
        <v>1</v>
      </c>
      <c r="AI59" s="1">
        <f t="shared" si="5"/>
        <v>3</v>
      </c>
      <c r="AK59" s="1" t="s">
        <v>288</v>
      </c>
      <c r="AL59" s="4">
        <f t="shared" ref="AL59:AS59" si="351">IF(ISNUMBER(SEARCH(AL$1,$AK59)), 1, 0)</f>
        <v>0</v>
      </c>
      <c r="AM59" s="4">
        <f t="shared" si="351"/>
        <v>1</v>
      </c>
      <c r="AN59" s="4">
        <f t="shared" si="351"/>
        <v>0</v>
      </c>
      <c r="AO59" s="4">
        <f t="shared" si="351"/>
        <v>1</v>
      </c>
      <c r="AP59" s="4">
        <f t="shared" si="351"/>
        <v>0</v>
      </c>
      <c r="AQ59" s="4">
        <f t="shared" si="351"/>
        <v>0</v>
      </c>
      <c r="AR59" s="4">
        <f t="shared" si="351"/>
        <v>0</v>
      </c>
      <c r="AS59" s="4">
        <f t="shared" si="351"/>
        <v>0</v>
      </c>
      <c r="AU59" s="1" t="s">
        <v>48</v>
      </c>
      <c r="AV59" s="1">
        <f t="shared" si="7"/>
        <v>0</v>
      </c>
      <c r="AW59" s="1">
        <f t="shared" si="8"/>
        <v>1</v>
      </c>
      <c r="AX59" s="1">
        <f t="shared" si="9"/>
        <v>0</v>
      </c>
      <c r="AY59" s="1" t="s">
        <v>48</v>
      </c>
      <c r="BA59" s="1" t="s">
        <v>231</v>
      </c>
      <c r="BB59" s="4">
        <f t="shared" ref="BB59:BJ59" si="352">IF(ISNUMBER(SEARCH(BB$1,$BA59)), 1, 0)</f>
        <v>1</v>
      </c>
      <c r="BC59" s="4">
        <f t="shared" si="352"/>
        <v>1</v>
      </c>
      <c r="BD59" s="4">
        <f t="shared" si="352"/>
        <v>1</v>
      </c>
      <c r="BE59" s="4">
        <f t="shared" si="352"/>
        <v>1</v>
      </c>
      <c r="BF59" s="4">
        <f t="shared" si="352"/>
        <v>1</v>
      </c>
      <c r="BG59" s="4">
        <f t="shared" si="352"/>
        <v>1</v>
      </c>
      <c r="BH59" s="4">
        <f t="shared" si="352"/>
        <v>0</v>
      </c>
      <c r="BI59" s="4">
        <f t="shared" si="352"/>
        <v>0</v>
      </c>
      <c r="BJ59" s="4">
        <f t="shared" si="352"/>
        <v>1</v>
      </c>
      <c r="BK59" s="4">
        <f t="shared" si="11"/>
        <v>7</v>
      </c>
      <c r="BM59" s="1" t="s">
        <v>166</v>
      </c>
      <c r="BN59" s="1" t="s">
        <v>404</v>
      </c>
      <c r="BO59" s="4">
        <f t="shared" ref="BO59:BU59" si="353">IF(ISNUMBER(SEARCH(BO$1,$BN59)), 1, 0)</f>
        <v>0</v>
      </c>
      <c r="BP59" s="4">
        <f t="shared" si="353"/>
        <v>0</v>
      </c>
      <c r="BQ59" s="4">
        <f t="shared" si="353"/>
        <v>0</v>
      </c>
      <c r="BR59" s="4">
        <f t="shared" si="353"/>
        <v>0</v>
      </c>
      <c r="BS59" s="4">
        <f t="shared" si="353"/>
        <v>0</v>
      </c>
      <c r="BT59" s="4">
        <f t="shared" si="353"/>
        <v>0</v>
      </c>
      <c r="BU59" s="4">
        <f t="shared" si="353"/>
        <v>0</v>
      </c>
      <c r="BV59" s="1" t="s">
        <v>670</v>
      </c>
      <c r="BW59" s="1" t="s">
        <v>212</v>
      </c>
      <c r="CX59" s="1" t="s">
        <v>671</v>
      </c>
      <c r="CY59" s="1" t="s">
        <v>672</v>
      </c>
      <c r="CZ59" s="1" t="s">
        <v>250</v>
      </c>
      <c r="DB59" s="1" t="s">
        <v>673</v>
      </c>
      <c r="DC59" s="1" t="s">
        <v>180</v>
      </c>
    </row>
    <row r="60" spans="1:107" ht="15.75" customHeight="1" x14ac:dyDescent="0.25">
      <c r="A60" s="1" t="b">
        <v>0</v>
      </c>
      <c r="B60" s="3">
        <v>46170.840462962966</v>
      </c>
      <c r="C60" s="1" t="s">
        <v>767</v>
      </c>
      <c r="D60" s="1" t="s">
        <v>5</v>
      </c>
      <c r="E60" s="4">
        <f t="shared" ref="E60:K60" si="354">IF(ISNUMBER(SEARCH(E$1,$D60)), SEARCH(E$1,$D60), 0)</f>
        <v>0</v>
      </c>
      <c r="F60" s="4">
        <f t="shared" si="354"/>
        <v>1</v>
      </c>
      <c r="G60" s="4">
        <f t="shared" si="354"/>
        <v>0</v>
      </c>
      <c r="H60" s="4">
        <f t="shared" si="354"/>
        <v>0</v>
      </c>
      <c r="I60" s="4">
        <f t="shared" si="354"/>
        <v>0</v>
      </c>
      <c r="J60" s="4">
        <f t="shared" si="354"/>
        <v>0</v>
      </c>
      <c r="K60" s="4">
        <f t="shared" si="354"/>
        <v>0</v>
      </c>
      <c r="L60" s="4">
        <f t="shared" si="1"/>
        <v>1</v>
      </c>
      <c r="N60" s="1" t="s">
        <v>739</v>
      </c>
      <c r="O60" s="4">
        <f t="shared" ref="O60:T60" si="355">IF(ISNUMBER(SEARCH(O$1,$N60)), 1, 0)</f>
        <v>0</v>
      </c>
      <c r="P60" s="4">
        <f t="shared" si="355"/>
        <v>0</v>
      </c>
      <c r="Q60" s="4">
        <f t="shared" si="355"/>
        <v>1</v>
      </c>
      <c r="R60" s="4">
        <f t="shared" si="355"/>
        <v>1</v>
      </c>
      <c r="S60" s="4">
        <f t="shared" si="355"/>
        <v>0</v>
      </c>
      <c r="T60" s="4">
        <f t="shared" si="355"/>
        <v>0</v>
      </c>
      <c r="W60" s="1" t="str">
        <f t="shared" si="313"/>
        <v>False</v>
      </c>
      <c r="X60" s="1" t="str">
        <f t="shared" si="313"/>
        <v>False</v>
      </c>
      <c r="Y60" s="1" t="str">
        <f t="shared" si="313"/>
        <v>False</v>
      </c>
      <c r="Z60" s="1" t="str">
        <f t="shared" si="313"/>
        <v>False</v>
      </c>
      <c r="AA60" s="1" t="str">
        <f t="shared" si="313"/>
        <v>False</v>
      </c>
      <c r="AC60" s="4">
        <f t="shared" ref="AC60:AH60" si="356">IF(ISNUMBER(SEARCH(AC$1,$AB60)), 1, 0)</f>
        <v>0</v>
      </c>
      <c r="AD60" s="4">
        <f t="shared" si="356"/>
        <v>0</v>
      </c>
      <c r="AE60" s="4">
        <f t="shared" si="356"/>
        <v>0</v>
      </c>
      <c r="AF60" s="4">
        <f t="shared" si="356"/>
        <v>0</v>
      </c>
      <c r="AG60" s="4">
        <f t="shared" si="356"/>
        <v>0</v>
      </c>
      <c r="AH60" s="4">
        <f t="shared" si="356"/>
        <v>0</v>
      </c>
      <c r="AI60" s="1">
        <f t="shared" si="5"/>
        <v>0</v>
      </c>
      <c r="AL60" s="4">
        <f t="shared" ref="AL60:AS60" si="357">IF(ISNUMBER(SEARCH(AL$1,$AK60)), 1, 0)</f>
        <v>0</v>
      </c>
      <c r="AM60" s="4">
        <f t="shared" si="357"/>
        <v>0</v>
      </c>
      <c r="AN60" s="4">
        <f t="shared" si="357"/>
        <v>0</v>
      </c>
      <c r="AO60" s="4">
        <f t="shared" si="357"/>
        <v>0</v>
      </c>
      <c r="AP60" s="4">
        <f t="shared" si="357"/>
        <v>0</v>
      </c>
      <c r="AQ60" s="4">
        <f t="shared" si="357"/>
        <v>0</v>
      </c>
      <c r="AR60" s="4">
        <f t="shared" si="357"/>
        <v>0</v>
      </c>
      <c r="AS60" s="4">
        <f t="shared" si="357"/>
        <v>0</v>
      </c>
      <c r="AV60" s="1">
        <f t="shared" si="7"/>
        <v>0</v>
      </c>
      <c r="AW60" s="1">
        <f t="shared" si="8"/>
        <v>0</v>
      </c>
      <c r="AX60" s="1">
        <f t="shared" si="9"/>
        <v>0</v>
      </c>
      <c r="BB60" s="4">
        <f t="shared" ref="BB60:BJ60" si="358">IF(ISNUMBER(SEARCH(BB$1,$BA60)), 1, 0)</f>
        <v>0</v>
      </c>
      <c r="BC60" s="4">
        <f t="shared" si="358"/>
        <v>0</v>
      </c>
      <c r="BD60" s="4">
        <f t="shared" si="358"/>
        <v>0</v>
      </c>
      <c r="BE60" s="4">
        <f t="shared" si="358"/>
        <v>0</v>
      </c>
      <c r="BF60" s="4">
        <f t="shared" si="358"/>
        <v>0</v>
      </c>
      <c r="BG60" s="4">
        <f t="shared" si="358"/>
        <v>0</v>
      </c>
      <c r="BH60" s="4">
        <f t="shared" si="358"/>
        <v>0</v>
      </c>
      <c r="BI60" s="4">
        <f t="shared" si="358"/>
        <v>0</v>
      </c>
      <c r="BJ60" s="4">
        <f t="shared" si="358"/>
        <v>0</v>
      </c>
      <c r="BK60" s="4">
        <f t="shared" si="11"/>
        <v>0</v>
      </c>
      <c r="BO60" s="4">
        <f t="shared" ref="BO60:BU60" si="359">IF(ISNUMBER(SEARCH(BO$1,$BN60)), 1, 0)</f>
        <v>0</v>
      </c>
      <c r="BP60" s="4">
        <f t="shared" si="359"/>
        <v>0</v>
      </c>
      <c r="BQ60" s="4">
        <f t="shared" si="359"/>
        <v>0</v>
      </c>
      <c r="BR60" s="4">
        <f t="shared" si="359"/>
        <v>0</v>
      </c>
      <c r="BS60" s="4">
        <f t="shared" si="359"/>
        <v>0</v>
      </c>
      <c r="BT60" s="4">
        <f t="shared" si="359"/>
        <v>0</v>
      </c>
      <c r="BU60" s="4">
        <f t="shared" si="359"/>
        <v>0</v>
      </c>
    </row>
    <row r="61" spans="1:107" ht="15.75" customHeight="1" x14ac:dyDescent="0.25">
      <c r="A61" s="1" t="b">
        <v>1</v>
      </c>
      <c r="B61" s="3">
        <v>46159.038958333331</v>
      </c>
      <c r="C61" s="1" t="s">
        <v>393</v>
      </c>
      <c r="D61" s="1" t="s">
        <v>394</v>
      </c>
      <c r="E61" s="4">
        <f t="shared" ref="E61:K61" si="360">IF(ISNUMBER(SEARCH(E$1,$D61)), SEARCH(E$1,$D61), 0)</f>
        <v>1</v>
      </c>
      <c r="F61" s="4">
        <f t="shared" si="360"/>
        <v>0</v>
      </c>
      <c r="G61" s="4">
        <f t="shared" si="360"/>
        <v>30</v>
      </c>
      <c r="H61" s="4">
        <f t="shared" si="360"/>
        <v>0</v>
      </c>
      <c r="I61" s="4">
        <f t="shared" si="360"/>
        <v>0</v>
      </c>
      <c r="J61" s="4">
        <f t="shared" si="360"/>
        <v>0</v>
      </c>
      <c r="K61" s="4">
        <f t="shared" si="360"/>
        <v>86</v>
      </c>
      <c r="L61" s="4">
        <f t="shared" si="1"/>
        <v>86</v>
      </c>
      <c r="N61" s="1" t="s">
        <v>328</v>
      </c>
      <c r="O61" s="4">
        <f t="shared" ref="O61:T61" si="361">IF(ISNUMBER(SEARCH(O$1,$N61)), 1, 0)</f>
        <v>1</v>
      </c>
      <c r="P61" s="4">
        <f t="shared" si="361"/>
        <v>1</v>
      </c>
      <c r="Q61" s="4">
        <f t="shared" si="361"/>
        <v>1</v>
      </c>
      <c r="R61" s="4">
        <f t="shared" si="361"/>
        <v>0</v>
      </c>
      <c r="S61" s="4">
        <f t="shared" si="361"/>
        <v>0</v>
      </c>
      <c r="T61" s="4">
        <f t="shared" si="361"/>
        <v>0</v>
      </c>
      <c r="V61" s="1" t="s">
        <v>25</v>
      </c>
      <c r="W61" s="1" t="str">
        <f t="shared" si="313"/>
        <v>False</v>
      </c>
      <c r="X61" s="1" t="str">
        <f t="shared" si="313"/>
        <v>False</v>
      </c>
      <c r="Y61" s="1" t="str">
        <f t="shared" si="313"/>
        <v>False</v>
      </c>
      <c r="Z61" s="1" t="str">
        <f t="shared" si="313"/>
        <v>True</v>
      </c>
      <c r="AA61" s="1" t="str">
        <f t="shared" si="313"/>
        <v>False</v>
      </c>
      <c r="AB61" s="1" t="s">
        <v>395</v>
      </c>
      <c r="AC61" s="4">
        <f t="shared" ref="AC61:AH61" si="362">IF(ISNUMBER(SEARCH(AC$1,$AB61)), 1, 0)</f>
        <v>1</v>
      </c>
      <c r="AD61" s="4">
        <f t="shared" si="362"/>
        <v>1</v>
      </c>
      <c r="AE61" s="4">
        <f t="shared" si="362"/>
        <v>1</v>
      </c>
      <c r="AF61" s="4">
        <f t="shared" si="362"/>
        <v>0</v>
      </c>
      <c r="AG61" s="4">
        <f t="shared" si="362"/>
        <v>1</v>
      </c>
      <c r="AH61" s="4">
        <f t="shared" si="362"/>
        <v>1</v>
      </c>
      <c r="AI61" s="1">
        <f t="shared" si="5"/>
        <v>5</v>
      </c>
      <c r="AK61" s="1" t="s">
        <v>396</v>
      </c>
      <c r="AL61" s="4">
        <f t="shared" ref="AL61:AS61" si="363">IF(ISNUMBER(SEARCH(AL$1,$AK61)), 1, 0)</f>
        <v>0</v>
      </c>
      <c r="AM61" s="4">
        <f t="shared" si="363"/>
        <v>1</v>
      </c>
      <c r="AN61" s="4">
        <f t="shared" si="363"/>
        <v>1</v>
      </c>
      <c r="AO61" s="4">
        <f t="shared" si="363"/>
        <v>0</v>
      </c>
      <c r="AP61" s="4">
        <f t="shared" si="363"/>
        <v>1</v>
      </c>
      <c r="AQ61" s="4">
        <f t="shared" si="363"/>
        <v>1</v>
      </c>
      <c r="AR61" s="4">
        <f t="shared" si="363"/>
        <v>0</v>
      </c>
      <c r="AS61" s="4">
        <f t="shared" si="363"/>
        <v>0</v>
      </c>
      <c r="AU61" s="1" t="s">
        <v>47</v>
      </c>
      <c r="AV61" s="1">
        <f t="shared" si="7"/>
        <v>1</v>
      </c>
      <c r="AW61" s="1">
        <f t="shared" si="8"/>
        <v>0</v>
      </c>
      <c r="AX61" s="1">
        <f t="shared" si="9"/>
        <v>0</v>
      </c>
      <c r="AY61" s="1" t="s">
        <v>48</v>
      </c>
      <c r="BA61" s="1" t="s">
        <v>397</v>
      </c>
      <c r="BB61" s="4">
        <f t="shared" ref="BB61:BJ61" si="364">IF(ISNUMBER(SEARCH(BB$1,$BA61)), 1, 0)</f>
        <v>1</v>
      </c>
      <c r="BC61" s="4">
        <f t="shared" si="364"/>
        <v>1</v>
      </c>
      <c r="BD61" s="4">
        <f t="shared" si="364"/>
        <v>1</v>
      </c>
      <c r="BE61" s="4">
        <f t="shared" si="364"/>
        <v>1</v>
      </c>
      <c r="BF61" s="4">
        <f t="shared" si="364"/>
        <v>1</v>
      </c>
      <c r="BG61" s="4">
        <f t="shared" si="364"/>
        <v>0</v>
      </c>
      <c r="BH61" s="4">
        <f t="shared" si="364"/>
        <v>0</v>
      </c>
      <c r="BI61" s="4">
        <f t="shared" si="364"/>
        <v>0</v>
      </c>
      <c r="BJ61" s="4">
        <f t="shared" si="364"/>
        <v>0</v>
      </c>
      <c r="BK61" s="4">
        <f t="shared" si="11"/>
        <v>5</v>
      </c>
      <c r="BM61" s="1" t="s">
        <v>166</v>
      </c>
      <c r="BN61" s="1" t="s">
        <v>398</v>
      </c>
      <c r="BO61" s="4">
        <f t="shared" ref="BO61:BU61" si="365">IF(ISNUMBER(SEARCH(BO$1,$BN61)), 1, 0)</f>
        <v>1</v>
      </c>
      <c r="BP61" s="4">
        <f t="shared" si="365"/>
        <v>1</v>
      </c>
      <c r="BQ61" s="4">
        <f t="shared" si="365"/>
        <v>1</v>
      </c>
      <c r="BR61" s="4">
        <f t="shared" si="365"/>
        <v>1</v>
      </c>
      <c r="BS61" s="4">
        <f t="shared" si="365"/>
        <v>1</v>
      </c>
      <c r="BT61" s="4">
        <f t="shared" si="365"/>
        <v>0</v>
      </c>
      <c r="BU61" s="4">
        <f t="shared" si="365"/>
        <v>0</v>
      </c>
      <c r="CM61" s="1" t="s">
        <v>49</v>
      </c>
      <c r="CU61" s="1" t="s">
        <v>399</v>
      </c>
      <c r="DC61" s="1" t="s">
        <v>238</v>
      </c>
    </row>
    <row r="62" spans="1:107" ht="15.75" customHeight="1" x14ac:dyDescent="0.25">
      <c r="A62" s="1" t="b">
        <v>0</v>
      </c>
      <c r="B62" s="3">
        <v>46152.736087962963</v>
      </c>
      <c r="C62" s="1" t="s">
        <v>301</v>
      </c>
      <c r="D62" s="1" t="s">
        <v>302</v>
      </c>
      <c r="E62" s="4">
        <f t="shared" ref="E62:K62" si="366">IF(ISNUMBER(SEARCH(E$1,$D62)), SEARCH(E$1,$D62), 0)</f>
        <v>1</v>
      </c>
      <c r="F62" s="4">
        <f t="shared" si="366"/>
        <v>0</v>
      </c>
      <c r="G62" s="4">
        <f t="shared" si="366"/>
        <v>30</v>
      </c>
      <c r="H62" s="4">
        <f t="shared" si="366"/>
        <v>0</v>
      </c>
      <c r="I62" s="4">
        <f t="shared" si="366"/>
        <v>0</v>
      </c>
      <c r="J62" s="4">
        <f t="shared" si="366"/>
        <v>0</v>
      </c>
      <c r="K62" s="4">
        <f t="shared" si="366"/>
        <v>0</v>
      </c>
      <c r="L62" s="4">
        <f t="shared" si="1"/>
        <v>30</v>
      </c>
      <c r="N62" s="1" t="s">
        <v>222</v>
      </c>
      <c r="O62" s="4">
        <f t="shared" ref="O62:T62" si="367">IF(ISNUMBER(SEARCH(O$1,$N62)), 1, 0)</f>
        <v>0</v>
      </c>
      <c r="P62" s="4">
        <f t="shared" si="367"/>
        <v>1</v>
      </c>
      <c r="Q62" s="4">
        <f t="shared" si="367"/>
        <v>0</v>
      </c>
      <c r="R62" s="4">
        <f t="shared" si="367"/>
        <v>1</v>
      </c>
      <c r="S62" s="4">
        <f t="shared" si="367"/>
        <v>0</v>
      </c>
      <c r="T62" s="4">
        <f t="shared" si="367"/>
        <v>0</v>
      </c>
      <c r="W62" s="1" t="str">
        <f t="shared" si="313"/>
        <v>False</v>
      </c>
      <c r="X62" s="1" t="str">
        <f t="shared" si="313"/>
        <v>False</v>
      </c>
      <c r="Y62" s="1" t="str">
        <f t="shared" si="313"/>
        <v>False</v>
      </c>
      <c r="Z62" s="1" t="str">
        <f t="shared" si="313"/>
        <v>False</v>
      </c>
      <c r="AA62" s="1" t="str">
        <f t="shared" si="313"/>
        <v>False</v>
      </c>
      <c r="AC62" s="4">
        <f t="shared" ref="AC62:AH62" si="368">IF(ISNUMBER(SEARCH(AC$1,$AB62)), 1, 0)</f>
        <v>0</v>
      </c>
      <c r="AD62" s="4">
        <f t="shared" si="368"/>
        <v>0</v>
      </c>
      <c r="AE62" s="4">
        <f t="shared" si="368"/>
        <v>0</v>
      </c>
      <c r="AF62" s="4">
        <f t="shared" si="368"/>
        <v>0</v>
      </c>
      <c r="AG62" s="4">
        <f t="shared" si="368"/>
        <v>0</v>
      </c>
      <c r="AH62" s="4">
        <f t="shared" si="368"/>
        <v>0</v>
      </c>
      <c r="AI62" s="1">
        <f t="shared" si="5"/>
        <v>0</v>
      </c>
      <c r="AL62" s="4">
        <f t="shared" ref="AL62:AS62" si="369">IF(ISNUMBER(SEARCH(AL$1,$AK62)), 1, 0)</f>
        <v>0</v>
      </c>
      <c r="AM62" s="4">
        <f t="shared" si="369"/>
        <v>0</v>
      </c>
      <c r="AN62" s="4">
        <f t="shared" si="369"/>
        <v>0</v>
      </c>
      <c r="AO62" s="4">
        <f t="shared" si="369"/>
        <v>0</v>
      </c>
      <c r="AP62" s="4">
        <f t="shared" si="369"/>
        <v>0</v>
      </c>
      <c r="AQ62" s="4">
        <f t="shared" si="369"/>
        <v>0</v>
      </c>
      <c r="AR62" s="4">
        <f t="shared" si="369"/>
        <v>0</v>
      </c>
      <c r="AS62" s="4">
        <f t="shared" si="369"/>
        <v>0</v>
      </c>
      <c r="AV62" s="1">
        <f t="shared" si="7"/>
        <v>0</v>
      </c>
      <c r="AW62" s="1">
        <f t="shared" si="8"/>
        <v>0</v>
      </c>
      <c r="AX62" s="1">
        <f t="shared" si="9"/>
        <v>0</v>
      </c>
      <c r="BB62" s="4">
        <f t="shared" ref="BB62:BJ62" si="370">IF(ISNUMBER(SEARCH(BB$1,$BA62)), 1, 0)</f>
        <v>0</v>
      </c>
      <c r="BC62" s="4">
        <f t="shared" si="370"/>
        <v>0</v>
      </c>
      <c r="BD62" s="4">
        <f t="shared" si="370"/>
        <v>0</v>
      </c>
      <c r="BE62" s="4">
        <f t="shared" si="370"/>
        <v>0</v>
      </c>
      <c r="BF62" s="4">
        <f t="shared" si="370"/>
        <v>0</v>
      </c>
      <c r="BG62" s="4">
        <f t="shared" si="370"/>
        <v>0</v>
      </c>
      <c r="BH62" s="4">
        <f t="shared" si="370"/>
        <v>0</v>
      </c>
      <c r="BI62" s="4">
        <f t="shared" si="370"/>
        <v>0</v>
      </c>
      <c r="BJ62" s="4">
        <f t="shared" si="370"/>
        <v>0</v>
      </c>
      <c r="BK62" s="4">
        <f t="shared" si="11"/>
        <v>0</v>
      </c>
      <c r="BO62" s="4">
        <f t="shared" ref="BO62:BU62" si="371">IF(ISNUMBER(SEARCH(BO$1,$BN62)), 1, 0)</f>
        <v>0</v>
      </c>
      <c r="BP62" s="4">
        <f t="shared" si="371"/>
        <v>0</v>
      </c>
      <c r="BQ62" s="4">
        <f t="shared" si="371"/>
        <v>0</v>
      </c>
      <c r="BR62" s="4">
        <f t="shared" si="371"/>
        <v>0</v>
      </c>
      <c r="BS62" s="4">
        <f t="shared" si="371"/>
        <v>0</v>
      </c>
      <c r="BT62" s="4">
        <f t="shared" si="371"/>
        <v>0</v>
      </c>
      <c r="BU62" s="4">
        <f t="shared" si="371"/>
        <v>0</v>
      </c>
    </row>
    <row r="63" spans="1:107" ht="15.75" customHeight="1" x14ac:dyDescent="0.25">
      <c r="A63" s="1" t="b">
        <v>0</v>
      </c>
      <c r="B63" s="3">
        <v>46167.593252314815</v>
      </c>
      <c r="C63" s="1" t="s">
        <v>701</v>
      </c>
      <c r="D63" s="1" t="s">
        <v>702</v>
      </c>
      <c r="E63" s="4">
        <f t="shared" ref="E63:K63" si="372">IF(ISNUMBER(SEARCH(E$1,$D63)), SEARCH(E$1,$D63), 0)</f>
        <v>1</v>
      </c>
      <c r="F63" s="4">
        <f t="shared" si="372"/>
        <v>0</v>
      </c>
      <c r="G63" s="4">
        <f t="shared" si="372"/>
        <v>30</v>
      </c>
      <c r="H63" s="4">
        <f t="shared" si="372"/>
        <v>0</v>
      </c>
      <c r="I63" s="4">
        <f t="shared" si="372"/>
        <v>0</v>
      </c>
      <c r="J63" s="4">
        <f t="shared" si="372"/>
        <v>86</v>
      </c>
      <c r="K63" s="4">
        <f t="shared" si="372"/>
        <v>0</v>
      </c>
      <c r="L63" s="4">
        <f t="shared" si="1"/>
        <v>86</v>
      </c>
      <c r="N63" s="1" t="s">
        <v>316</v>
      </c>
      <c r="O63" s="4">
        <f t="shared" ref="O63:T63" si="373">IF(ISNUMBER(SEARCH(O$1,$N63)), 1, 0)</f>
        <v>1</v>
      </c>
      <c r="P63" s="4">
        <f t="shared" si="373"/>
        <v>0</v>
      </c>
      <c r="Q63" s="4">
        <f t="shared" si="373"/>
        <v>1</v>
      </c>
      <c r="R63" s="4">
        <f t="shared" si="373"/>
        <v>0</v>
      </c>
      <c r="S63" s="4">
        <f t="shared" si="373"/>
        <v>0</v>
      </c>
      <c r="T63" s="4">
        <f t="shared" si="373"/>
        <v>0</v>
      </c>
      <c r="W63" s="1" t="str">
        <f t="shared" ref="W63:AA72" si="374">IF(W$1=$V63, "True", "False")</f>
        <v>False</v>
      </c>
      <c r="X63" s="1" t="str">
        <f t="shared" si="374"/>
        <v>False</v>
      </c>
      <c r="Y63" s="1" t="str">
        <f t="shared" si="374"/>
        <v>False</v>
      </c>
      <c r="Z63" s="1" t="str">
        <f t="shared" si="374"/>
        <v>False</v>
      </c>
      <c r="AA63" s="1" t="str">
        <f t="shared" si="374"/>
        <v>False</v>
      </c>
      <c r="AC63" s="4">
        <f t="shared" ref="AC63:AH63" si="375">IF(ISNUMBER(SEARCH(AC$1,$AB63)), 1, 0)</f>
        <v>0</v>
      </c>
      <c r="AD63" s="4">
        <f t="shared" si="375"/>
        <v>0</v>
      </c>
      <c r="AE63" s="4">
        <f t="shared" si="375"/>
        <v>0</v>
      </c>
      <c r="AF63" s="4">
        <f t="shared" si="375"/>
        <v>0</v>
      </c>
      <c r="AG63" s="4">
        <f t="shared" si="375"/>
        <v>0</v>
      </c>
      <c r="AH63" s="4">
        <f t="shared" si="375"/>
        <v>0</v>
      </c>
      <c r="AI63" s="1">
        <f t="shared" si="5"/>
        <v>0</v>
      </c>
      <c r="AL63" s="4">
        <f t="shared" ref="AL63:AS63" si="376">IF(ISNUMBER(SEARCH(AL$1,$AK63)), 1, 0)</f>
        <v>0</v>
      </c>
      <c r="AM63" s="4">
        <f t="shared" si="376"/>
        <v>0</v>
      </c>
      <c r="AN63" s="4">
        <f t="shared" si="376"/>
        <v>0</v>
      </c>
      <c r="AO63" s="4">
        <f t="shared" si="376"/>
        <v>0</v>
      </c>
      <c r="AP63" s="4">
        <f t="shared" si="376"/>
        <v>0</v>
      </c>
      <c r="AQ63" s="4">
        <f t="shared" si="376"/>
        <v>0</v>
      </c>
      <c r="AR63" s="4">
        <f t="shared" si="376"/>
        <v>0</v>
      </c>
      <c r="AS63" s="4">
        <f t="shared" si="376"/>
        <v>0</v>
      </c>
      <c r="AV63" s="1">
        <f t="shared" si="7"/>
        <v>0</v>
      </c>
      <c r="AW63" s="1">
        <f t="shared" si="8"/>
        <v>0</v>
      </c>
      <c r="AX63" s="1">
        <f t="shared" si="9"/>
        <v>0</v>
      </c>
      <c r="BB63" s="4">
        <f t="shared" ref="BB63:BJ63" si="377">IF(ISNUMBER(SEARCH(BB$1,$BA63)), 1, 0)</f>
        <v>0</v>
      </c>
      <c r="BC63" s="4">
        <f t="shared" si="377"/>
        <v>0</v>
      </c>
      <c r="BD63" s="4">
        <f t="shared" si="377"/>
        <v>0</v>
      </c>
      <c r="BE63" s="4">
        <f t="shared" si="377"/>
        <v>0</v>
      </c>
      <c r="BF63" s="4">
        <f t="shared" si="377"/>
        <v>0</v>
      </c>
      <c r="BG63" s="4">
        <f t="shared" si="377"/>
        <v>0</v>
      </c>
      <c r="BH63" s="4">
        <f t="shared" si="377"/>
        <v>0</v>
      </c>
      <c r="BI63" s="4">
        <f t="shared" si="377"/>
        <v>0</v>
      </c>
      <c r="BJ63" s="4">
        <f t="shared" si="377"/>
        <v>0</v>
      </c>
      <c r="BK63" s="4">
        <f t="shared" si="11"/>
        <v>0</v>
      </c>
      <c r="BO63" s="4">
        <f t="shared" ref="BO63:BU63" si="378">IF(ISNUMBER(SEARCH(BO$1,$BN63)), 1, 0)</f>
        <v>0</v>
      </c>
      <c r="BP63" s="4">
        <f t="shared" si="378"/>
        <v>0</v>
      </c>
      <c r="BQ63" s="4">
        <f t="shared" si="378"/>
        <v>0</v>
      </c>
      <c r="BR63" s="4">
        <f t="shared" si="378"/>
        <v>0</v>
      </c>
      <c r="BS63" s="4">
        <f t="shared" si="378"/>
        <v>0</v>
      </c>
      <c r="BT63" s="4">
        <f t="shared" si="378"/>
        <v>0</v>
      </c>
      <c r="BU63" s="4">
        <f t="shared" si="378"/>
        <v>0</v>
      </c>
    </row>
    <row r="64" spans="1:107" ht="15.75" customHeight="1" x14ac:dyDescent="0.25">
      <c r="A64" s="1" t="b">
        <v>1</v>
      </c>
      <c r="B64" s="3">
        <v>46158.319027777776</v>
      </c>
      <c r="C64" s="1" t="s">
        <v>383</v>
      </c>
      <c r="D64" s="1" t="s">
        <v>384</v>
      </c>
      <c r="E64" s="4">
        <f t="shared" ref="E64:K64" si="379">IF(ISNUMBER(SEARCH(E$1,$D64)), SEARCH(E$1,$D64), 0)</f>
        <v>1</v>
      </c>
      <c r="F64" s="4">
        <f t="shared" si="379"/>
        <v>0</v>
      </c>
      <c r="G64" s="4">
        <f t="shared" si="379"/>
        <v>30</v>
      </c>
      <c r="H64" s="4">
        <f t="shared" si="379"/>
        <v>86</v>
      </c>
      <c r="I64" s="4">
        <f t="shared" si="379"/>
        <v>0</v>
      </c>
      <c r="J64" s="4">
        <f t="shared" si="379"/>
        <v>0</v>
      </c>
      <c r="K64" s="4">
        <f t="shared" si="379"/>
        <v>0</v>
      </c>
      <c r="L64" s="4">
        <f t="shared" si="1"/>
        <v>86</v>
      </c>
      <c r="N64" s="1" t="s">
        <v>385</v>
      </c>
      <c r="O64" s="4">
        <f t="shared" ref="O64:T64" si="380">IF(ISNUMBER(SEARCH(O$1,$N64)), 1, 0)</f>
        <v>1</v>
      </c>
      <c r="P64" s="4">
        <f t="shared" si="380"/>
        <v>1</v>
      </c>
      <c r="Q64" s="4">
        <f t="shared" si="380"/>
        <v>0</v>
      </c>
      <c r="R64" s="4">
        <f t="shared" si="380"/>
        <v>1</v>
      </c>
      <c r="S64" s="4">
        <f t="shared" si="380"/>
        <v>1</v>
      </c>
      <c r="T64" s="4">
        <f t="shared" si="380"/>
        <v>0</v>
      </c>
      <c r="V64" s="1" t="s">
        <v>24</v>
      </c>
      <c r="W64" s="1" t="str">
        <f t="shared" si="374"/>
        <v>False</v>
      </c>
      <c r="X64" s="1" t="str">
        <f t="shared" si="374"/>
        <v>False</v>
      </c>
      <c r="Y64" s="1" t="str">
        <f t="shared" si="374"/>
        <v>True</v>
      </c>
      <c r="Z64" s="1" t="str">
        <f t="shared" si="374"/>
        <v>False</v>
      </c>
      <c r="AA64" s="1" t="str">
        <f t="shared" si="374"/>
        <v>False</v>
      </c>
      <c r="AB64" s="1" t="s">
        <v>28</v>
      </c>
      <c r="AC64" s="4">
        <f t="shared" ref="AC64:AH64" si="381">IF(ISNUMBER(SEARCH(AC$1,$AB64)), 1, 0)</f>
        <v>1</v>
      </c>
      <c r="AD64" s="4">
        <f t="shared" si="381"/>
        <v>0</v>
      </c>
      <c r="AE64" s="4">
        <f t="shared" si="381"/>
        <v>0</v>
      </c>
      <c r="AF64" s="4">
        <f t="shared" si="381"/>
        <v>0</v>
      </c>
      <c r="AG64" s="4">
        <f t="shared" si="381"/>
        <v>0</v>
      </c>
      <c r="AH64" s="4">
        <f t="shared" si="381"/>
        <v>0</v>
      </c>
      <c r="AI64" s="1">
        <f t="shared" si="5"/>
        <v>1</v>
      </c>
      <c r="AK64" s="1" t="s">
        <v>38</v>
      </c>
      <c r="AL64" s="4">
        <f t="shared" ref="AL64:AS64" si="382">IF(ISNUMBER(SEARCH(AL$1,$AK64)), 1, 0)</f>
        <v>0</v>
      </c>
      <c r="AM64" s="4">
        <f t="shared" si="382"/>
        <v>1</v>
      </c>
      <c r="AN64" s="4">
        <f t="shared" si="382"/>
        <v>0</v>
      </c>
      <c r="AO64" s="4">
        <f t="shared" si="382"/>
        <v>0</v>
      </c>
      <c r="AP64" s="4">
        <f t="shared" si="382"/>
        <v>0</v>
      </c>
      <c r="AQ64" s="4">
        <f t="shared" si="382"/>
        <v>0</v>
      </c>
      <c r="AR64" s="4">
        <f t="shared" si="382"/>
        <v>0</v>
      </c>
      <c r="AS64" s="4">
        <f t="shared" si="382"/>
        <v>0</v>
      </c>
      <c r="AU64" s="1" t="s">
        <v>48</v>
      </c>
      <c r="AV64" s="1">
        <f t="shared" si="7"/>
        <v>0</v>
      </c>
      <c r="AW64" s="1">
        <f t="shared" si="8"/>
        <v>1</v>
      </c>
      <c r="AX64" s="1">
        <f t="shared" si="9"/>
        <v>0</v>
      </c>
      <c r="AY64" s="1" t="s">
        <v>48</v>
      </c>
      <c r="BA64" s="1" t="s">
        <v>56</v>
      </c>
      <c r="BB64" s="4">
        <f t="shared" ref="BB64:BJ64" si="383">IF(ISNUMBER(SEARCH(BB$1,$BA64)), 1, 0)</f>
        <v>0</v>
      </c>
      <c r="BC64" s="4">
        <f t="shared" si="383"/>
        <v>0</v>
      </c>
      <c r="BD64" s="4">
        <f t="shared" si="383"/>
        <v>0</v>
      </c>
      <c r="BE64" s="4">
        <f t="shared" si="383"/>
        <v>1</v>
      </c>
      <c r="BF64" s="4">
        <f t="shared" si="383"/>
        <v>0</v>
      </c>
      <c r="BG64" s="4">
        <f t="shared" si="383"/>
        <v>0</v>
      </c>
      <c r="BH64" s="4">
        <f t="shared" si="383"/>
        <v>0</v>
      </c>
      <c r="BI64" s="4">
        <f t="shared" si="383"/>
        <v>0</v>
      </c>
      <c r="BJ64" s="4">
        <f t="shared" si="383"/>
        <v>0</v>
      </c>
      <c r="BK64" s="4">
        <f t="shared" si="11"/>
        <v>1</v>
      </c>
      <c r="BM64" s="1" t="s">
        <v>232</v>
      </c>
      <c r="BN64" s="1" t="s">
        <v>386</v>
      </c>
      <c r="BO64" s="4">
        <f t="shared" ref="BO64:BU64" si="384">IF(ISNUMBER(SEARCH(BO$1,$BN64)), 1, 0)</f>
        <v>0</v>
      </c>
      <c r="BP64" s="4">
        <f t="shared" si="384"/>
        <v>1</v>
      </c>
      <c r="BQ64" s="4">
        <f t="shared" si="384"/>
        <v>0</v>
      </c>
      <c r="BR64" s="4">
        <f t="shared" si="384"/>
        <v>0</v>
      </c>
      <c r="BS64" s="4">
        <f t="shared" si="384"/>
        <v>0</v>
      </c>
      <c r="BT64" s="4">
        <f t="shared" si="384"/>
        <v>1</v>
      </c>
      <c r="BU64" s="4">
        <f t="shared" si="384"/>
        <v>0</v>
      </c>
      <c r="BW64" s="1" t="s">
        <v>169</v>
      </c>
      <c r="CB64" s="1" t="s">
        <v>47</v>
      </c>
      <c r="CF64" s="1" t="s">
        <v>387</v>
      </c>
      <c r="CG64" s="1" t="s">
        <v>388</v>
      </c>
      <c r="CU64" s="1" t="s">
        <v>389</v>
      </c>
    </row>
    <row r="65" spans="1:107" ht="15.75" customHeight="1" x14ac:dyDescent="0.25">
      <c r="A65" s="1" t="b">
        <v>0</v>
      </c>
      <c r="B65" s="3">
        <v>46170.117094907408</v>
      </c>
      <c r="C65" s="1" t="s">
        <v>754</v>
      </c>
      <c r="D65" s="1" t="s">
        <v>755</v>
      </c>
      <c r="E65" s="4">
        <f t="shared" ref="E65:K65" si="385">IF(ISNUMBER(SEARCH(E$1,$D65)), SEARCH(E$1,$D65), 0)</f>
        <v>0</v>
      </c>
      <c r="F65" s="4">
        <f t="shared" si="385"/>
        <v>0</v>
      </c>
      <c r="G65" s="4">
        <f t="shared" si="385"/>
        <v>1</v>
      </c>
      <c r="H65" s="4">
        <f t="shared" si="385"/>
        <v>0</v>
      </c>
      <c r="I65" s="4">
        <f t="shared" si="385"/>
        <v>57</v>
      </c>
      <c r="J65" s="4">
        <f t="shared" si="385"/>
        <v>0</v>
      </c>
      <c r="K65" s="4">
        <f t="shared" si="385"/>
        <v>89</v>
      </c>
      <c r="L65" s="4">
        <f t="shared" si="1"/>
        <v>89</v>
      </c>
      <c r="N65" s="1" t="s">
        <v>272</v>
      </c>
      <c r="O65" s="4">
        <f t="shared" ref="O65:T65" si="386">IF(ISNUMBER(SEARCH(O$1,$N65)), 1, 0)</f>
        <v>1</v>
      </c>
      <c r="P65" s="4">
        <f t="shared" si="386"/>
        <v>1</v>
      </c>
      <c r="Q65" s="4">
        <f t="shared" si="386"/>
        <v>1</v>
      </c>
      <c r="R65" s="4">
        <f t="shared" si="386"/>
        <v>1</v>
      </c>
      <c r="S65" s="4">
        <f t="shared" si="386"/>
        <v>1</v>
      </c>
      <c r="T65" s="4">
        <f t="shared" si="386"/>
        <v>0</v>
      </c>
      <c r="W65" s="1" t="str">
        <f t="shared" si="374"/>
        <v>False</v>
      </c>
      <c r="X65" s="1" t="str">
        <f t="shared" si="374"/>
        <v>False</v>
      </c>
      <c r="Y65" s="1" t="str">
        <f t="shared" si="374"/>
        <v>False</v>
      </c>
      <c r="Z65" s="1" t="str">
        <f t="shared" si="374"/>
        <v>False</v>
      </c>
      <c r="AA65" s="1" t="str">
        <f t="shared" si="374"/>
        <v>False</v>
      </c>
      <c r="AB65" s="1" t="s">
        <v>31</v>
      </c>
      <c r="AC65" s="4">
        <f t="shared" ref="AC65:AH65" si="387">IF(ISNUMBER(SEARCH(AC$1,$AB65)), 1, 0)</f>
        <v>0</v>
      </c>
      <c r="AD65" s="4">
        <f t="shared" si="387"/>
        <v>0</v>
      </c>
      <c r="AE65" s="4">
        <f t="shared" si="387"/>
        <v>0</v>
      </c>
      <c r="AF65" s="4">
        <f t="shared" si="387"/>
        <v>1</v>
      </c>
      <c r="AG65" s="4">
        <f t="shared" si="387"/>
        <v>0</v>
      </c>
      <c r="AH65" s="4">
        <f t="shared" si="387"/>
        <v>0</v>
      </c>
      <c r="AI65" s="1">
        <f t="shared" si="5"/>
        <v>1</v>
      </c>
      <c r="AK65" s="1" t="s">
        <v>410</v>
      </c>
      <c r="AL65" s="4">
        <f t="shared" ref="AL65:AS65" si="388">IF(ISNUMBER(SEARCH(AL$1,$AK65)), 1, 0)</f>
        <v>1</v>
      </c>
      <c r="AM65" s="4">
        <f t="shared" si="388"/>
        <v>0</v>
      </c>
      <c r="AN65" s="4">
        <f t="shared" si="388"/>
        <v>1</v>
      </c>
      <c r="AO65" s="4">
        <f t="shared" si="388"/>
        <v>1</v>
      </c>
      <c r="AP65" s="4">
        <f t="shared" si="388"/>
        <v>0</v>
      </c>
      <c r="AQ65" s="4">
        <f t="shared" si="388"/>
        <v>0</v>
      </c>
      <c r="AR65" s="4">
        <f t="shared" si="388"/>
        <v>0</v>
      </c>
      <c r="AS65" s="4">
        <f t="shared" si="388"/>
        <v>0</v>
      </c>
      <c r="AU65" s="1" t="s">
        <v>47</v>
      </c>
      <c r="AV65" s="1">
        <f t="shared" si="7"/>
        <v>1</v>
      </c>
      <c r="AW65" s="1">
        <f t="shared" si="8"/>
        <v>0</v>
      </c>
      <c r="AX65" s="1">
        <f t="shared" si="9"/>
        <v>0</v>
      </c>
      <c r="AY65" s="1" t="s">
        <v>48</v>
      </c>
      <c r="BA65" s="1" t="s">
        <v>247</v>
      </c>
      <c r="BB65" s="4">
        <f t="shared" ref="BB65:BJ65" si="389">IF(ISNUMBER(SEARCH(BB$1,$BA65)), 1, 0)</f>
        <v>1</v>
      </c>
      <c r="BC65" s="4">
        <f t="shared" si="389"/>
        <v>1</v>
      </c>
      <c r="BD65" s="4">
        <f t="shared" si="389"/>
        <v>1</v>
      </c>
      <c r="BE65" s="4">
        <f t="shared" si="389"/>
        <v>1</v>
      </c>
      <c r="BF65" s="4">
        <f t="shared" si="389"/>
        <v>1</v>
      </c>
      <c r="BG65" s="4">
        <f t="shared" si="389"/>
        <v>0</v>
      </c>
      <c r="BH65" s="4">
        <f t="shared" si="389"/>
        <v>1</v>
      </c>
      <c r="BI65" s="4">
        <f t="shared" si="389"/>
        <v>0</v>
      </c>
      <c r="BJ65" s="4">
        <f t="shared" si="389"/>
        <v>1</v>
      </c>
      <c r="BK65" s="4">
        <f t="shared" si="11"/>
        <v>7</v>
      </c>
      <c r="BM65" s="1" t="s">
        <v>166</v>
      </c>
      <c r="BN65" s="1" t="s">
        <v>756</v>
      </c>
      <c r="BO65" s="4">
        <f t="shared" ref="BO65:BU65" si="390">IF(ISNUMBER(SEARCH(BO$1,$BN65)), 1, 0)</f>
        <v>1</v>
      </c>
      <c r="BP65" s="4">
        <f t="shared" si="390"/>
        <v>0</v>
      </c>
      <c r="BQ65" s="4">
        <f t="shared" si="390"/>
        <v>1</v>
      </c>
      <c r="BR65" s="4">
        <f t="shared" si="390"/>
        <v>0</v>
      </c>
      <c r="BS65" s="4">
        <f t="shared" si="390"/>
        <v>0</v>
      </c>
      <c r="BT65" s="4">
        <f t="shared" si="390"/>
        <v>1</v>
      </c>
      <c r="BU65" s="4">
        <f t="shared" si="390"/>
        <v>1</v>
      </c>
    </row>
    <row r="66" spans="1:107" ht="15.75" customHeight="1" x14ac:dyDescent="0.25">
      <c r="A66" s="1" t="b">
        <v>1</v>
      </c>
      <c r="B66" s="3">
        <v>46170.468182870369</v>
      </c>
      <c r="C66" s="1" t="s">
        <v>761</v>
      </c>
      <c r="D66" s="1" t="s">
        <v>4</v>
      </c>
      <c r="E66" s="4">
        <f t="shared" ref="E66:K66" si="391">IF(ISNUMBER(SEARCH(E$1,$D66)), SEARCH(E$1,$D66), 0)</f>
        <v>1</v>
      </c>
      <c r="F66" s="4">
        <f t="shared" si="391"/>
        <v>0</v>
      </c>
      <c r="G66" s="4">
        <f t="shared" si="391"/>
        <v>0</v>
      </c>
      <c r="H66" s="4">
        <f t="shared" si="391"/>
        <v>0</v>
      </c>
      <c r="I66" s="4">
        <f t="shared" si="391"/>
        <v>0</v>
      </c>
      <c r="J66" s="4">
        <f t="shared" si="391"/>
        <v>0</v>
      </c>
      <c r="K66" s="4">
        <f t="shared" si="391"/>
        <v>0</v>
      </c>
      <c r="L66" s="4">
        <f t="shared" si="1"/>
        <v>1</v>
      </c>
      <c r="N66" s="1" t="s">
        <v>187</v>
      </c>
      <c r="O66" s="4">
        <f t="shared" ref="O66:T66" si="392">IF(ISNUMBER(SEARCH(O$1,$N66)), 1, 0)</f>
        <v>1</v>
      </c>
      <c r="P66" s="4">
        <f t="shared" si="392"/>
        <v>1</v>
      </c>
      <c r="Q66" s="4">
        <f t="shared" si="392"/>
        <v>1</v>
      </c>
      <c r="R66" s="4">
        <f t="shared" si="392"/>
        <v>1</v>
      </c>
      <c r="S66" s="4">
        <f t="shared" si="392"/>
        <v>1</v>
      </c>
      <c r="T66" s="4">
        <f t="shared" si="392"/>
        <v>1</v>
      </c>
      <c r="V66" s="1" t="s">
        <v>22</v>
      </c>
      <c r="W66" s="1" t="str">
        <f t="shared" si="374"/>
        <v>True</v>
      </c>
      <c r="X66" s="1" t="str">
        <f t="shared" si="374"/>
        <v>False</v>
      </c>
      <c r="Y66" s="1" t="str">
        <f t="shared" si="374"/>
        <v>False</v>
      </c>
      <c r="Z66" s="1" t="str">
        <f t="shared" si="374"/>
        <v>False</v>
      </c>
      <c r="AA66" s="1" t="str">
        <f t="shared" si="374"/>
        <v>False</v>
      </c>
      <c r="AC66" s="4">
        <f t="shared" ref="AC66:AH66" si="393">IF(ISNUMBER(SEARCH(AC$1,$AB66)), 1, 0)</f>
        <v>0</v>
      </c>
      <c r="AD66" s="4">
        <f t="shared" si="393"/>
        <v>0</v>
      </c>
      <c r="AE66" s="4">
        <f t="shared" si="393"/>
        <v>0</v>
      </c>
      <c r="AF66" s="4">
        <f t="shared" si="393"/>
        <v>0</v>
      </c>
      <c r="AG66" s="4">
        <f t="shared" si="393"/>
        <v>0</v>
      </c>
      <c r="AH66" s="4">
        <f t="shared" si="393"/>
        <v>0</v>
      </c>
      <c r="AI66" s="1">
        <f t="shared" si="5"/>
        <v>0</v>
      </c>
      <c r="AK66" s="1" t="s">
        <v>365</v>
      </c>
      <c r="AL66" s="4">
        <f t="shared" ref="AL66:AS66" si="394">IF(ISNUMBER(SEARCH(AL$1,$AK66)), 1, 0)</f>
        <v>1</v>
      </c>
      <c r="AM66" s="4">
        <f t="shared" si="394"/>
        <v>1</v>
      </c>
      <c r="AN66" s="4">
        <f t="shared" si="394"/>
        <v>1</v>
      </c>
      <c r="AO66" s="4">
        <f t="shared" si="394"/>
        <v>1</v>
      </c>
      <c r="AP66" s="4">
        <f t="shared" si="394"/>
        <v>1</v>
      </c>
      <c r="AQ66" s="4">
        <f t="shared" si="394"/>
        <v>1</v>
      </c>
      <c r="AR66" s="4">
        <f t="shared" si="394"/>
        <v>1</v>
      </c>
      <c r="AS66" s="4">
        <f t="shared" si="394"/>
        <v>1</v>
      </c>
      <c r="AU66" s="1" t="s">
        <v>47</v>
      </c>
      <c r="AV66" s="1">
        <f t="shared" si="7"/>
        <v>1</v>
      </c>
      <c r="AW66" s="1">
        <f t="shared" si="8"/>
        <v>0</v>
      </c>
      <c r="AX66" s="1">
        <f t="shared" si="9"/>
        <v>0</v>
      </c>
      <c r="AY66" s="1" t="s">
        <v>48</v>
      </c>
      <c r="BA66" s="1" t="s">
        <v>762</v>
      </c>
      <c r="BB66" s="4">
        <f t="shared" ref="BB66:BJ66" si="395">IF(ISNUMBER(SEARCH(BB$1,$BA66)), 1, 0)</f>
        <v>0</v>
      </c>
      <c r="BC66" s="4">
        <f t="shared" si="395"/>
        <v>0</v>
      </c>
      <c r="BD66" s="4">
        <f t="shared" si="395"/>
        <v>1</v>
      </c>
      <c r="BE66" s="4">
        <f t="shared" si="395"/>
        <v>1</v>
      </c>
      <c r="BF66" s="4">
        <f t="shared" si="395"/>
        <v>1</v>
      </c>
      <c r="BG66" s="4">
        <f t="shared" si="395"/>
        <v>1</v>
      </c>
      <c r="BH66" s="4">
        <f t="shared" si="395"/>
        <v>0</v>
      </c>
      <c r="BI66" s="4">
        <f t="shared" si="395"/>
        <v>0</v>
      </c>
      <c r="BJ66" s="4">
        <f t="shared" si="395"/>
        <v>0</v>
      </c>
      <c r="BK66" s="4">
        <f t="shared" si="11"/>
        <v>4</v>
      </c>
      <c r="BM66" s="1" t="s">
        <v>232</v>
      </c>
      <c r="BN66" s="1" t="s">
        <v>404</v>
      </c>
      <c r="BO66" s="4">
        <f t="shared" ref="BO66:BU66" si="396">IF(ISNUMBER(SEARCH(BO$1,$BN66)), 1, 0)</f>
        <v>0</v>
      </c>
      <c r="BP66" s="4">
        <f t="shared" si="396"/>
        <v>0</v>
      </c>
      <c r="BQ66" s="4">
        <f t="shared" si="396"/>
        <v>0</v>
      </c>
      <c r="BR66" s="4">
        <f t="shared" si="396"/>
        <v>0</v>
      </c>
      <c r="BS66" s="4">
        <f t="shared" si="396"/>
        <v>0</v>
      </c>
      <c r="BT66" s="4">
        <f t="shared" si="396"/>
        <v>0</v>
      </c>
      <c r="BU66" s="4">
        <f t="shared" si="396"/>
        <v>0</v>
      </c>
      <c r="BV66" s="1" t="s">
        <v>763</v>
      </c>
      <c r="DC66" s="1" t="s">
        <v>180</v>
      </c>
    </row>
    <row r="67" spans="1:107" ht="15.75" customHeight="1" x14ac:dyDescent="0.25">
      <c r="A67" s="1" t="b">
        <v>1</v>
      </c>
      <c r="B67" s="3">
        <v>46164.884675925925</v>
      </c>
      <c r="C67" s="1" t="s">
        <v>570</v>
      </c>
      <c r="D67" s="1" t="s">
        <v>4</v>
      </c>
      <c r="E67" s="4">
        <f t="shared" ref="E67:K67" si="397">IF(ISNUMBER(SEARCH(E$1,$D67)), SEARCH(E$1,$D67), 0)</f>
        <v>1</v>
      </c>
      <c r="F67" s="4">
        <f t="shared" si="397"/>
        <v>0</v>
      </c>
      <c r="G67" s="4">
        <f t="shared" si="397"/>
        <v>0</v>
      </c>
      <c r="H67" s="4">
        <f t="shared" si="397"/>
        <v>0</v>
      </c>
      <c r="I67" s="4">
        <f t="shared" si="397"/>
        <v>0</v>
      </c>
      <c r="J67" s="4">
        <f t="shared" si="397"/>
        <v>0</v>
      </c>
      <c r="K67" s="4">
        <f t="shared" si="397"/>
        <v>0</v>
      </c>
      <c r="L67" s="4">
        <f t="shared" si="1"/>
        <v>1</v>
      </c>
      <c r="N67" s="1" t="s">
        <v>323</v>
      </c>
      <c r="O67" s="4">
        <f t="shared" ref="O67:T67" si="398">IF(ISNUMBER(SEARCH(O$1,$N67)), 1, 0)</f>
        <v>1</v>
      </c>
      <c r="P67" s="4">
        <f t="shared" si="398"/>
        <v>1</v>
      </c>
      <c r="Q67" s="4">
        <f t="shared" si="398"/>
        <v>1</v>
      </c>
      <c r="R67" s="4">
        <f t="shared" si="398"/>
        <v>1</v>
      </c>
      <c r="S67" s="4">
        <f t="shared" si="398"/>
        <v>0</v>
      </c>
      <c r="T67" s="4">
        <f t="shared" si="398"/>
        <v>1</v>
      </c>
      <c r="V67" s="1" t="s">
        <v>22</v>
      </c>
      <c r="W67" s="1" t="str">
        <f t="shared" si="374"/>
        <v>True</v>
      </c>
      <c r="X67" s="1" t="str">
        <f t="shared" si="374"/>
        <v>False</v>
      </c>
      <c r="Y67" s="1" t="str">
        <f t="shared" si="374"/>
        <v>False</v>
      </c>
      <c r="Z67" s="1" t="str">
        <f t="shared" si="374"/>
        <v>False</v>
      </c>
      <c r="AA67" s="1" t="str">
        <f t="shared" si="374"/>
        <v>False</v>
      </c>
      <c r="AB67" s="1" t="s">
        <v>401</v>
      </c>
      <c r="AC67" s="4">
        <f t="shared" ref="AC67:AH67" si="399">IF(ISNUMBER(SEARCH(AC$1,$AB67)), 1, 0)</f>
        <v>0</v>
      </c>
      <c r="AD67" s="4">
        <f t="shared" si="399"/>
        <v>0</v>
      </c>
      <c r="AE67" s="4">
        <f t="shared" si="399"/>
        <v>0</v>
      </c>
      <c r="AF67" s="4">
        <f t="shared" si="399"/>
        <v>0</v>
      </c>
      <c r="AG67" s="4">
        <f t="shared" si="399"/>
        <v>0</v>
      </c>
      <c r="AH67" s="4">
        <f t="shared" si="399"/>
        <v>1</v>
      </c>
      <c r="AI67" s="1">
        <f t="shared" si="5"/>
        <v>1</v>
      </c>
      <c r="AJ67" s="1" t="s">
        <v>571</v>
      </c>
      <c r="AK67" s="1" t="s">
        <v>572</v>
      </c>
      <c r="AL67" s="4">
        <f t="shared" ref="AL67:AS67" si="400">IF(ISNUMBER(SEARCH(AL$1,$AK67)), 1, 0)</f>
        <v>1</v>
      </c>
      <c r="AM67" s="4">
        <f t="shared" si="400"/>
        <v>1</v>
      </c>
      <c r="AN67" s="4">
        <f t="shared" si="400"/>
        <v>1</v>
      </c>
      <c r="AO67" s="4">
        <f t="shared" si="400"/>
        <v>1</v>
      </c>
      <c r="AP67" s="4">
        <f t="shared" si="400"/>
        <v>1</v>
      </c>
      <c r="AQ67" s="4">
        <f t="shared" si="400"/>
        <v>1</v>
      </c>
      <c r="AR67" s="4">
        <f t="shared" si="400"/>
        <v>0</v>
      </c>
      <c r="AS67" s="4">
        <f t="shared" si="400"/>
        <v>1</v>
      </c>
      <c r="AU67" s="1" t="s">
        <v>47</v>
      </c>
      <c r="AV67" s="1">
        <f t="shared" si="7"/>
        <v>1</v>
      </c>
      <c r="AW67" s="1">
        <f t="shared" si="8"/>
        <v>0</v>
      </c>
      <c r="AX67" s="1">
        <f t="shared" si="9"/>
        <v>0</v>
      </c>
      <c r="AY67" s="1" t="s">
        <v>48</v>
      </c>
      <c r="BA67" s="1" t="s">
        <v>197</v>
      </c>
      <c r="BB67" s="4">
        <f t="shared" ref="BB67:BJ67" si="401">IF(ISNUMBER(SEARCH(BB$1,$BA67)), 1, 0)</f>
        <v>0</v>
      </c>
      <c r="BC67" s="4">
        <f t="shared" si="401"/>
        <v>0</v>
      </c>
      <c r="BD67" s="4">
        <f t="shared" si="401"/>
        <v>1</v>
      </c>
      <c r="BE67" s="4">
        <f t="shared" si="401"/>
        <v>1</v>
      </c>
      <c r="BF67" s="4">
        <f t="shared" si="401"/>
        <v>1</v>
      </c>
      <c r="BG67" s="4">
        <f t="shared" si="401"/>
        <v>0</v>
      </c>
      <c r="BH67" s="4">
        <f t="shared" si="401"/>
        <v>0</v>
      </c>
      <c r="BI67" s="4">
        <f t="shared" si="401"/>
        <v>0</v>
      </c>
      <c r="BJ67" s="4">
        <f t="shared" si="401"/>
        <v>1</v>
      </c>
      <c r="BK67" s="4">
        <f t="shared" si="11"/>
        <v>4</v>
      </c>
      <c r="BM67" s="1" t="s">
        <v>232</v>
      </c>
      <c r="BN67" s="1" t="s">
        <v>573</v>
      </c>
      <c r="BO67" s="4">
        <f t="shared" ref="BO67:BU67" si="402">IF(ISNUMBER(SEARCH(BO$1,$BN67)), 1, 0)</f>
        <v>0</v>
      </c>
      <c r="BP67" s="4">
        <f t="shared" si="402"/>
        <v>1</v>
      </c>
      <c r="BQ67" s="4">
        <f t="shared" si="402"/>
        <v>1</v>
      </c>
      <c r="BR67" s="4">
        <f t="shared" si="402"/>
        <v>1</v>
      </c>
      <c r="BS67" s="4">
        <f t="shared" si="402"/>
        <v>0</v>
      </c>
      <c r="BT67" s="4">
        <f t="shared" si="402"/>
        <v>1</v>
      </c>
      <c r="BU67" s="4">
        <f t="shared" si="402"/>
        <v>0</v>
      </c>
      <c r="DC67" s="1" t="s">
        <v>180</v>
      </c>
    </row>
    <row r="68" spans="1:107" ht="15.75" customHeight="1" x14ac:dyDescent="0.25">
      <c r="A68" s="1" t="b">
        <v>1</v>
      </c>
      <c r="B68" s="3">
        <v>46173.182106481479</v>
      </c>
      <c r="C68" s="1" t="s">
        <v>796</v>
      </c>
      <c r="D68" s="1" t="s">
        <v>4</v>
      </c>
      <c r="E68" s="4">
        <f t="shared" ref="E68:K68" si="403">IF(ISNUMBER(SEARCH(E$1,$D68)), SEARCH(E$1,$D68), 0)</f>
        <v>1</v>
      </c>
      <c r="F68" s="4">
        <f t="shared" si="403"/>
        <v>0</v>
      </c>
      <c r="G68" s="4">
        <f t="shared" si="403"/>
        <v>0</v>
      </c>
      <c r="H68" s="4">
        <f t="shared" si="403"/>
        <v>0</v>
      </c>
      <c r="I68" s="4">
        <f t="shared" si="403"/>
        <v>0</v>
      </c>
      <c r="J68" s="4">
        <f t="shared" si="403"/>
        <v>0</v>
      </c>
      <c r="K68" s="4">
        <f t="shared" si="403"/>
        <v>0</v>
      </c>
      <c r="L68" s="4">
        <f t="shared" si="1"/>
        <v>1</v>
      </c>
      <c r="N68" s="1" t="s">
        <v>240</v>
      </c>
      <c r="O68" s="4">
        <f t="shared" ref="O68:T68" si="404">IF(ISNUMBER(SEARCH(O$1,$N68)), 1, 0)</f>
        <v>1</v>
      </c>
      <c r="P68" s="4">
        <f t="shared" si="404"/>
        <v>1</v>
      </c>
      <c r="Q68" s="4">
        <f t="shared" si="404"/>
        <v>1</v>
      </c>
      <c r="R68" s="4">
        <f t="shared" si="404"/>
        <v>1</v>
      </c>
      <c r="S68" s="4">
        <f t="shared" si="404"/>
        <v>0</v>
      </c>
      <c r="T68" s="4">
        <f t="shared" si="404"/>
        <v>0</v>
      </c>
      <c r="V68" s="1" t="s">
        <v>24</v>
      </c>
      <c r="W68" s="1" t="str">
        <f t="shared" si="374"/>
        <v>False</v>
      </c>
      <c r="X68" s="1" t="str">
        <f t="shared" si="374"/>
        <v>False</v>
      </c>
      <c r="Y68" s="1" t="str">
        <f t="shared" si="374"/>
        <v>True</v>
      </c>
      <c r="Z68" s="1" t="str">
        <f t="shared" si="374"/>
        <v>False</v>
      </c>
      <c r="AA68" s="1" t="str">
        <f t="shared" si="374"/>
        <v>False</v>
      </c>
      <c r="AB68" s="1" t="s">
        <v>685</v>
      </c>
      <c r="AC68" s="4">
        <f t="shared" ref="AC68:AH68" si="405">IF(ISNUMBER(SEARCH(AC$1,$AB68)), 1, 0)</f>
        <v>0</v>
      </c>
      <c r="AD68" s="4">
        <f t="shared" si="405"/>
        <v>0</v>
      </c>
      <c r="AE68" s="4">
        <f t="shared" si="405"/>
        <v>0</v>
      </c>
      <c r="AF68" s="4">
        <f t="shared" si="405"/>
        <v>1</v>
      </c>
      <c r="AG68" s="4">
        <f t="shared" si="405"/>
        <v>1</v>
      </c>
      <c r="AH68" s="4">
        <f t="shared" si="405"/>
        <v>1</v>
      </c>
      <c r="AI68" s="1">
        <f t="shared" si="5"/>
        <v>3</v>
      </c>
      <c r="AK68" s="1" t="s">
        <v>553</v>
      </c>
      <c r="AL68" s="4">
        <f t="shared" ref="AL68:AS68" si="406">IF(ISNUMBER(SEARCH(AL$1,$AK68)), 1, 0)</f>
        <v>1</v>
      </c>
      <c r="AM68" s="4">
        <f t="shared" si="406"/>
        <v>1</v>
      </c>
      <c r="AN68" s="4">
        <f t="shared" si="406"/>
        <v>1</v>
      </c>
      <c r="AO68" s="4">
        <f t="shared" si="406"/>
        <v>1</v>
      </c>
      <c r="AP68" s="4">
        <f t="shared" si="406"/>
        <v>0</v>
      </c>
      <c r="AQ68" s="4">
        <f t="shared" si="406"/>
        <v>1</v>
      </c>
      <c r="AR68" s="4">
        <f t="shared" si="406"/>
        <v>1</v>
      </c>
      <c r="AS68" s="4">
        <f t="shared" si="406"/>
        <v>0</v>
      </c>
      <c r="AU68" s="1" t="s">
        <v>48</v>
      </c>
      <c r="AV68" s="1">
        <f t="shared" si="7"/>
        <v>0</v>
      </c>
      <c r="AW68" s="1">
        <f t="shared" si="8"/>
        <v>1</v>
      </c>
      <c r="AX68" s="1">
        <f t="shared" si="9"/>
        <v>0</v>
      </c>
      <c r="AY68" s="1" t="s">
        <v>48</v>
      </c>
      <c r="BA68" s="1" t="s">
        <v>797</v>
      </c>
      <c r="BB68" s="4">
        <f t="shared" ref="BB68:BJ68" si="407">IF(ISNUMBER(SEARCH(BB$1,$BA68)), 1, 0)</f>
        <v>0</v>
      </c>
      <c r="BC68" s="4">
        <f t="shared" si="407"/>
        <v>1</v>
      </c>
      <c r="BD68" s="4">
        <f t="shared" si="407"/>
        <v>0</v>
      </c>
      <c r="BE68" s="4">
        <f t="shared" si="407"/>
        <v>1</v>
      </c>
      <c r="BF68" s="4">
        <f t="shared" si="407"/>
        <v>1</v>
      </c>
      <c r="BG68" s="4">
        <f t="shared" si="407"/>
        <v>0</v>
      </c>
      <c r="BH68" s="4">
        <f t="shared" si="407"/>
        <v>0</v>
      </c>
      <c r="BI68" s="4">
        <f t="shared" si="407"/>
        <v>0</v>
      </c>
      <c r="BJ68" s="4">
        <f t="shared" si="407"/>
        <v>1</v>
      </c>
      <c r="BK68" s="4">
        <f t="shared" si="11"/>
        <v>4</v>
      </c>
      <c r="BM68" s="1" t="s">
        <v>190</v>
      </c>
      <c r="BN68" s="1" t="s">
        <v>72</v>
      </c>
      <c r="BO68" s="4">
        <f t="shared" ref="BO68:BU68" si="408">IF(ISNUMBER(SEARCH(BO$1,$BN68)), 1, 0)</f>
        <v>0</v>
      </c>
      <c r="BP68" s="4">
        <f t="shared" si="408"/>
        <v>0</v>
      </c>
      <c r="BQ68" s="4">
        <f t="shared" si="408"/>
        <v>0</v>
      </c>
      <c r="BR68" s="4">
        <f t="shared" si="408"/>
        <v>0</v>
      </c>
      <c r="BS68" s="4">
        <f t="shared" si="408"/>
        <v>0</v>
      </c>
      <c r="BT68" s="4">
        <f t="shared" si="408"/>
        <v>0</v>
      </c>
      <c r="BU68" s="4">
        <f t="shared" si="408"/>
        <v>1</v>
      </c>
      <c r="BW68" s="1" t="s">
        <v>255</v>
      </c>
      <c r="BZ68" s="1" t="s">
        <v>516</v>
      </c>
      <c r="DC68" s="1" t="s">
        <v>180</v>
      </c>
    </row>
    <row r="69" spans="1:107" ht="15.75" customHeight="1" x14ac:dyDescent="0.25">
      <c r="A69" s="1" t="b">
        <v>1</v>
      </c>
      <c r="B69" s="3">
        <v>46165.311550925922</v>
      </c>
      <c r="C69" s="1" t="s">
        <v>610</v>
      </c>
      <c r="D69" s="1" t="s">
        <v>4</v>
      </c>
      <c r="E69" s="4">
        <f t="shared" ref="E69:K69" si="409">IF(ISNUMBER(SEARCH(E$1,$D69)), SEARCH(E$1,$D69), 0)</f>
        <v>1</v>
      </c>
      <c r="F69" s="4">
        <f t="shared" si="409"/>
        <v>0</v>
      </c>
      <c r="G69" s="4">
        <f t="shared" si="409"/>
        <v>0</v>
      </c>
      <c r="H69" s="4">
        <f t="shared" si="409"/>
        <v>0</v>
      </c>
      <c r="I69" s="4">
        <f t="shared" si="409"/>
        <v>0</v>
      </c>
      <c r="J69" s="4">
        <f t="shared" si="409"/>
        <v>0</v>
      </c>
      <c r="K69" s="4">
        <f t="shared" si="409"/>
        <v>0</v>
      </c>
      <c r="L69" s="4">
        <f t="shared" si="1"/>
        <v>1</v>
      </c>
      <c r="N69" s="1" t="s">
        <v>316</v>
      </c>
      <c r="O69" s="4">
        <f t="shared" ref="O69:T69" si="410">IF(ISNUMBER(SEARCH(O$1,$N69)), 1, 0)</f>
        <v>1</v>
      </c>
      <c r="P69" s="4">
        <f t="shared" si="410"/>
        <v>0</v>
      </c>
      <c r="Q69" s="4">
        <f t="shared" si="410"/>
        <v>1</v>
      </c>
      <c r="R69" s="4">
        <f t="shared" si="410"/>
        <v>0</v>
      </c>
      <c r="S69" s="4">
        <f t="shared" si="410"/>
        <v>0</v>
      </c>
      <c r="T69" s="4">
        <f t="shared" si="410"/>
        <v>0</v>
      </c>
      <c r="V69" s="1" t="s">
        <v>24</v>
      </c>
      <c r="W69" s="1" t="str">
        <f t="shared" si="374"/>
        <v>False</v>
      </c>
      <c r="X69" s="1" t="str">
        <f t="shared" si="374"/>
        <v>False</v>
      </c>
      <c r="Y69" s="1" t="str">
        <f t="shared" si="374"/>
        <v>True</v>
      </c>
      <c r="Z69" s="1" t="str">
        <f t="shared" si="374"/>
        <v>False</v>
      </c>
      <c r="AA69" s="1" t="str">
        <f t="shared" si="374"/>
        <v>False</v>
      </c>
      <c r="AB69" s="1" t="s">
        <v>31</v>
      </c>
      <c r="AC69" s="4">
        <f t="shared" ref="AC69:AH69" si="411">IF(ISNUMBER(SEARCH(AC$1,$AB69)), 1, 0)</f>
        <v>0</v>
      </c>
      <c r="AD69" s="4">
        <f t="shared" si="411"/>
        <v>0</v>
      </c>
      <c r="AE69" s="4">
        <f t="shared" si="411"/>
        <v>0</v>
      </c>
      <c r="AF69" s="4">
        <f t="shared" si="411"/>
        <v>1</v>
      </c>
      <c r="AG69" s="4">
        <f t="shared" si="411"/>
        <v>0</v>
      </c>
      <c r="AH69" s="4">
        <f t="shared" si="411"/>
        <v>0</v>
      </c>
      <c r="AI69" s="1">
        <f t="shared" si="5"/>
        <v>1</v>
      </c>
      <c r="AK69" s="1" t="s">
        <v>611</v>
      </c>
      <c r="AL69" s="4">
        <f t="shared" ref="AL69:AS69" si="412">IF(ISNUMBER(SEARCH(AL$1,$AK69)), 1, 0)</f>
        <v>0</v>
      </c>
      <c r="AM69" s="4">
        <f t="shared" si="412"/>
        <v>1</v>
      </c>
      <c r="AN69" s="4">
        <f t="shared" si="412"/>
        <v>1</v>
      </c>
      <c r="AO69" s="4">
        <f t="shared" si="412"/>
        <v>1</v>
      </c>
      <c r="AP69" s="4">
        <f t="shared" si="412"/>
        <v>1</v>
      </c>
      <c r="AQ69" s="4">
        <f t="shared" si="412"/>
        <v>1</v>
      </c>
      <c r="AR69" s="4">
        <f t="shared" si="412"/>
        <v>1</v>
      </c>
      <c r="AS69" s="4">
        <f t="shared" si="412"/>
        <v>0</v>
      </c>
      <c r="AU69" s="1" t="s">
        <v>47</v>
      </c>
      <c r="AV69" s="1">
        <f t="shared" si="7"/>
        <v>1</v>
      </c>
      <c r="AW69" s="1">
        <f t="shared" si="8"/>
        <v>0</v>
      </c>
      <c r="AX69" s="1">
        <f t="shared" si="9"/>
        <v>0</v>
      </c>
      <c r="AY69" s="1" t="s">
        <v>48</v>
      </c>
      <c r="BA69" s="1" t="s">
        <v>56</v>
      </c>
      <c r="BB69" s="4">
        <f t="shared" ref="BB69:BJ69" si="413">IF(ISNUMBER(SEARCH(BB$1,$BA69)), 1, 0)</f>
        <v>0</v>
      </c>
      <c r="BC69" s="4">
        <f t="shared" si="413"/>
        <v>0</v>
      </c>
      <c r="BD69" s="4">
        <f t="shared" si="413"/>
        <v>0</v>
      </c>
      <c r="BE69" s="4">
        <f t="shared" si="413"/>
        <v>1</v>
      </c>
      <c r="BF69" s="4">
        <f t="shared" si="413"/>
        <v>0</v>
      </c>
      <c r="BG69" s="4">
        <f t="shared" si="413"/>
        <v>0</v>
      </c>
      <c r="BH69" s="4">
        <f t="shared" si="413"/>
        <v>0</v>
      </c>
      <c r="BI69" s="4">
        <f t="shared" si="413"/>
        <v>0</v>
      </c>
      <c r="BJ69" s="4">
        <f t="shared" si="413"/>
        <v>0</v>
      </c>
      <c r="BK69" s="4">
        <f t="shared" si="11"/>
        <v>1</v>
      </c>
      <c r="BM69" s="1" t="s">
        <v>190</v>
      </c>
      <c r="BN69" s="1" t="s">
        <v>72</v>
      </c>
      <c r="BO69" s="4">
        <f t="shared" ref="BO69:BU69" si="414">IF(ISNUMBER(SEARCH(BO$1,$BN69)), 1, 0)</f>
        <v>0</v>
      </c>
      <c r="BP69" s="4">
        <f t="shared" si="414"/>
        <v>0</v>
      </c>
      <c r="BQ69" s="4">
        <f t="shared" si="414"/>
        <v>0</v>
      </c>
      <c r="BR69" s="4">
        <f t="shared" si="414"/>
        <v>0</v>
      </c>
      <c r="BS69" s="4">
        <f t="shared" si="414"/>
        <v>0</v>
      </c>
      <c r="BT69" s="4">
        <f t="shared" si="414"/>
        <v>0</v>
      </c>
      <c r="BU69" s="4">
        <f t="shared" si="414"/>
        <v>1</v>
      </c>
      <c r="DC69" s="1" t="s">
        <v>180</v>
      </c>
    </row>
    <row r="70" spans="1:107" ht="15.75" customHeight="1" x14ac:dyDescent="0.25">
      <c r="A70" s="1" t="b">
        <v>1</v>
      </c>
      <c r="B70" s="3">
        <v>46151.560682870368</v>
      </c>
      <c r="C70" s="1" t="s">
        <v>264</v>
      </c>
      <c r="D70" s="1" t="s">
        <v>4</v>
      </c>
      <c r="E70" s="4">
        <f t="shared" ref="E70:K70" si="415">IF(ISNUMBER(SEARCH(E$1,$D70)), SEARCH(E$1,$D70), 0)</f>
        <v>1</v>
      </c>
      <c r="F70" s="4">
        <f t="shared" si="415"/>
        <v>0</v>
      </c>
      <c r="G70" s="4">
        <f t="shared" si="415"/>
        <v>0</v>
      </c>
      <c r="H70" s="4">
        <f t="shared" si="415"/>
        <v>0</v>
      </c>
      <c r="I70" s="4">
        <f t="shared" si="415"/>
        <v>0</v>
      </c>
      <c r="J70" s="4">
        <f t="shared" si="415"/>
        <v>0</v>
      </c>
      <c r="K70" s="4">
        <f t="shared" si="415"/>
        <v>0</v>
      </c>
      <c r="L70" s="4">
        <f t="shared" si="1"/>
        <v>1</v>
      </c>
      <c r="N70" s="1" t="s">
        <v>265</v>
      </c>
      <c r="O70" s="4">
        <f t="shared" ref="O70:T70" si="416">IF(ISNUMBER(SEARCH(O$1,$N70)), 1, 0)</f>
        <v>0</v>
      </c>
      <c r="P70" s="4">
        <f t="shared" si="416"/>
        <v>1</v>
      </c>
      <c r="Q70" s="4">
        <f t="shared" si="416"/>
        <v>0</v>
      </c>
      <c r="R70" s="4">
        <f t="shared" si="416"/>
        <v>0</v>
      </c>
      <c r="S70" s="4">
        <f t="shared" si="416"/>
        <v>0</v>
      </c>
      <c r="T70" s="4">
        <f t="shared" si="416"/>
        <v>0</v>
      </c>
      <c r="V70" s="1" t="s">
        <v>22</v>
      </c>
      <c r="W70" s="1" t="str">
        <f t="shared" si="374"/>
        <v>True</v>
      </c>
      <c r="X70" s="1" t="str">
        <f t="shared" si="374"/>
        <v>False</v>
      </c>
      <c r="Y70" s="1" t="str">
        <f t="shared" si="374"/>
        <v>False</v>
      </c>
      <c r="Z70" s="1" t="str">
        <f t="shared" si="374"/>
        <v>False</v>
      </c>
      <c r="AA70" s="1" t="str">
        <f t="shared" si="374"/>
        <v>False</v>
      </c>
      <c r="AB70" s="1" t="s">
        <v>28</v>
      </c>
      <c r="AC70" s="4">
        <f t="shared" ref="AC70:AH70" si="417">IF(ISNUMBER(SEARCH(AC$1,$AB70)), 1, 0)</f>
        <v>1</v>
      </c>
      <c r="AD70" s="4">
        <f t="shared" si="417"/>
        <v>0</v>
      </c>
      <c r="AE70" s="4">
        <f t="shared" si="417"/>
        <v>0</v>
      </c>
      <c r="AF70" s="4">
        <f t="shared" si="417"/>
        <v>0</v>
      </c>
      <c r="AG70" s="4">
        <f t="shared" si="417"/>
        <v>0</v>
      </c>
      <c r="AH70" s="4">
        <f t="shared" si="417"/>
        <v>0</v>
      </c>
      <c r="AI70" s="1">
        <f t="shared" si="5"/>
        <v>1</v>
      </c>
      <c r="AK70" s="1" t="s">
        <v>266</v>
      </c>
      <c r="AL70" s="4">
        <f t="shared" ref="AL70:AS70" si="418">IF(ISNUMBER(SEARCH(AL$1,$AK70)), 1, 0)</f>
        <v>0</v>
      </c>
      <c r="AM70" s="4">
        <f t="shared" si="418"/>
        <v>1</v>
      </c>
      <c r="AN70" s="4">
        <f t="shared" si="418"/>
        <v>1</v>
      </c>
      <c r="AO70" s="4">
        <f t="shared" si="418"/>
        <v>1</v>
      </c>
      <c r="AP70" s="4">
        <f t="shared" si="418"/>
        <v>0</v>
      </c>
      <c r="AQ70" s="4">
        <f t="shared" si="418"/>
        <v>1</v>
      </c>
      <c r="AR70" s="4">
        <f t="shared" si="418"/>
        <v>1</v>
      </c>
      <c r="AS70" s="4">
        <f t="shared" si="418"/>
        <v>0</v>
      </c>
      <c r="AU70" s="1" t="s">
        <v>47</v>
      </c>
      <c r="AV70" s="1">
        <f t="shared" si="7"/>
        <v>1</v>
      </c>
      <c r="AW70" s="1">
        <f t="shared" si="8"/>
        <v>0</v>
      </c>
      <c r="AX70" s="1">
        <f t="shared" si="9"/>
        <v>0</v>
      </c>
      <c r="AY70" s="1" t="s">
        <v>48</v>
      </c>
      <c r="BA70" s="1" t="s">
        <v>61</v>
      </c>
      <c r="BB70" s="4">
        <f t="shared" ref="BB70:BJ70" si="419">IF(ISNUMBER(SEARCH(BB$1,$BA70)), 1, 0)</f>
        <v>0</v>
      </c>
      <c r="BC70" s="4">
        <f t="shared" si="419"/>
        <v>0</v>
      </c>
      <c r="BD70" s="4">
        <f t="shared" si="419"/>
        <v>0</v>
      </c>
      <c r="BE70" s="4">
        <f t="shared" si="419"/>
        <v>0</v>
      </c>
      <c r="BF70" s="4">
        <f t="shared" si="419"/>
        <v>0</v>
      </c>
      <c r="BG70" s="4">
        <f t="shared" si="419"/>
        <v>0</v>
      </c>
      <c r="BH70" s="4">
        <f t="shared" si="419"/>
        <v>0</v>
      </c>
      <c r="BI70" s="4">
        <f t="shared" si="419"/>
        <v>0</v>
      </c>
      <c r="BJ70" s="4">
        <f t="shared" si="419"/>
        <v>1</v>
      </c>
      <c r="BK70" s="4">
        <f t="shared" si="11"/>
        <v>1</v>
      </c>
      <c r="BM70" s="1" t="s">
        <v>267</v>
      </c>
      <c r="BN70" s="1" t="s">
        <v>268</v>
      </c>
      <c r="BO70" s="4">
        <f t="shared" ref="BO70:BU70" si="420">IF(ISNUMBER(SEARCH(BO$1,$BN70)), 1, 0)</f>
        <v>1</v>
      </c>
      <c r="BP70" s="4">
        <f t="shared" si="420"/>
        <v>1</v>
      </c>
      <c r="BQ70" s="4">
        <f t="shared" si="420"/>
        <v>0</v>
      </c>
      <c r="BR70" s="4">
        <f t="shared" si="420"/>
        <v>0</v>
      </c>
      <c r="BS70" s="4">
        <f t="shared" si="420"/>
        <v>0</v>
      </c>
      <c r="BT70" s="4">
        <f t="shared" si="420"/>
        <v>0</v>
      </c>
      <c r="BU70" s="4">
        <f t="shared" si="420"/>
        <v>0</v>
      </c>
      <c r="BV70" s="1" t="s">
        <v>269</v>
      </c>
      <c r="DC70" s="1" t="s">
        <v>238</v>
      </c>
    </row>
    <row r="71" spans="1:107" ht="15.75" customHeight="1" x14ac:dyDescent="0.25">
      <c r="A71" s="1" t="b">
        <v>1</v>
      </c>
      <c r="B71" s="3">
        <v>46172.815821759257</v>
      </c>
      <c r="C71" s="1" t="s">
        <v>788</v>
      </c>
      <c r="D71" s="1" t="s">
        <v>751</v>
      </c>
      <c r="E71" s="4">
        <f t="shared" ref="E71:K71" si="421">IF(ISNUMBER(SEARCH(E$1,$D71)), SEARCH(E$1,$D71), 0)</f>
        <v>1</v>
      </c>
      <c r="F71" s="4">
        <f t="shared" si="421"/>
        <v>0</v>
      </c>
      <c r="G71" s="4">
        <f t="shared" si="421"/>
        <v>0</v>
      </c>
      <c r="H71" s="4">
        <f t="shared" si="421"/>
        <v>30</v>
      </c>
      <c r="I71" s="4">
        <f t="shared" si="421"/>
        <v>0</v>
      </c>
      <c r="J71" s="4">
        <f t="shared" si="421"/>
        <v>0</v>
      </c>
      <c r="K71" s="4">
        <f t="shared" si="421"/>
        <v>0</v>
      </c>
      <c r="L71" s="4">
        <f t="shared" si="1"/>
        <v>30</v>
      </c>
      <c r="N71" s="1" t="s">
        <v>789</v>
      </c>
      <c r="O71" s="4">
        <f t="shared" ref="O71:T71" si="422">IF(ISNUMBER(SEARCH(O$1,$N71)), 1, 0)</f>
        <v>1</v>
      </c>
      <c r="P71" s="4">
        <f t="shared" si="422"/>
        <v>1</v>
      </c>
      <c r="Q71" s="4">
        <f t="shared" si="422"/>
        <v>1</v>
      </c>
      <c r="R71" s="4">
        <f t="shared" si="422"/>
        <v>0</v>
      </c>
      <c r="S71" s="4">
        <f t="shared" si="422"/>
        <v>1</v>
      </c>
      <c r="T71" s="4">
        <f t="shared" si="422"/>
        <v>1</v>
      </c>
      <c r="V71" s="1" t="s">
        <v>23</v>
      </c>
      <c r="W71" s="1" t="str">
        <f t="shared" si="374"/>
        <v>False</v>
      </c>
      <c r="X71" s="1" t="str">
        <f t="shared" si="374"/>
        <v>True</v>
      </c>
      <c r="Y71" s="1" t="str">
        <f t="shared" si="374"/>
        <v>False</v>
      </c>
      <c r="Z71" s="1" t="str">
        <f t="shared" si="374"/>
        <v>False</v>
      </c>
      <c r="AA71" s="1" t="str">
        <f t="shared" si="374"/>
        <v>False</v>
      </c>
      <c r="AB71" s="1" t="s">
        <v>183</v>
      </c>
      <c r="AC71" s="4">
        <f t="shared" ref="AC71:AH71" si="423">IF(ISNUMBER(SEARCH(AC$1,$AB71)), 1, 0)</f>
        <v>0</v>
      </c>
      <c r="AD71" s="4">
        <f t="shared" si="423"/>
        <v>0</v>
      </c>
      <c r="AE71" s="4">
        <f t="shared" si="423"/>
        <v>0</v>
      </c>
      <c r="AF71" s="4">
        <f t="shared" si="423"/>
        <v>0</v>
      </c>
      <c r="AG71" s="4">
        <f t="shared" si="423"/>
        <v>0</v>
      </c>
      <c r="AH71" s="4">
        <f t="shared" si="423"/>
        <v>0</v>
      </c>
      <c r="AI71" s="1">
        <f t="shared" si="5"/>
        <v>0</v>
      </c>
      <c r="AJ71" s="1" t="s">
        <v>790</v>
      </c>
      <c r="AK71" s="1" t="s">
        <v>791</v>
      </c>
      <c r="AL71" s="4">
        <f t="shared" ref="AL71:AS71" si="424">IF(ISNUMBER(SEARCH(AL$1,$AK71)), 1, 0)</f>
        <v>1</v>
      </c>
      <c r="AM71" s="4">
        <f t="shared" si="424"/>
        <v>0</v>
      </c>
      <c r="AN71" s="4">
        <f t="shared" si="424"/>
        <v>0</v>
      </c>
      <c r="AO71" s="4">
        <f t="shared" si="424"/>
        <v>0</v>
      </c>
      <c r="AP71" s="4">
        <f t="shared" si="424"/>
        <v>0</v>
      </c>
      <c r="AQ71" s="4">
        <f t="shared" si="424"/>
        <v>1</v>
      </c>
      <c r="AR71" s="4">
        <f t="shared" si="424"/>
        <v>1</v>
      </c>
      <c r="AS71" s="4">
        <f t="shared" si="424"/>
        <v>0</v>
      </c>
      <c r="AU71" s="1" t="s">
        <v>48</v>
      </c>
      <c r="AV71" s="1">
        <f t="shared" si="7"/>
        <v>0</v>
      </c>
      <c r="AW71" s="1">
        <f t="shared" si="8"/>
        <v>1</v>
      </c>
      <c r="AX71" s="1">
        <f t="shared" si="9"/>
        <v>0</v>
      </c>
      <c r="AY71" s="1" t="s">
        <v>47</v>
      </c>
      <c r="AZ71" s="1" t="s">
        <v>48</v>
      </c>
      <c r="BA71" s="1" t="s">
        <v>61</v>
      </c>
      <c r="BB71" s="4">
        <f t="shared" ref="BB71:BJ71" si="425">IF(ISNUMBER(SEARCH(BB$1,$BA71)), 1, 0)</f>
        <v>0</v>
      </c>
      <c r="BC71" s="4">
        <f t="shared" si="425"/>
        <v>0</v>
      </c>
      <c r="BD71" s="4">
        <f t="shared" si="425"/>
        <v>0</v>
      </c>
      <c r="BE71" s="4">
        <f t="shared" si="425"/>
        <v>0</v>
      </c>
      <c r="BF71" s="4">
        <f t="shared" si="425"/>
        <v>0</v>
      </c>
      <c r="BG71" s="4">
        <f t="shared" si="425"/>
        <v>0</v>
      </c>
      <c r="BH71" s="4">
        <f t="shared" si="425"/>
        <v>0</v>
      </c>
      <c r="BI71" s="4">
        <f t="shared" si="425"/>
        <v>0</v>
      </c>
      <c r="BJ71" s="4">
        <f t="shared" si="425"/>
        <v>1</v>
      </c>
      <c r="BK71" s="4">
        <f t="shared" si="11"/>
        <v>1</v>
      </c>
      <c r="BO71" s="4">
        <f t="shared" ref="BO71:BU71" si="426">IF(ISNUMBER(SEARCH(BO$1,$BN71)), 1, 0)</f>
        <v>0</v>
      </c>
      <c r="BP71" s="4">
        <f t="shared" si="426"/>
        <v>0</v>
      </c>
      <c r="BQ71" s="4">
        <f t="shared" si="426"/>
        <v>0</v>
      </c>
      <c r="BR71" s="4">
        <f t="shared" si="426"/>
        <v>0</v>
      </c>
      <c r="BS71" s="4">
        <f t="shared" si="426"/>
        <v>0</v>
      </c>
      <c r="BT71" s="4">
        <f t="shared" si="426"/>
        <v>0</v>
      </c>
      <c r="BU71" s="4">
        <f t="shared" si="426"/>
        <v>0</v>
      </c>
      <c r="BW71" s="1" t="s">
        <v>516</v>
      </c>
      <c r="BY71" s="1" t="s">
        <v>792</v>
      </c>
      <c r="BZ71" s="1" t="s">
        <v>793</v>
      </c>
      <c r="CB71" s="1" t="s">
        <v>49</v>
      </c>
      <c r="CF71" s="1" t="s">
        <v>387</v>
      </c>
      <c r="CG71" s="1" t="s">
        <v>388</v>
      </c>
      <c r="DC71" s="1" t="s">
        <v>180</v>
      </c>
    </row>
    <row r="72" spans="1:107" ht="15.75" customHeight="1" x14ac:dyDescent="0.25">
      <c r="A72" s="1" t="b">
        <v>1</v>
      </c>
      <c r="B72" s="3">
        <v>46149.201261574075</v>
      </c>
      <c r="C72" s="1" t="s">
        <v>158</v>
      </c>
      <c r="D72" s="1" t="s">
        <v>159</v>
      </c>
      <c r="E72" s="4">
        <f t="shared" ref="E72:K72" si="427">IF(ISNUMBER(SEARCH(E$1,$D72)), SEARCH(E$1,$D72), 0)</f>
        <v>1</v>
      </c>
      <c r="F72" s="4">
        <f t="shared" si="427"/>
        <v>0</v>
      </c>
      <c r="G72" s="4">
        <f t="shared" si="427"/>
        <v>0</v>
      </c>
      <c r="H72" s="4">
        <f t="shared" si="427"/>
        <v>0</v>
      </c>
      <c r="I72" s="4">
        <f t="shared" si="427"/>
        <v>30</v>
      </c>
      <c r="J72" s="4">
        <f t="shared" si="427"/>
        <v>62</v>
      </c>
      <c r="K72" s="4">
        <f t="shared" si="427"/>
        <v>0</v>
      </c>
      <c r="L72" s="4">
        <f t="shared" si="1"/>
        <v>62</v>
      </c>
      <c r="N72" s="1" t="s">
        <v>160</v>
      </c>
      <c r="O72" s="4">
        <f t="shared" ref="O72:T72" si="428">IF(ISNUMBER(SEARCH(O$1,$N72)), 1, 0)</f>
        <v>1</v>
      </c>
      <c r="P72" s="4">
        <f t="shared" si="428"/>
        <v>1</v>
      </c>
      <c r="Q72" s="4">
        <f t="shared" si="428"/>
        <v>1</v>
      </c>
      <c r="R72" s="4">
        <f t="shared" si="428"/>
        <v>1</v>
      </c>
      <c r="S72" s="4">
        <f t="shared" si="428"/>
        <v>1</v>
      </c>
      <c r="T72" s="4">
        <f t="shared" si="428"/>
        <v>1</v>
      </c>
      <c r="U72" s="1" t="s">
        <v>161</v>
      </c>
      <c r="W72" s="1" t="str">
        <f t="shared" si="374"/>
        <v>False</v>
      </c>
      <c r="X72" s="1" t="str">
        <f t="shared" si="374"/>
        <v>False</v>
      </c>
      <c r="Y72" s="1" t="str">
        <f t="shared" si="374"/>
        <v>False</v>
      </c>
      <c r="Z72" s="1" t="str">
        <f t="shared" si="374"/>
        <v>False</v>
      </c>
      <c r="AA72" s="1" t="str">
        <f t="shared" si="374"/>
        <v>False</v>
      </c>
      <c r="AB72" s="1" t="s">
        <v>162</v>
      </c>
      <c r="AC72" s="4">
        <f t="shared" ref="AC72:AH72" si="429">IF(ISNUMBER(SEARCH(AC$1,$AB72)), 1, 0)</f>
        <v>1</v>
      </c>
      <c r="AD72" s="4">
        <f t="shared" si="429"/>
        <v>1</v>
      </c>
      <c r="AE72" s="4">
        <f t="shared" si="429"/>
        <v>0</v>
      </c>
      <c r="AF72" s="4">
        <f t="shared" si="429"/>
        <v>0</v>
      </c>
      <c r="AG72" s="4">
        <f t="shared" si="429"/>
        <v>0</v>
      </c>
      <c r="AH72" s="4">
        <f t="shared" si="429"/>
        <v>0</v>
      </c>
      <c r="AI72" s="1">
        <f t="shared" si="5"/>
        <v>2</v>
      </c>
      <c r="AJ72" s="1" t="s">
        <v>163</v>
      </c>
      <c r="AK72" s="1" t="s">
        <v>164</v>
      </c>
      <c r="AL72" s="4">
        <f t="shared" ref="AL72:AS72" si="430">IF(ISNUMBER(SEARCH(AL$1,$AK72)), 1, 0)</f>
        <v>0</v>
      </c>
      <c r="AM72" s="4">
        <f t="shared" si="430"/>
        <v>1</v>
      </c>
      <c r="AN72" s="4">
        <f t="shared" si="430"/>
        <v>0</v>
      </c>
      <c r="AO72" s="4">
        <f t="shared" si="430"/>
        <v>1</v>
      </c>
      <c r="AP72" s="4">
        <f t="shared" si="430"/>
        <v>0</v>
      </c>
      <c r="AQ72" s="4">
        <f t="shared" si="430"/>
        <v>1</v>
      </c>
      <c r="AR72" s="4">
        <f t="shared" si="430"/>
        <v>1</v>
      </c>
      <c r="AS72" s="4">
        <f t="shared" si="430"/>
        <v>0</v>
      </c>
      <c r="AU72" s="1" t="s">
        <v>48</v>
      </c>
      <c r="AV72" s="1">
        <f t="shared" si="7"/>
        <v>0</v>
      </c>
      <c r="AW72" s="1">
        <f t="shared" si="8"/>
        <v>1</v>
      </c>
      <c r="AX72" s="1">
        <f t="shared" si="9"/>
        <v>0</v>
      </c>
      <c r="AY72" s="1" t="s">
        <v>48</v>
      </c>
      <c r="BA72" s="1" t="s">
        <v>165</v>
      </c>
      <c r="BB72" s="4">
        <f t="shared" ref="BB72:BJ72" si="431">IF(ISNUMBER(SEARCH(BB$1,$BA72)), 1, 0)</f>
        <v>1</v>
      </c>
      <c r="BC72" s="4">
        <f t="shared" si="431"/>
        <v>1</v>
      </c>
      <c r="BD72" s="4">
        <f t="shared" si="431"/>
        <v>1</v>
      </c>
      <c r="BE72" s="4">
        <f t="shared" si="431"/>
        <v>1</v>
      </c>
      <c r="BF72" s="4">
        <f t="shared" si="431"/>
        <v>1</v>
      </c>
      <c r="BG72" s="4">
        <f t="shared" si="431"/>
        <v>1</v>
      </c>
      <c r="BH72" s="4">
        <f t="shared" si="431"/>
        <v>1</v>
      </c>
      <c r="BI72" s="4">
        <f t="shared" si="431"/>
        <v>1</v>
      </c>
      <c r="BJ72" s="4">
        <f t="shared" si="431"/>
        <v>1</v>
      </c>
      <c r="BK72" s="4">
        <f t="shared" si="11"/>
        <v>9</v>
      </c>
      <c r="BM72" s="1" t="s">
        <v>166</v>
      </c>
      <c r="BN72" s="1" t="s">
        <v>167</v>
      </c>
      <c r="BO72" s="4">
        <f t="shared" ref="BO72:BU72" si="432">IF(ISNUMBER(SEARCH(BO$1,$BN72)), 1, 0)</f>
        <v>1</v>
      </c>
      <c r="BP72" s="4">
        <f t="shared" si="432"/>
        <v>1</v>
      </c>
      <c r="BQ72" s="4">
        <f t="shared" si="432"/>
        <v>0</v>
      </c>
      <c r="BR72" s="4">
        <f t="shared" si="432"/>
        <v>1</v>
      </c>
      <c r="BS72" s="4">
        <f t="shared" si="432"/>
        <v>1</v>
      </c>
      <c r="BT72" s="4">
        <f t="shared" si="432"/>
        <v>1</v>
      </c>
      <c r="BU72" s="4">
        <f t="shared" si="432"/>
        <v>0</v>
      </c>
      <c r="BV72" s="1" t="s">
        <v>168</v>
      </c>
      <c r="BW72" s="1" t="s">
        <v>169</v>
      </c>
      <c r="BY72" s="1" t="s">
        <v>170</v>
      </c>
      <c r="BZ72" s="1" t="s">
        <v>171</v>
      </c>
      <c r="CA72" s="1" t="s">
        <v>172</v>
      </c>
      <c r="CH72" s="1" t="s">
        <v>173</v>
      </c>
      <c r="CI72" s="1" t="s">
        <v>174</v>
      </c>
      <c r="CJ72" s="1" t="s">
        <v>175</v>
      </c>
      <c r="CK72" s="1" t="s">
        <v>176</v>
      </c>
      <c r="CL72" s="1" t="s">
        <v>177</v>
      </c>
      <c r="CR72" s="1" t="s">
        <v>178</v>
      </c>
      <c r="CT72" s="1" t="s">
        <v>179</v>
      </c>
      <c r="DC72" s="1" t="s">
        <v>180</v>
      </c>
    </row>
    <row r="73" spans="1:107" ht="15.75" customHeight="1" x14ac:dyDescent="0.25">
      <c r="A73" s="1" t="b">
        <v>0</v>
      </c>
      <c r="B73" s="3">
        <v>46169.409421296295</v>
      </c>
      <c r="C73" s="1" t="s">
        <v>737</v>
      </c>
      <c r="D73" s="1" t="s">
        <v>738</v>
      </c>
      <c r="E73" s="4">
        <f t="shared" ref="E73:K73" si="433">IF(ISNUMBER(SEARCH(E$1,$D73)), SEARCH(E$1,$D73), 0)</f>
        <v>1</v>
      </c>
      <c r="F73" s="4">
        <f t="shared" si="433"/>
        <v>0</v>
      </c>
      <c r="G73" s="4">
        <f t="shared" si="433"/>
        <v>0</v>
      </c>
      <c r="H73" s="4">
        <f t="shared" si="433"/>
        <v>30</v>
      </c>
      <c r="I73" s="4">
        <f t="shared" si="433"/>
        <v>68</v>
      </c>
      <c r="J73" s="4">
        <f t="shared" si="433"/>
        <v>0</v>
      </c>
      <c r="K73" s="4">
        <f t="shared" si="433"/>
        <v>0</v>
      </c>
      <c r="L73" s="4">
        <f t="shared" si="1"/>
        <v>68</v>
      </c>
      <c r="N73" s="1" t="s">
        <v>739</v>
      </c>
      <c r="O73" s="4">
        <f t="shared" ref="O73:T73" si="434">IF(ISNUMBER(SEARCH(O$1,$N73)), 1, 0)</f>
        <v>0</v>
      </c>
      <c r="P73" s="4">
        <f t="shared" si="434"/>
        <v>0</v>
      </c>
      <c r="Q73" s="4">
        <f t="shared" si="434"/>
        <v>1</v>
      </c>
      <c r="R73" s="4">
        <f t="shared" si="434"/>
        <v>1</v>
      </c>
      <c r="S73" s="4">
        <f t="shared" si="434"/>
        <v>0</v>
      </c>
      <c r="T73" s="4">
        <f t="shared" si="434"/>
        <v>0</v>
      </c>
      <c r="V73" s="1" t="s">
        <v>25</v>
      </c>
      <c r="W73" s="1" t="str">
        <f t="shared" ref="W73:AA82" si="435">IF(W$1=$V73, "True", "False")</f>
        <v>False</v>
      </c>
      <c r="X73" s="1" t="str">
        <f t="shared" si="435"/>
        <v>False</v>
      </c>
      <c r="Y73" s="1" t="str">
        <f t="shared" si="435"/>
        <v>False</v>
      </c>
      <c r="Z73" s="1" t="str">
        <f t="shared" si="435"/>
        <v>True</v>
      </c>
      <c r="AA73" s="1" t="str">
        <f t="shared" si="435"/>
        <v>False</v>
      </c>
      <c r="AB73" s="1" t="s">
        <v>357</v>
      </c>
      <c r="AC73" s="4">
        <f t="shared" ref="AC73:AH73" si="436">IF(ISNUMBER(SEARCH(AC$1,$AB73)), 1, 0)</f>
        <v>1</v>
      </c>
      <c r="AD73" s="4">
        <f t="shared" si="436"/>
        <v>0</v>
      </c>
      <c r="AE73" s="4">
        <f t="shared" si="436"/>
        <v>0</v>
      </c>
      <c r="AF73" s="4">
        <f t="shared" si="436"/>
        <v>0</v>
      </c>
      <c r="AG73" s="4">
        <f t="shared" si="436"/>
        <v>0</v>
      </c>
      <c r="AH73" s="4">
        <f t="shared" si="436"/>
        <v>1</v>
      </c>
      <c r="AI73" s="1">
        <f t="shared" si="5"/>
        <v>2</v>
      </c>
      <c r="AK73" s="1" t="s">
        <v>492</v>
      </c>
      <c r="AL73" s="4">
        <f t="shared" ref="AL73:AS73" si="437">IF(ISNUMBER(SEARCH(AL$1,$AK73)), 1, 0)</f>
        <v>1</v>
      </c>
      <c r="AM73" s="4">
        <f t="shared" si="437"/>
        <v>1</v>
      </c>
      <c r="AN73" s="4">
        <f t="shared" si="437"/>
        <v>1</v>
      </c>
      <c r="AO73" s="4">
        <f t="shared" si="437"/>
        <v>1</v>
      </c>
      <c r="AP73" s="4">
        <f t="shared" si="437"/>
        <v>1</v>
      </c>
      <c r="AQ73" s="4">
        <f t="shared" si="437"/>
        <v>1</v>
      </c>
      <c r="AR73" s="4">
        <f t="shared" si="437"/>
        <v>1</v>
      </c>
      <c r="AS73" s="4">
        <f t="shared" si="437"/>
        <v>0</v>
      </c>
      <c r="AU73" s="1" t="s">
        <v>47</v>
      </c>
      <c r="AV73" s="1">
        <f t="shared" si="7"/>
        <v>1</v>
      </c>
      <c r="AW73" s="1">
        <f t="shared" si="8"/>
        <v>0</v>
      </c>
      <c r="AX73" s="1">
        <f t="shared" si="9"/>
        <v>0</v>
      </c>
      <c r="AY73" s="1" t="s">
        <v>47</v>
      </c>
      <c r="AZ73" s="1" t="s">
        <v>48</v>
      </c>
      <c r="BA73" s="1" t="s">
        <v>231</v>
      </c>
      <c r="BB73" s="4">
        <f t="shared" ref="BB73:BJ73" si="438">IF(ISNUMBER(SEARCH(BB$1,$BA73)), 1, 0)</f>
        <v>1</v>
      </c>
      <c r="BC73" s="4">
        <f t="shared" si="438"/>
        <v>1</v>
      </c>
      <c r="BD73" s="4">
        <f t="shared" si="438"/>
        <v>1</v>
      </c>
      <c r="BE73" s="4">
        <f t="shared" si="438"/>
        <v>1</v>
      </c>
      <c r="BF73" s="4">
        <f t="shared" si="438"/>
        <v>1</v>
      </c>
      <c r="BG73" s="4">
        <f t="shared" si="438"/>
        <v>1</v>
      </c>
      <c r="BH73" s="4">
        <f t="shared" si="438"/>
        <v>0</v>
      </c>
      <c r="BI73" s="4">
        <f t="shared" si="438"/>
        <v>0</v>
      </c>
      <c r="BJ73" s="4">
        <f t="shared" si="438"/>
        <v>1</v>
      </c>
      <c r="BK73" s="4">
        <f t="shared" si="11"/>
        <v>7</v>
      </c>
      <c r="BO73" s="4">
        <f t="shared" ref="BO73:BU73" si="439">IF(ISNUMBER(SEARCH(BO$1,$BN73)), 1, 0)</f>
        <v>0</v>
      </c>
      <c r="BP73" s="4">
        <f t="shared" si="439"/>
        <v>0</v>
      </c>
      <c r="BQ73" s="4">
        <f t="shared" si="439"/>
        <v>0</v>
      </c>
      <c r="BR73" s="4">
        <f t="shared" si="439"/>
        <v>0</v>
      </c>
      <c r="BS73" s="4">
        <f t="shared" si="439"/>
        <v>0</v>
      </c>
      <c r="BT73" s="4">
        <f t="shared" si="439"/>
        <v>0</v>
      </c>
      <c r="BU73" s="4">
        <f t="shared" si="439"/>
        <v>0</v>
      </c>
    </row>
    <row r="74" spans="1:107" ht="15.75" customHeight="1" x14ac:dyDescent="0.25">
      <c r="A74" s="1" t="b">
        <v>1</v>
      </c>
      <c r="B74" s="3">
        <v>46168.635625000003</v>
      </c>
      <c r="C74" s="1" t="s">
        <v>720</v>
      </c>
      <c r="D74" s="1" t="s">
        <v>4</v>
      </c>
      <c r="E74" s="4">
        <f t="shared" ref="E74:K74" si="440">IF(ISNUMBER(SEARCH(E$1,$D74)), SEARCH(E$1,$D74), 0)</f>
        <v>1</v>
      </c>
      <c r="F74" s="4">
        <f t="shared" si="440"/>
        <v>0</v>
      </c>
      <c r="G74" s="4">
        <f t="shared" si="440"/>
        <v>0</v>
      </c>
      <c r="H74" s="4">
        <f t="shared" si="440"/>
        <v>0</v>
      </c>
      <c r="I74" s="4">
        <f t="shared" si="440"/>
        <v>0</v>
      </c>
      <c r="J74" s="4">
        <f t="shared" si="440"/>
        <v>0</v>
      </c>
      <c r="K74" s="4">
        <f t="shared" si="440"/>
        <v>0</v>
      </c>
      <c r="L74" s="4">
        <f t="shared" si="1"/>
        <v>1</v>
      </c>
      <c r="N74" s="1" t="s">
        <v>328</v>
      </c>
      <c r="O74" s="4">
        <f t="shared" ref="O74:T74" si="441">IF(ISNUMBER(SEARCH(O$1,$N74)), 1, 0)</f>
        <v>1</v>
      </c>
      <c r="P74" s="4">
        <f t="shared" si="441"/>
        <v>1</v>
      </c>
      <c r="Q74" s="4">
        <f t="shared" si="441"/>
        <v>1</v>
      </c>
      <c r="R74" s="4">
        <f t="shared" si="441"/>
        <v>0</v>
      </c>
      <c r="S74" s="4">
        <f t="shared" si="441"/>
        <v>0</v>
      </c>
      <c r="T74" s="4">
        <f t="shared" si="441"/>
        <v>0</v>
      </c>
      <c r="V74" s="1" t="s">
        <v>24</v>
      </c>
      <c r="W74" s="1" t="str">
        <f t="shared" si="435"/>
        <v>False</v>
      </c>
      <c r="X74" s="1" t="str">
        <f t="shared" si="435"/>
        <v>False</v>
      </c>
      <c r="Y74" s="1" t="str">
        <f t="shared" si="435"/>
        <v>True</v>
      </c>
      <c r="Z74" s="1" t="str">
        <f t="shared" si="435"/>
        <v>False</v>
      </c>
      <c r="AA74" s="1" t="str">
        <f t="shared" si="435"/>
        <v>False</v>
      </c>
      <c r="AB74" s="1" t="s">
        <v>33</v>
      </c>
      <c r="AC74" s="4">
        <f t="shared" ref="AC74:AH74" si="442">IF(ISNUMBER(SEARCH(AC$1,$AB74)), 1, 0)</f>
        <v>0</v>
      </c>
      <c r="AD74" s="4">
        <f t="shared" si="442"/>
        <v>0</v>
      </c>
      <c r="AE74" s="4">
        <f t="shared" si="442"/>
        <v>0</v>
      </c>
      <c r="AF74" s="4">
        <f t="shared" si="442"/>
        <v>0</v>
      </c>
      <c r="AG74" s="4">
        <f t="shared" si="442"/>
        <v>0</v>
      </c>
      <c r="AH74" s="4">
        <f t="shared" si="442"/>
        <v>1</v>
      </c>
      <c r="AI74" s="1">
        <f t="shared" si="5"/>
        <v>1</v>
      </c>
      <c r="AK74" s="1" t="s">
        <v>246</v>
      </c>
      <c r="AL74" s="4">
        <f t="shared" ref="AL74:AS74" si="443">IF(ISNUMBER(SEARCH(AL$1,$AK74)), 1, 0)</f>
        <v>1</v>
      </c>
      <c r="AM74" s="4">
        <f t="shared" si="443"/>
        <v>1</v>
      </c>
      <c r="AN74" s="4">
        <f t="shared" si="443"/>
        <v>0</v>
      </c>
      <c r="AO74" s="4">
        <f t="shared" si="443"/>
        <v>1</v>
      </c>
      <c r="AP74" s="4">
        <f t="shared" si="443"/>
        <v>0</v>
      </c>
      <c r="AQ74" s="4">
        <f t="shared" si="443"/>
        <v>1</v>
      </c>
      <c r="AR74" s="4">
        <f t="shared" si="443"/>
        <v>0</v>
      </c>
      <c r="AS74" s="4">
        <f t="shared" si="443"/>
        <v>0</v>
      </c>
      <c r="AU74" s="1" t="s">
        <v>47</v>
      </c>
      <c r="AV74" s="1">
        <f t="shared" si="7"/>
        <v>1</v>
      </c>
      <c r="AW74" s="1">
        <f t="shared" si="8"/>
        <v>0</v>
      </c>
      <c r="AX74" s="1">
        <f t="shared" si="9"/>
        <v>0</v>
      </c>
      <c r="AY74" s="1" t="s">
        <v>47</v>
      </c>
      <c r="BA74" s="1" t="s">
        <v>624</v>
      </c>
      <c r="BB74" s="4">
        <f t="shared" ref="BB74:BJ74" si="444">IF(ISNUMBER(SEARCH(BB$1,$BA74)), 1, 0)</f>
        <v>0</v>
      </c>
      <c r="BC74" s="4">
        <f t="shared" si="444"/>
        <v>0</v>
      </c>
      <c r="BD74" s="4">
        <f t="shared" si="444"/>
        <v>0</v>
      </c>
      <c r="BE74" s="4">
        <f t="shared" si="444"/>
        <v>1</v>
      </c>
      <c r="BF74" s="4">
        <f t="shared" si="444"/>
        <v>0</v>
      </c>
      <c r="BG74" s="4">
        <f t="shared" si="444"/>
        <v>1</v>
      </c>
      <c r="BH74" s="4">
        <f t="shared" si="444"/>
        <v>0</v>
      </c>
      <c r="BI74" s="4">
        <f t="shared" si="444"/>
        <v>0</v>
      </c>
      <c r="BJ74" s="4">
        <f t="shared" si="444"/>
        <v>1</v>
      </c>
      <c r="BK74" s="4">
        <f t="shared" si="11"/>
        <v>3</v>
      </c>
      <c r="BO74" s="4">
        <f t="shared" ref="BO74:BU74" si="445">IF(ISNUMBER(SEARCH(BO$1,$BN74)), 1, 0)</f>
        <v>0</v>
      </c>
      <c r="BP74" s="4">
        <f t="shared" si="445"/>
        <v>0</v>
      </c>
      <c r="BQ74" s="4">
        <f t="shared" si="445"/>
        <v>0</v>
      </c>
      <c r="BR74" s="4">
        <f t="shared" si="445"/>
        <v>0</v>
      </c>
      <c r="BS74" s="4">
        <f t="shared" si="445"/>
        <v>0</v>
      </c>
      <c r="BT74" s="4">
        <f t="shared" si="445"/>
        <v>0</v>
      </c>
      <c r="BU74" s="4">
        <f t="shared" si="445"/>
        <v>0</v>
      </c>
      <c r="DC74" s="1" t="s">
        <v>238</v>
      </c>
    </row>
    <row r="75" spans="1:107" ht="15.75" customHeight="1" x14ac:dyDescent="0.25">
      <c r="A75" s="1" t="b">
        <v>1</v>
      </c>
      <c r="B75" s="3">
        <v>46166.365081018521</v>
      </c>
      <c r="C75" s="1" t="s">
        <v>633</v>
      </c>
      <c r="D75" s="1" t="s">
        <v>4</v>
      </c>
      <c r="E75" s="4">
        <f t="shared" ref="E75:K75" si="446">IF(ISNUMBER(SEARCH(E$1,$D75)), SEARCH(E$1,$D75), 0)</f>
        <v>1</v>
      </c>
      <c r="F75" s="4">
        <f t="shared" si="446"/>
        <v>0</v>
      </c>
      <c r="G75" s="4">
        <f t="shared" si="446"/>
        <v>0</v>
      </c>
      <c r="H75" s="4">
        <f t="shared" si="446"/>
        <v>0</v>
      </c>
      <c r="I75" s="4">
        <f t="shared" si="446"/>
        <v>0</v>
      </c>
      <c r="J75" s="4">
        <f t="shared" si="446"/>
        <v>0</v>
      </c>
      <c r="K75" s="4">
        <f t="shared" si="446"/>
        <v>0</v>
      </c>
      <c r="L75" s="4">
        <f t="shared" si="1"/>
        <v>1</v>
      </c>
      <c r="N75" s="1" t="s">
        <v>634</v>
      </c>
      <c r="O75" s="4">
        <f t="shared" ref="O75:T75" si="447">IF(ISNUMBER(SEARCH(O$1,$N75)), 1, 0)</f>
        <v>0</v>
      </c>
      <c r="P75" s="4">
        <f t="shared" si="447"/>
        <v>1</v>
      </c>
      <c r="Q75" s="4">
        <f t="shared" si="447"/>
        <v>1</v>
      </c>
      <c r="R75" s="4">
        <f t="shared" si="447"/>
        <v>1</v>
      </c>
      <c r="S75" s="4">
        <f t="shared" si="447"/>
        <v>0</v>
      </c>
      <c r="T75" s="4">
        <f t="shared" si="447"/>
        <v>0</v>
      </c>
      <c r="V75" s="1" t="s">
        <v>25</v>
      </c>
      <c r="W75" s="1" t="str">
        <f t="shared" si="435"/>
        <v>False</v>
      </c>
      <c r="X75" s="1" t="str">
        <f t="shared" si="435"/>
        <v>False</v>
      </c>
      <c r="Y75" s="1" t="str">
        <f t="shared" si="435"/>
        <v>False</v>
      </c>
      <c r="Z75" s="1" t="str">
        <f t="shared" si="435"/>
        <v>True</v>
      </c>
      <c r="AA75" s="1" t="str">
        <f t="shared" si="435"/>
        <v>False</v>
      </c>
      <c r="AB75" s="1" t="s">
        <v>487</v>
      </c>
      <c r="AC75" s="4">
        <f t="shared" ref="AC75:AH75" si="448">IF(ISNUMBER(SEARCH(AC$1,$AB75)), 1, 0)</f>
        <v>0</v>
      </c>
      <c r="AD75" s="4">
        <f t="shared" si="448"/>
        <v>0</v>
      </c>
      <c r="AE75" s="4">
        <f t="shared" si="448"/>
        <v>0</v>
      </c>
      <c r="AF75" s="4">
        <f t="shared" si="448"/>
        <v>1</v>
      </c>
      <c r="AG75" s="4">
        <f t="shared" si="448"/>
        <v>0</v>
      </c>
      <c r="AH75" s="4">
        <f t="shared" si="448"/>
        <v>1</v>
      </c>
      <c r="AI75" s="1">
        <f t="shared" si="5"/>
        <v>2</v>
      </c>
      <c r="AK75" s="1" t="s">
        <v>246</v>
      </c>
      <c r="AL75" s="4">
        <f t="shared" ref="AL75:AS75" si="449">IF(ISNUMBER(SEARCH(AL$1,$AK75)), 1, 0)</f>
        <v>1</v>
      </c>
      <c r="AM75" s="4">
        <f t="shared" si="449"/>
        <v>1</v>
      </c>
      <c r="AN75" s="4">
        <f t="shared" si="449"/>
        <v>0</v>
      </c>
      <c r="AO75" s="4">
        <f t="shared" si="449"/>
        <v>1</v>
      </c>
      <c r="AP75" s="4">
        <f t="shared" si="449"/>
        <v>0</v>
      </c>
      <c r="AQ75" s="4">
        <f t="shared" si="449"/>
        <v>1</v>
      </c>
      <c r="AR75" s="4">
        <f t="shared" si="449"/>
        <v>0</v>
      </c>
      <c r="AS75" s="4">
        <f t="shared" si="449"/>
        <v>0</v>
      </c>
      <c r="AU75" s="1" t="s">
        <v>48</v>
      </c>
      <c r="AV75" s="1">
        <f t="shared" si="7"/>
        <v>0</v>
      </c>
      <c r="AW75" s="1">
        <f t="shared" si="8"/>
        <v>1</v>
      </c>
      <c r="AX75" s="1">
        <f t="shared" si="9"/>
        <v>0</v>
      </c>
      <c r="AY75" s="1" t="s">
        <v>47</v>
      </c>
      <c r="AZ75" s="1" t="s">
        <v>48</v>
      </c>
      <c r="BA75" s="1" t="s">
        <v>61</v>
      </c>
      <c r="BB75" s="4">
        <f t="shared" ref="BB75:BJ75" si="450">IF(ISNUMBER(SEARCH(BB$1,$BA75)), 1, 0)</f>
        <v>0</v>
      </c>
      <c r="BC75" s="4">
        <f t="shared" si="450"/>
        <v>0</v>
      </c>
      <c r="BD75" s="4">
        <f t="shared" si="450"/>
        <v>0</v>
      </c>
      <c r="BE75" s="4">
        <f t="shared" si="450"/>
        <v>0</v>
      </c>
      <c r="BF75" s="4">
        <f t="shared" si="450"/>
        <v>0</v>
      </c>
      <c r="BG75" s="4">
        <f t="shared" si="450"/>
        <v>0</v>
      </c>
      <c r="BH75" s="4">
        <f t="shared" si="450"/>
        <v>0</v>
      </c>
      <c r="BI75" s="4">
        <f t="shared" si="450"/>
        <v>0</v>
      </c>
      <c r="BJ75" s="4">
        <f t="shared" si="450"/>
        <v>1</v>
      </c>
      <c r="BK75" s="4">
        <f t="shared" si="11"/>
        <v>1</v>
      </c>
      <c r="BO75" s="4">
        <f t="shared" ref="BO75:BU75" si="451">IF(ISNUMBER(SEARCH(BO$1,$BN75)), 1, 0)</f>
        <v>0</v>
      </c>
      <c r="BP75" s="4">
        <f t="shared" si="451"/>
        <v>0</v>
      </c>
      <c r="BQ75" s="4">
        <f t="shared" si="451"/>
        <v>0</v>
      </c>
      <c r="BR75" s="4">
        <f t="shared" si="451"/>
        <v>0</v>
      </c>
      <c r="BS75" s="4">
        <f t="shared" si="451"/>
        <v>0</v>
      </c>
      <c r="BT75" s="4">
        <f t="shared" si="451"/>
        <v>0</v>
      </c>
      <c r="BU75" s="4">
        <f t="shared" si="451"/>
        <v>0</v>
      </c>
      <c r="BW75" s="1" t="s">
        <v>212</v>
      </c>
      <c r="DC75" s="1" t="s">
        <v>180</v>
      </c>
    </row>
    <row r="76" spans="1:107" ht="15.75" customHeight="1" x14ac:dyDescent="0.25">
      <c r="A76" s="1" t="b">
        <v>1</v>
      </c>
      <c r="B76" s="3">
        <v>46153.563831018517</v>
      </c>
      <c r="C76" s="1" t="s">
        <v>322</v>
      </c>
      <c r="D76" s="1" t="s">
        <v>4</v>
      </c>
      <c r="E76" s="4">
        <f t="shared" ref="E76:K76" si="452">IF(ISNUMBER(SEARCH(E$1,$D76)), SEARCH(E$1,$D76), 0)</f>
        <v>1</v>
      </c>
      <c r="F76" s="4">
        <f t="shared" si="452"/>
        <v>0</v>
      </c>
      <c r="G76" s="4">
        <f t="shared" si="452"/>
        <v>0</v>
      </c>
      <c r="H76" s="4">
        <f t="shared" si="452"/>
        <v>0</v>
      </c>
      <c r="I76" s="4">
        <f t="shared" si="452"/>
        <v>0</v>
      </c>
      <c r="J76" s="4">
        <f t="shared" si="452"/>
        <v>0</v>
      </c>
      <c r="K76" s="4">
        <f t="shared" si="452"/>
        <v>0</v>
      </c>
      <c r="L76" s="4">
        <f t="shared" si="1"/>
        <v>1</v>
      </c>
      <c r="N76" s="1" t="s">
        <v>323</v>
      </c>
      <c r="O76" s="4">
        <f t="shared" ref="O76:T76" si="453">IF(ISNUMBER(SEARCH(O$1,$N76)), 1, 0)</f>
        <v>1</v>
      </c>
      <c r="P76" s="4">
        <f t="shared" si="453"/>
        <v>1</v>
      </c>
      <c r="Q76" s="4">
        <f t="shared" si="453"/>
        <v>1</v>
      </c>
      <c r="R76" s="4">
        <f t="shared" si="453"/>
        <v>1</v>
      </c>
      <c r="S76" s="4">
        <f t="shared" si="453"/>
        <v>0</v>
      </c>
      <c r="T76" s="4">
        <f t="shared" si="453"/>
        <v>1</v>
      </c>
      <c r="V76" s="1" t="s">
        <v>23</v>
      </c>
      <c r="W76" s="1" t="str">
        <f t="shared" si="435"/>
        <v>False</v>
      </c>
      <c r="X76" s="1" t="str">
        <f t="shared" si="435"/>
        <v>True</v>
      </c>
      <c r="Y76" s="1" t="str">
        <f t="shared" si="435"/>
        <v>False</v>
      </c>
      <c r="Z76" s="1" t="str">
        <f t="shared" si="435"/>
        <v>False</v>
      </c>
      <c r="AA76" s="1" t="str">
        <f t="shared" si="435"/>
        <v>False</v>
      </c>
      <c r="AB76" s="1" t="s">
        <v>324</v>
      </c>
      <c r="AC76" s="4">
        <f t="shared" ref="AC76:AH76" si="454">IF(ISNUMBER(SEARCH(AC$1,$AB76)), 1, 0)</f>
        <v>0</v>
      </c>
      <c r="AD76" s="4">
        <f t="shared" si="454"/>
        <v>1</v>
      </c>
      <c r="AE76" s="4">
        <f t="shared" si="454"/>
        <v>0</v>
      </c>
      <c r="AF76" s="4">
        <f t="shared" si="454"/>
        <v>0</v>
      </c>
      <c r="AG76" s="4">
        <f t="shared" si="454"/>
        <v>0</v>
      </c>
      <c r="AH76" s="4">
        <f t="shared" si="454"/>
        <v>1</v>
      </c>
      <c r="AI76" s="1">
        <f t="shared" si="5"/>
        <v>2</v>
      </c>
      <c r="AK76" s="1" t="s">
        <v>246</v>
      </c>
      <c r="AL76" s="4">
        <f t="shared" ref="AL76:AS76" si="455">IF(ISNUMBER(SEARCH(AL$1,$AK76)), 1, 0)</f>
        <v>1</v>
      </c>
      <c r="AM76" s="4">
        <f t="shared" si="455"/>
        <v>1</v>
      </c>
      <c r="AN76" s="4">
        <f t="shared" si="455"/>
        <v>0</v>
      </c>
      <c r="AO76" s="4">
        <f t="shared" si="455"/>
        <v>1</v>
      </c>
      <c r="AP76" s="4">
        <f t="shared" si="455"/>
        <v>0</v>
      </c>
      <c r="AQ76" s="4">
        <f t="shared" si="455"/>
        <v>1</v>
      </c>
      <c r="AR76" s="4">
        <f t="shared" si="455"/>
        <v>0</v>
      </c>
      <c r="AS76" s="4">
        <f t="shared" si="455"/>
        <v>0</v>
      </c>
      <c r="AU76" s="1" t="s">
        <v>47</v>
      </c>
      <c r="AV76" s="1">
        <f t="shared" si="7"/>
        <v>1</v>
      </c>
      <c r="AW76" s="1">
        <f t="shared" si="8"/>
        <v>0</v>
      </c>
      <c r="AX76" s="1">
        <f t="shared" si="9"/>
        <v>0</v>
      </c>
      <c r="AY76" s="1" t="s">
        <v>48</v>
      </c>
      <c r="BA76" s="1" t="s">
        <v>325</v>
      </c>
      <c r="BB76" s="4">
        <f t="shared" ref="BB76:BJ76" si="456">IF(ISNUMBER(SEARCH(BB$1,$BA76)), 1, 0)</f>
        <v>1</v>
      </c>
      <c r="BC76" s="4">
        <f t="shared" si="456"/>
        <v>1</v>
      </c>
      <c r="BD76" s="4">
        <f t="shared" si="456"/>
        <v>1</v>
      </c>
      <c r="BE76" s="4">
        <f t="shared" si="456"/>
        <v>0</v>
      </c>
      <c r="BF76" s="4">
        <f t="shared" si="456"/>
        <v>1</v>
      </c>
      <c r="BG76" s="4">
        <f t="shared" si="456"/>
        <v>0</v>
      </c>
      <c r="BH76" s="4">
        <f t="shared" si="456"/>
        <v>0</v>
      </c>
      <c r="BI76" s="4">
        <f t="shared" si="456"/>
        <v>0</v>
      </c>
      <c r="BJ76" s="4">
        <f t="shared" si="456"/>
        <v>1</v>
      </c>
      <c r="BK76" s="4">
        <f t="shared" si="11"/>
        <v>5</v>
      </c>
      <c r="BM76" s="1" t="s">
        <v>232</v>
      </c>
      <c r="BN76" s="1" t="s">
        <v>326</v>
      </c>
      <c r="BO76" s="4">
        <f t="shared" ref="BO76:BU76" si="457">IF(ISNUMBER(SEARCH(BO$1,$BN76)), 1, 0)</f>
        <v>0</v>
      </c>
      <c r="BP76" s="4">
        <f t="shared" si="457"/>
        <v>1</v>
      </c>
      <c r="BQ76" s="4">
        <f t="shared" si="457"/>
        <v>0</v>
      </c>
      <c r="BR76" s="4">
        <f t="shared" si="457"/>
        <v>0</v>
      </c>
      <c r="BS76" s="4">
        <f t="shared" si="457"/>
        <v>0</v>
      </c>
      <c r="BT76" s="4">
        <f t="shared" si="457"/>
        <v>0</v>
      </c>
      <c r="BU76" s="4">
        <f t="shared" si="457"/>
        <v>1</v>
      </c>
      <c r="DC76" s="1" t="s">
        <v>180</v>
      </c>
    </row>
    <row r="77" spans="1:107" ht="15.75" customHeight="1" x14ac:dyDescent="0.25">
      <c r="A77" s="1" t="b">
        <v>1</v>
      </c>
      <c r="B77" s="3">
        <v>46167.011469907404</v>
      </c>
      <c r="C77" s="1" t="s">
        <v>660</v>
      </c>
      <c r="D77" s="1" t="s">
        <v>4</v>
      </c>
      <c r="E77" s="4">
        <f t="shared" ref="E77:K77" si="458">IF(ISNUMBER(SEARCH(E$1,$D77)), SEARCH(E$1,$D77), 0)</f>
        <v>1</v>
      </c>
      <c r="F77" s="4">
        <f t="shared" si="458"/>
        <v>0</v>
      </c>
      <c r="G77" s="4">
        <f t="shared" si="458"/>
        <v>0</v>
      </c>
      <c r="H77" s="4">
        <f t="shared" si="458"/>
        <v>0</v>
      </c>
      <c r="I77" s="4">
        <f t="shared" si="458"/>
        <v>0</v>
      </c>
      <c r="J77" s="4">
        <f t="shared" si="458"/>
        <v>0</v>
      </c>
      <c r="K77" s="4">
        <f t="shared" si="458"/>
        <v>0</v>
      </c>
      <c r="L77" s="4">
        <f t="shared" si="1"/>
        <v>1</v>
      </c>
      <c r="N77" s="1" t="s">
        <v>634</v>
      </c>
      <c r="O77" s="4">
        <f t="shared" ref="O77:T77" si="459">IF(ISNUMBER(SEARCH(O$1,$N77)), 1, 0)</f>
        <v>0</v>
      </c>
      <c r="P77" s="4">
        <f t="shared" si="459"/>
        <v>1</v>
      </c>
      <c r="Q77" s="4">
        <f t="shared" si="459"/>
        <v>1</v>
      </c>
      <c r="R77" s="4">
        <f t="shared" si="459"/>
        <v>1</v>
      </c>
      <c r="S77" s="4">
        <f t="shared" si="459"/>
        <v>0</v>
      </c>
      <c r="T77" s="4">
        <f t="shared" si="459"/>
        <v>0</v>
      </c>
      <c r="V77" s="1" t="s">
        <v>25</v>
      </c>
      <c r="W77" s="1" t="str">
        <f t="shared" si="435"/>
        <v>False</v>
      </c>
      <c r="X77" s="1" t="str">
        <f t="shared" si="435"/>
        <v>False</v>
      </c>
      <c r="Y77" s="1" t="str">
        <f t="shared" si="435"/>
        <v>False</v>
      </c>
      <c r="Z77" s="1" t="str">
        <f t="shared" si="435"/>
        <v>True</v>
      </c>
      <c r="AA77" s="1" t="str">
        <f t="shared" si="435"/>
        <v>False</v>
      </c>
      <c r="AB77" s="1" t="s">
        <v>661</v>
      </c>
      <c r="AC77" s="4">
        <f t="shared" ref="AC77:AH77" si="460">IF(ISNUMBER(SEARCH(AC$1,$AB77)), 1, 0)</f>
        <v>1</v>
      </c>
      <c r="AD77" s="4">
        <f t="shared" si="460"/>
        <v>0</v>
      </c>
      <c r="AE77" s="4">
        <f t="shared" si="460"/>
        <v>0</v>
      </c>
      <c r="AF77" s="4">
        <f t="shared" si="460"/>
        <v>0</v>
      </c>
      <c r="AG77" s="4">
        <f t="shared" si="460"/>
        <v>0</v>
      </c>
      <c r="AH77" s="4">
        <f t="shared" si="460"/>
        <v>1</v>
      </c>
      <c r="AI77" s="1">
        <f t="shared" si="5"/>
        <v>2</v>
      </c>
      <c r="AJ77" s="1" t="s">
        <v>662</v>
      </c>
      <c r="AK77" s="1" t="s">
        <v>663</v>
      </c>
      <c r="AL77" s="4">
        <f t="shared" ref="AL77:AS77" si="461">IF(ISNUMBER(SEARCH(AL$1,$AK77)), 1, 0)</f>
        <v>1</v>
      </c>
      <c r="AM77" s="4">
        <f t="shared" si="461"/>
        <v>1</v>
      </c>
      <c r="AN77" s="4">
        <f t="shared" si="461"/>
        <v>0</v>
      </c>
      <c r="AO77" s="4">
        <f t="shared" si="461"/>
        <v>0</v>
      </c>
      <c r="AP77" s="4">
        <f t="shared" si="461"/>
        <v>0</v>
      </c>
      <c r="AQ77" s="4">
        <f t="shared" si="461"/>
        <v>1</v>
      </c>
      <c r="AR77" s="4">
        <f t="shared" si="461"/>
        <v>0</v>
      </c>
      <c r="AS77" s="4">
        <f t="shared" si="461"/>
        <v>0</v>
      </c>
      <c r="AU77" s="1" t="s">
        <v>48</v>
      </c>
      <c r="AV77" s="1">
        <f t="shared" si="7"/>
        <v>0</v>
      </c>
      <c r="AW77" s="1">
        <f t="shared" si="8"/>
        <v>1</v>
      </c>
      <c r="AX77" s="1">
        <f t="shared" si="9"/>
        <v>0</v>
      </c>
      <c r="AY77" s="1" t="s">
        <v>47</v>
      </c>
      <c r="AZ77" s="1" t="s">
        <v>47</v>
      </c>
      <c r="BA77" s="1" t="s">
        <v>61</v>
      </c>
      <c r="BB77" s="4">
        <f t="shared" ref="BB77:BJ77" si="462">IF(ISNUMBER(SEARCH(BB$1,$BA77)), 1, 0)</f>
        <v>0</v>
      </c>
      <c r="BC77" s="4">
        <f t="shared" si="462"/>
        <v>0</v>
      </c>
      <c r="BD77" s="4">
        <f t="shared" si="462"/>
        <v>0</v>
      </c>
      <c r="BE77" s="4">
        <f t="shared" si="462"/>
        <v>0</v>
      </c>
      <c r="BF77" s="4">
        <f t="shared" si="462"/>
        <v>0</v>
      </c>
      <c r="BG77" s="4">
        <f t="shared" si="462"/>
        <v>0</v>
      </c>
      <c r="BH77" s="4">
        <f t="shared" si="462"/>
        <v>0</v>
      </c>
      <c r="BI77" s="4">
        <f t="shared" si="462"/>
        <v>0</v>
      </c>
      <c r="BJ77" s="4">
        <f t="shared" si="462"/>
        <v>1</v>
      </c>
      <c r="BK77" s="4">
        <f t="shared" si="11"/>
        <v>1</v>
      </c>
      <c r="BO77" s="4">
        <f t="shared" ref="BO77:BU77" si="463">IF(ISNUMBER(SEARCH(BO$1,$BN77)), 1, 0)</f>
        <v>0</v>
      </c>
      <c r="BP77" s="4">
        <f t="shared" si="463"/>
        <v>0</v>
      </c>
      <c r="BQ77" s="4">
        <f t="shared" si="463"/>
        <v>0</v>
      </c>
      <c r="BR77" s="4">
        <f t="shared" si="463"/>
        <v>0</v>
      </c>
      <c r="BS77" s="4">
        <f t="shared" si="463"/>
        <v>0</v>
      </c>
      <c r="BT77" s="4">
        <f t="shared" si="463"/>
        <v>0</v>
      </c>
      <c r="BU77" s="4">
        <f t="shared" si="463"/>
        <v>0</v>
      </c>
      <c r="BW77" s="1" t="s">
        <v>516</v>
      </c>
      <c r="BZ77" s="1" t="s">
        <v>516</v>
      </c>
      <c r="DC77" s="1" t="s">
        <v>238</v>
      </c>
    </row>
    <row r="78" spans="1:107" ht="15.75" customHeight="1" x14ac:dyDescent="0.25">
      <c r="A78" s="1" t="b">
        <v>1</v>
      </c>
      <c r="B78" s="3">
        <v>46164.868333333332</v>
      </c>
      <c r="C78" s="1" t="s">
        <v>562</v>
      </c>
      <c r="D78" s="1" t="s">
        <v>4</v>
      </c>
      <c r="E78" s="4">
        <f t="shared" ref="E78:K78" si="464">IF(ISNUMBER(SEARCH(E$1,$D78)), SEARCH(E$1,$D78), 0)</f>
        <v>1</v>
      </c>
      <c r="F78" s="4">
        <f t="shared" si="464"/>
        <v>0</v>
      </c>
      <c r="G78" s="4">
        <f t="shared" si="464"/>
        <v>0</v>
      </c>
      <c r="H78" s="4">
        <f t="shared" si="464"/>
        <v>0</v>
      </c>
      <c r="I78" s="4">
        <f t="shared" si="464"/>
        <v>0</v>
      </c>
      <c r="J78" s="4">
        <f t="shared" si="464"/>
        <v>0</v>
      </c>
      <c r="K78" s="4">
        <f t="shared" si="464"/>
        <v>0</v>
      </c>
      <c r="L78" s="4">
        <f t="shared" si="1"/>
        <v>1</v>
      </c>
      <c r="N78" s="1" t="s">
        <v>306</v>
      </c>
      <c r="O78" s="4">
        <f t="shared" ref="O78:T78" si="465">IF(ISNUMBER(SEARCH(O$1,$N78)), 1, 0)</f>
        <v>1</v>
      </c>
      <c r="P78" s="4">
        <f t="shared" si="465"/>
        <v>1</v>
      </c>
      <c r="Q78" s="4">
        <f t="shared" si="465"/>
        <v>0</v>
      </c>
      <c r="R78" s="4">
        <f t="shared" si="465"/>
        <v>0</v>
      </c>
      <c r="S78" s="4">
        <f t="shared" si="465"/>
        <v>1</v>
      </c>
      <c r="T78" s="4">
        <f t="shared" si="465"/>
        <v>0</v>
      </c>
      <c r="V78" s="1" t="s">
        <v>25</v>
      </c>
      <c r="W78" s="1" t="str">
        <f t="shared" si="435"/>
        <v>False</v>
      </c>
      <c r="X78" s="1" t="str">
        <f t="shared" si="435"/>
        <v>False</v>
      </c>
      <c r="Y78" s="1" t="str">
        <f t="shared" si="435"/>
        <v>False</v>
      </c>
      <c r="Z78" s="1" t="str">
        <f t="shared" si="435"/>
        <v>True</v>
      </c>
      <c r="AA78" s="1" t="str">
        <f t="shared" si="435"/>
        <v>False</v>
      </c>
      <c r="AB78" s="1" t="s">
        <v>563</v>
      </c>
      <c r="AC78" s="4">
        <f t="shared" ref="AC78:AH78" si="466">IF(ISNUMBER(SEARCH(AC$1,$AB78)), 1, 0)</f>
        <v>0</v>
      </c>
      <c r="AD78" s="4">
        <f t="shared" si="466"/>
        <v>1</v>
      </c>
      <c r="AE78" s="4">
        <f t="shared" si="466"/>
        <v>0</v>
      </c>
      <c r="AF78" s="4">
        <f t="shared" si="466"/>
        <v>0</v>
      </c>
      <c r="AG78" s="4">
        <f t="shared" si="466"/>
        <v>1</v>
      </c>
      <c r="AH78" s="4">
        <f t="shared" si="466"/>
        <v>1</v>
      </c>
      <c r="AI78" s="1">
        <f t="shared" si="5"/>
        <v>3</v>
      </c>
      <c r="AJ78" s="1" t="s">
        <v>564</v>
      </c>
      <c r="AK78" s="1" t="s">
        <v>565</v>
      </c>
      <c r="AL78" s="4">
        <f t="shared" ref="AL78:AS78" si="467">IF(ISNUMBER(SEARCH(AL$1,$AK78)), 1, 0)</f>
        <v>1</v>
      </c>
      <c r="AM78" s="4">
        <f t="shared" si="467"/>
        <v>0</v>
      </c>
      <c r="AN78" s="4">
        <f t="shared" si="467"/>
        <v>0</v>
      </c>
      <c r="AO78" s="4">
        <f t="shared" si="467"/>
        <v>1</v>
      </c>
      <c r="AP78" s="4">
        <f t="shared" si="467"/>
        <v>0</v>
      </c>
      <c r="AQ78" s="4">
        <f t="shared" si="467"/>
        <v>1</v>
      </c>
      <c r="AR78" s="4">
        <f t="shared" si="467"/>
        <v>0</v>
      </c>
      <c r="AS78" s="4">
        <f t="shared" si="467"/>
        <v>0</v>
      </c>
      <c r="AU78" s="1" t="s">
        <v>48</v>
      </c>
      <c r="AV78" s="1">
        <f t="shared" si="7"/>
        <v>0</v>
      </c>
      <c r="AW78" s="1">
        <f t="shared" si="8"/>
        <v>1</v>
      </c>
      <c r="AX78" s="1">
        <f t="shared" si="9"/>
        <v>0</v>
      </c>
      <c r="AY78" s="1" t="s">
        <v>48</v>
      </c>
      <c r="BA78" s="1" t="s">
        <v>185</v>
      </c>
      <c r="BB78" s="4">
        <f t="shared" ref="BB78:BJ78" si="468">IF(ISNUMBER(SEARCH(BB$1,$BA78)), 1, 0)</f>
        <v>0</v>
      </c>
      <c r="BC78" s="4">
        <f t="shared" si="468"/>
        <v>1</v>
      </c>
      <c r="BD78" s="4">
        <f t="shared" si="468"/>
        <v>0</v>
      </c>
      <c r="BE78" s="4">
        <f t="shared" si="468"/>
        <v>1</v>
      </c>
      <c r="BF78" s="4">
        <f t="shared" si="468"/>
        <v>0</v>
      </c>
      <c r="BG78" s="4">
        <f t="shared" si="468"/>
        <v>0</v>
      </c>
      <c r="BH78" s="4">
        <f t="shared" si="468"/>
        <v>0</v>
      </c>
      <c r="BI78" s="4">
        <f t="shared" si="468"/>
        <v>0</v>
      </c>
      <c r="BJ78" s="4">
        <f t="shared" si="468"/>
        <v>1</v>
      </c>
      <c r="BK78" s="4">
        <f t="shared" si="11"/>
        <v>3</v>
      </c>
      <c r="BM78" s="1" t="s">
        <v>190</v>
      </c>
      <c r="BN78" s="1" t="s">
        <v>566</v>
      </c>
      <c r="BO78" s="4">
        <f t="shared" ref="BO78:BU78" si="469">IF(ISNUMBER(SEARCH(BO$1,$BN78)), 1, 0)</f>
        <v>1</v>
      </c>
      <c r="BP78" s="4">
        <f t="shared" si="469"/>
        <v>0</v>
      </c>
      <c r="BQ78" s="4">
        <f t="shared" si="469"/>
        <v>0</v>
      </c>
      <c r="BR78" s="4">
        <f t="shared" si="469"/>
        <v>1</v>
      </c>
      <c r="BS78" s="4">
        <f t="shared" si="469"/>
        <v>0</v>
      </c>
      <c r="BT78" s="4">
        <f t="shared" si="469"/>
        <v>1</v>
      </c>
      <c r="BU78" s="4">
        <f t="shared" si="469"/>
        <v>0</v>
      </c>
      <c r="BW78" s="1" t="s">
        <v>277</v>
      </c>
      <c r="BZ78" s="1" t="s">
        <v>234</v>
      </c>
      <c r="DC78" s="1" t="s">
        <v>238</v>
      </c>
    </row>
    <row r="79" spans="1:107" ht="15.75" customHeight="1" x14ac:dyDescent="0.25">
      <c r="A79" s="1" t="b">
        <v>1</v>
      </c>
      <c r="B79" s="3">
        <v>46164.872199074074</v>
      </c>
      <c r="C79" s="1" t="s">
        <v>567</v>
      </c>
      <c r="D79" s="1" t="s">
        <v>4</v>
      </c>
      <c r="E79" s="4">
        <f t="shared" ref="E79:K79" si="470">IF(ISNUMBER(SEARCH(E$1,$D79)), SEARCH(E$1,$D79), 0)</f>
        <v>1</v>
      </c>
      <c r="F79" s="4">
        <f t="shared" si="470"/>
        <v>0</v>
      </c>
      <c r="G79" s="4">
        <f t="shared" si="470"/>
        <v>0</v>
      </c>
      <c r="H79" s="4">
        <f t="shared" si="470"/>
        <v>0</v>
      </c>
      <c r="I79" s="4">
        <f t="shared" si="470"/>
        <v>0</v>
      </c>
      <c r="J79" s="4">
        <f t="shared" si="470"/>
        <v>0</v>
      </c>
      <c r="K79" s="4">
        <f t="shared" si="470"/>
        <v>0</v>
      </c>
      <c r="L79" s="4">
        <f t="shared" si="1"/>
        <v>1</v>
      </c>
      <c r="N79" s="1" t="s">
        <v>272</v>
      </c>
      <c r="O79" s="4">
        <f t="shared" ref="O79:T79" si="471">IF(ISNUMBER(SEARCH(O$1,$N79)), 1, 0)</f>
        <v>1</v>
      </c>
      <c r="P79" s="4">
        <f t="shared" si="471"/>
        <v>1</v>
      </c>
      <c r="Q79" s="4">
        <f t="shared" si="471"/>
        <v>1</v>
      </c>
      <c r="R79" s="4">
        <f t="shared" si="471"/>
        <v>1</v>
      </c>
      <c r="S79" s="4">
        <f t="shared" si="471"/>
        <v>1</v>
      </c>
      <c r="T79" s="4">
        <f t="shared" si="471"/>
        <v>0</v>
      </c>
      <c r="W79" s="1" t="str">
        <f t="shared" si="435"/>
        <v>False</v>
      </c>
      <c r="X79" s="1" t="str">
        <f t="shared" si="435"/>
        <v>False</v>
      </c>
      <c r="Y79" s="1" t="str">
        <f t="shared" si="435"/>
        <v>False</v>
      </c>
      <c r="Z79" s="1" t="str">
        <f t="shared" si="435"/>
        <v>False</v>
      </c>
      <c r="AA79" s="1" t="str">
        <f t="shared" si="435"/>
        <v>False</v>
      </c>
      <c r="AB79" s="1" t="s">
        <v>568</v>
      </c>
      <c r="AC79" s="4">
        <f t="shared" ref="AC79:AH79" si="472">IF(ISNUMBER(SEARCH(AC$1,$AB79)), 1, 0)</f>
        <v>1</v>
      </c>
      <c r="AD79" s="4">
        <f t="shared" si="472"/>
        <v>0</v>
      </c>
      <c r="AE79" s="4">
        <f t="shared" si="472"/>
        <v>0</v>
      </c>
      <c r="AF79" s="4">
        <f t="shared" si="472"/>
        <v>1</v>
      </c>
      <c r="AG79" s="4">
        <f t="shared" si="472"/>
        <v>0</v>
      </c>
      <c r="AH79" s="4">
        <f t="shared" si="472"/>
        <v>1</v>
      </c>
      <c r="AI79" s="1">
        <f t="shared" si="5"/>
        <v>3</v>
      </c>
      <c r="AK79" s="1" t="s">
        <v>246</v>
      </c>
      <c r="AL79" s="4">
        <f t="shared" ref="AL79:AS79" si="473">IF(ISNUMBER(SEARCH(AL$1,$AK79)), 1, 0)</f>
        <v>1</v>
      </c>
      <c r="AM79" s="4">
        <f t="shared" si="473"/>
        <v>1</v>
      </c>
      <c r="AN79" s="4">
        <f t="shared" si="473"/>
        <v>0</v>
      </c>
      <c r="AO79" s="4">
        <f t="shared" si="473"/>
        <v>1</v>
      </c>
      <c r="AP79" s="4">
        <f t="shared" si="473"/>
        <v>0</v>
      </c>
      <c r="AQ79" s="4">
        <f t="shared" si="473"/>
        <v>1</v>
      </c>
      <c r="AR79" s="4">
        <f t="shared" si="473"/>
        <v>0</v>
      </c>
      <c r="AS79" s="4">
        <f t="shared" si="473"/>
        <v>0</v>
      </c>
      <c r="AU79" s="1" t="s">
        <v>47</v>
      </c>
      <c r="AV79" s="1">
        <f t="shared" si="7"/>
        <v>1</v>
      </c>
      <c r="AW79" s="1">
        <f t="shared" si="8"/>
        <v>0</v>
      </c>
      <c r="AX79" s="1">
        <f t="shared" si="9"/>
        <v>0</v>
      </c>
      <c r="AY79" s="1" t="s">
        <v>48</v>
      </c>
      <c r="BA79" s="1" t="s">
        <v>569</v>
      </c>
      <c r="BB79" s="4">
        <f t="shared" ref="BB79:BJ79" si="474">IF(ISNUMBER(SEARCH(BB$1,$BA79)), 1, 0)</f>
        <v>0</v>
      </c>
      <c r="BC79" s="4">
        <f t="shared" si="474"/>
        <v>1</v>
      </c>
      <c r="BD79" s="4">
        <f t="shared" si="474"/>
        <v>1</v>
      </c>
      <c r="BE79" s="4">
        <f t="shared" si="474"/>
        <v>0</v>
      </c>
      <c r="BF79" s="4">
        <f t="shared" si="474"/>
        <v>1</v>
      </c>
      <c r="BG79" s="4">
        <f t="shared" si="474"/>
        <v>0</v>
      </c>
      <c r="BH79" s="4">
        <f t="shared" si="474"/>
        <v>0</v>
      </c>
      <c r="BI79" s="4">
        <f t="shared" si="474"/>
        <v>1</v>
      </c>
      <c r="BJ79" s="4">
        <f t="shared" si="474"/>
        <v>1</v>
      </c>
      <c r="BK79" s="4">
        <f t="shared" si="11"/>
        <v>5</v>
      </c>
      <c r="BM79" s="1" t="s">
        <v>232</v>
      </c>
      <c r="BN79" s="1" t="s">
        <v>340</v>
      </c>
      <c r="BO79" s="4">
        <f t="shared" ref="BO79:BU79" si="475">IF(ISNUMBER(SEARCH(BO$1,$BN79)), 1, 0)</f>
        <v>1</v>
      </c>
      <c r="BP79" s="4">
        <f t="shared" si="475"/>
        <v>1</v>
      </c>
      <c r="BQ79" s="4">
        <f t="shared" si="475"/>
        <v>0</v>
      </c>
      <c r="BR79" s="4">
        <f t="shared" si="475"/>
        <v>0</v>
      </c>
      <c r="BS79" s="4">
        <f t="shared" si="475"/>
        <v>0</v>
      </c>
      <c r="BT79" s="4">
        <f t="shared" si="475"/>
        <v>0</v>
      </c>
      <c r="BU79" s="4">
        <f t="shared" si="475"/>
        <v>0</v>
      </c>
      <c r="DC79" s="1" t="s">
        <v>180</v>
      </c>
    </row>
    <row r="80" spans="1:107" ht="15.75" customHeight="1" x14ac:dyDescent="0.25">
      <c r="A80" s="1" t="b">
        <v>1</v>
      </c>
      <c r="B80" s="3">
        <v>46171.795347222222</v>
      </c>
      <c r="C80" s="1" t="s">
        <v>781</v>
      </c>
      <c r="D80" s="1" t="s">
        <v>4</v>
      </c>
      <c r="E80" s="4">
        <f t="shared" ref="E80:K80" si="476">IF(ISNUMBER(SEARCH(E$1,$D80)), SEARCH(E$1,$D80), 0)</f>
        <v>1</v>
      </c>
      <c r="F80" s="4">
        <f t="shared" si="476"/>
        <v>0</v>
      </c>
      <c r="G80" s="4">
        <f t="shared" si="476"/>
        <v>0</v>
      </c>
      <c r="H80" s="4">
        <f t="shared" si="476"/>
        <v>0</v>
      </c>
      <c r="I80" s="4">
        <f t="shared" si="476"/>
        <v>0</v>
      </c>
      <c r="J80" s="4">
        <f t="shared" si="476"/>
        <v>0</v>
      </c>
      <c r="K80" s="4">
        <f t="shared" si="476"/>
        <v>0</v>
      </c>
      <c r="L80" s="4">
        <f t="shared" si="1"/>
        <v>1</v>
      </c>
      <c r="N80" s="1" t="s">
        <v>328</v>
      </c>
      <c r="O80" s="4">
        <f t="shared" ref="O80:T80" si="477">IF(ISNUMBER(SEARCH(O$1,$N80)), 1, 0)</f>
        <v>1</v>
      </c>
      <c r="P80" s="4">
        <f t="shared" si="477"/>
        <v>1</v>
      </c>
      <c r="Q80" s="4">
        <f t="shared" si="477"/>
        <v>1</v>
      </c>
      <c r="R80" s="4">
        <f t="shared" si="477"/>
        <v>0</v>
      </c>
      <c r="S80" s="4">
        <f t="shared" si="477"/>
        <v>0</v>
      </c>
      <c r="T80" s="4">
        <f t="shared" si="477"/>
        <v>0</v>
      </c>
      <c r="V80" s="1" t="s">
        <v>26</v>
      </c>
      <c r="W80" s="1" t="str">
        <f t="shared" si="435"/>
        <v>False</v>
      </c>
      <c r="X80" s="1" t="str">
        <f t="shared" si="435"/>
        <v>False</v>
      </c>
      <c r="Y80" s="1" t="str">
        <f t="shared" si="435"/>
        <v>False</v>
      </c>
      <c r="Z80" s="1" t="str">
        <f t="shared" si="435"/>
        <v>False</v>
      </c>
      <c r="AA80" s="1" t="str">
        <f t="shared" si="435"/>
        <v>True</v>
      </c>
      <c r="AB80" s="1" t="s">
        <v>273</v>
      </c>
      <c r="AC80" s="4">
        <f t="shared" ref="AC80:AH80" si="478">IF(ISNUMBER(SEARCH(AC$1,$AB80)), 1, 0)</f>
        <v>0</v>
      </c>
      <c r="AD80" s="4">
        <f t="shared" si="478"/>
        <v>0</v>
      </c>
      <c r="AE80" s="4">
        <f t="shared" si="478"/>
        <v>0</v>
      </c>
      <c r="AF80" s="4">
        <f t="shared" si="478"/>
        <v>0</v>
      </c>
      <c r="AG80" s="4">
        <f t="shared" si="478"/>
        <v>1</v>
      </c>
      <c r="AH80" s="4">
        <f t="shared" si="478"/>
        <v>0</v>
      </c>
      <c r="AI80" s="1">
        <f t="shared" si="5"/>
        <v>1</v>
      </c>
      <c r="AJ80" s="1" t="s">
        <v>782</v>
      </c>
      <c r="AK80" s="1" t="s">
        <v>565</v>
      </c>
      <c r="AL80" s="4">
        <f t="shared" ref="AL80:AS80" si="479">IF(ISNUMBER(SEARCH(AL$1,$AK80)), 1, 0)</f>
        <v>1</v>
      </c>
      <c r="AM80" s="4">
        <f t="shared" si="479"/>
        <v>0</v>
      </c>
      <c r="AN80" s="4">
        <f t="shared" si="479"/>
        <v>0</v>
      </c>
      <c r="AO80" s="4">
        <f t="shared" si="479"/>
        <v>1</v>
      </c>
      <c r="AP80" s="4">
        <f t="shared" si="479"/>
        <v>0</v>
      </c>
      <c r="AQ80" s="4">
        <f t="shared" si="479"/>
        <v>1</v>
      </c>
      <c r="AR80" s="4">
        <f t="shared" si="479"/>
        <v>0</v>
      </c>
      <c r="AS80" s="4">
        <f t="shared" si="479"/>
        <v>0</v>
      </c>
      <c r="AU80" s="1" t="s">
        <v>48</v>
      </c>
      <c r="AV80" s="1">
        <f t="shared" si="7"/>
        <v>0</v>
      </c>
      <c r="AW80" s="1">
        <f t="shared" si="8"/>
        <v>1</v>
      </c>
      <c r="AX80" s="1">
        <f t="shared" si="9"/>
        <v>0</v>
      </c>
      <c r="AY80" s="1" t="s">
        <v>48</v>
      </c>
      <c r="BA80" s="1" t="s">
        <v>783</v>
      </c>
      <c r="BB80" s="4">
        <f t="shared" ref="BB80:BJ80" si="480">IF(ISNUMBER(SEARCH(BB$1,$BA80)), 1, 0)</f>
        <v>0</v>
      </c>
      <c r="BC80" s="4">
        <f t="shared" si="480"/>
        <v>0</v>
      </c>
      <c r="BD80" s="4">
        <f t="shared" si="480"/>
        <v>0</v>
      </c>
      <c r="BE80" s="4">
        <f t="shared" si="480"/>
        <v>0</v>
      </c>
      <c r="BF80" s="4">
        <f t="shared" si="480"/>
        <v>1</v>
      </c>
      <c r="BG80" s="4">
        <f t="shared" si="480"/>
        <v>0</v>
      </c>
      <c r="BH80" s="4">
        <f t="shared" si="480"/>
        <v>0</v>
      </c>
      <c r="BI80" s="4">
        <f t="shared" si="480"/>
        <v>0</v>
      </c>
      <c r="BJ80" s="4">
        <f t="shared" si="480"/>
        <v>1</v>
      </c>
      <c r="BK80" s="4">
        <f t="shared" si="11"/>
        <v>2</v>
      </c>
      <c r="BM80" s="1" t="s">
        <v>166</v>
      </c>
      <c r="BN80" s="1" t="s">
        <v>744</v>
      </c>
      <c r="BO80" s="4">
        <f t="shared" ref="BO80:BU80" si="481">IF(ISNUMBER(SEARCH(BO$1,$BN80)), 1, 0)</f>
        <v>0</v>
      </c>
      <c r="BP80" s="4">
        <f t="shared" si="481"/>
        <v>0</v>
      </c>
      <c r="BQ80" s="4">
        <f t="shared" si="481"/>
        <v>0</v>
      </c>
      <c r="BR80" s="4">
        <f t="shared" si="481"/>
        <v>1</v>
      </c>
      <c r="BS80" s="4">
        <f t="shared" si="481"/>
        <v>0</v>
      </c>
      <c r="BT80" s="4">
        <f t="shared" si="481"/>
        <v>0</v>
      </c>
      <c r="BU80" s="4">
        <f t="shared" si="481"/>
        <v>1</v>
      </c>
      <c r="BW80" s="1" t="s">
        <v>516</v>
      </c>
      <c r="BZ80" s="1" t="s">
        <v>516</v>
      </c>
      <c r="DC80" s="1" t="s">
        <v>238</v>
      </c>
    </row>
    <row r="81" spans="1:107" ht="15.75" customHeight="1" x14ac:dyDescent="0.25">
      <c r="A81" s="1" t="b">
        <v>1</v>
      </c>
      <c r="B81" s="3">
        <v>46153.465046296296</v>
      </c>
      <c r="C81" s="1" t="s">
        <v>310</v>
      </c>
      <c r="D81" s="1" t="s">
        <v>4</v>
      </c>
      <c r="E81" s="4">
        <f t="shared" ref="E81:K81" si="482">IF(ISNUMBER(SEARCH(E$1,$D81)), SEARCH(E$1,$D81), 0)</f>
        <v>1</v>
      </c>
      <c r="F81" s="4">
        <f t="shared" si="482"/>
        <v>0</v>
      </c>
      <c r="G81" s="4">
        <f t="shared" si="482"/>
        <v>0</v>
      </c>
      <c r="H81" s="4">
        <f t="shared" si="482"/>
        <v>0</v>
      </c>
      <c r="I81" s="4">
        <f t="shared" si="482"/>
        <v>0</v>
      </c>
      <c r="J81" s="4">
        <f t="shared" si="482"/>
        <v>0</v>
      </c>
      <c r="K81" s="4">
        <f t="shared" si="482"/>
        <v>0</v>
      </c>
      <c r="L81" s="4">
        <f t="shared" si="1"/>
        <v>1</v>
      </c>
      <c r="N81" s="1" t="s">
        <v>244</v>
      </c>
      <c r="O81" s="4">
        <f t="shared" ref="O81:T81" si="483">IF(ISNUMBER(SEARCH(O$1,$N81)), 1, 0)</f>
        <v>1</v>
      </c>
      <c r="P81" s="4">
        <f t="shared" si="483"/>
        <v>0</v>
      </c>
      <c r="Q81" s="4">
        <f t="shared" si="483"/>
        <v>1</v>
      </c>
      <c r="R81" s="4">
        <f t="shared" si="483"/>
        <v>1</v>
      </c>
      <c r="S81" s="4">
        <f t="shared" si="483"/>
        <v>0</v>
      </c>
      <c r="T81" s="4">
        <f t="shared" si="483"/>
        <v>0</v>
      </c>
      <c r="V81" s="1" t="s">
        <v>26</v>
      </c>
      <c r="W81" s="1" t="str">
        <f t="shared" si="435"/>
        <v>False</v>
      </c>
      <c r="X81" s="1" t="str">
        <f t="shared" si="435"/>
        <v>False</v>
      </c>
      <c r="Y81" s="1" t="str">
        <f t="shared" si="435"/>
        <v>False</v>
      </c>
      <c r="Z81" s="1" t="str">
        <f t="shared" si="435"/>
        <v>False</v>
      </c>
      <c r="AA81" s="1" t="str">
        <f t="shared" si="435"/>
        <v>True</v>
      </c>
      <c r="AB81" s="1" t="s">
        <v>311</v>
      </c>
      <c r="AC81" s="4">
        <f t="shared" ref="AC81:AH81" si="484">IF(ISNUMBER(SEARCH(AC$1,$AB81)), 1, 0)</f>
        <v>1</v>
      </c>
      <c r="AD81" s="4">
        <f t="shared" si="484"/>
        <v>0</v>
      </c>
      <c r="AE81" s="4">
        <f t="shared" si="484"/>
        <v>0</v>
      </c>
      <c r="AF81" s="4">
        <f t="shared" si="484"/>
        <v>0</v>
      </c>
      <c r="AG81" s="4">
        <f t="shared" si="484"/>
        <v>0</v>
      </c>
      <c r="AH81" s="4">
        <f t="shared" si="484"/>
        <v>0</v>
      </c>
      <c r="AI81" s="1">
        <f t="shared" si="5"/>
        <v>1</v>
      </c>
      <c r="AJ81" s="1" t="s">
        <v>312</v>
      </c>
      <c r="AK81" s="1" t="s">
        <v>313</v>
      </c>
      <c r="AL81" s="4">
        <f t="shared" ref="AL81:AS81" si="485">IF(ISNUMBER(SEARCH(AL$1,$AK81)), 1, 0)</f>
        <v>1</v>
      </c>
      <c r="AM81" s="4">
        <f t="shared" si="485"/>
        <v>1</v>
      </c>
      <c r="AN81" s="4">
        <f t="shared" si="485"/>
        <v>0</v>
      </c>
      <c r="AO81" s="4">
        <f t="shared" si="485"/>
        <v>1</v>
      </c>
      <c r="AP81" s="4">
        <f t="shared" si="485"/>
        <v>1</v>
      </c>
      <c r="AQ81" s="4">
        <f t="shared" si="485"/>
        <v>1</v>
      </c>
      <c r="AR81" s="4">
        <f t="shared" si="485"/>
        <v>0</v>
      </c>
      <c r="AS81" s="4">
        <f t="shared" si="485"/>
        <v>0</v>
      </c>
      <c r="AU81" s="1" t="s">
        <v>47</v>
      </c>
      <c r="AV81" s="1">
        <f t="shared" si="7"/>
        <v>1</v>
      </c>
      <c r="AW81" s="1">
        <f t="shared" si="8"/>
        <v>0</v>
      </c>
      <c r="AX81" s="1">
        <f t="shared" si="9"/>
        <v>0</v>
      </c>
      <c r="AY81" s="1" t="s">
        <v>48</v>
      </c>
      <c r="BA81" s="1" t="s">
        <v>314</v>
      </c>
      <c r="BB81" s="4">
        <f t="shared" ref="BB81:BJ81" si="486">IF(ISNUMBER(SEARCH(BB$1,$BA81)), 1, 0)</f>
        <v>0</v>
      </c>
      <c r="BC81" s="4">
        <f t="shared" si="486"/>
        <v>0</v>
      </c>
      <c r="BD81" s="4">
        <f t="shared" si="486"/>
        <v>1</v>
      </c>
      <c r="BE81" s="4">
        <f t="shared" si="486"/>
        <v>1</v>
      </c>
      <c r="BF81" s="4">
        <f t="shared" si="486"/>
        <v>0</v>
      </c>
      <c r="BG81" s="4">
        <f t="shared" si="486"/>
        <v>1</v>
      </c>
      <c r="BH81" s="4">
        <f t="shared" si="486"/>
        <v>0</v>
      </c>
      <c r="BI81" s="4">
        <f t="shared" si="486"/>
        <v>0</v>
      </c>
      <c r="BJ81" s="4">
        <f t="shared" si="486"/>
        <v>1</v>
      </c>
      <c r="BK81" s="4">
        <f t="shared" si="11"/>
        <v>4</v>
      </c>
      <c r="BO81" s="4">
        <f t="shared" ref="BO81:BU81" si="487">IF(ISNUMBER(SEARCH(BO$1,$BN81)), 1, 0)</f>
        <v>0</v>
      </c>
      <c r="BP81" s="4">
        <f t="shared" si="487"/>
        <v>0</v>
      </c>
      <c r="BQ81" s="4">
        <f t="shared" si="487"/>
        <v>0</v>
      </c>
      <c r="BR81" s="4">
        <f t="shared" si="487"/>
        <v>0</v>
      </c>
      <c r="BS81" s="4">
        <f t="shared" si="487"/>
        <v>0</v>
      </c>
      <c r="BT81" s="4">
        <f t="shared" si="487"/>
        <v>0</v>
      </c>
      <c r="BU81" s="4">
        <f t="shared" si="487"/>
        <v>0</v>
      </c>
      <c r="DC81" s="1" t="s">
        <v>180</v>
      </c>
    </row>
    <row r="82" spans="1:107" ht="15.75" customHeight="1" x14ac:dyDescent="0.25">
      <c r="A82" s="1" t="b">
        <v>1</v>
      </c>
      <c r="B82" s="3">
        <v>46160.753634259258</v>
      </c>
      <c r="C82" s="1" t="s">
        <v>416</v>
      </c>
      <c r="D82" s="1" t="s">
        <v>4</v>
      </c>
      <c r="E82" s="4">
        <f t="shared" ref="E82:K82" si="488">IF(ISNUMBER(SEARCH(E$1,$D82)), SEARCH(E$1,$D82), 0)</f>
        <v>1</v>
      </c>
      <c r="F82" s="4">
        <f t="shared" si="488"/>
        <v>0</v>
      </c>
      <c r="G82" s="4">
        <f t="shared" si="488"/>
        <v>0</v>
      </c>
      <c r="H82" s="4">
        <f t="shared" si="488"/>
        <v>0</v>
      </c>
      <c r="I82" s="4">
        <f t="shared" si="488"/>
        <v>0</v>
      </c>
      <c r="J82" s="4">
        <f t="shared" si="488"/>
        <v>0</v>
      </c>
      <c r="K82" s="4">
        <f t="shared" si="488"/>
        <v>0</v>
      </c>
      <c r="L82" s="4">
        <f t="shared" si="1"/>
        <v>1</v>
      </c>
      <c r="N82" s="1" t="s">
        <v>240</v>
      </c>
      <c r="O82" s="4">
        <f t="shared" ref="O82:T82" si="489">IF(ISNUMBER(SEARCH(O$1,$N82)), 1, 0)</f>
        <v>1</v>
      </c>
      <c r="P82" s="4">
        <f t="shared" si="489"/>
        <v>1</v>
      </c>
      <c r="Q82" s="4">
        <f t="shared" si="489"/>
        <v>1</v>
      </c>
      <c r="R82" s="4">
        <f t="shared" si="489"/>
        <v>1</v>
      </c>
      <c r="S82" s="4">
        <f t="shared" si="489"/>
        <v>0</v>
      </c>
      <c r="T82" s="4">
        <f t="shared" si="489"/>
        <v>0</v>
      </c>
      <c r="V82" s="1" t="s">
        <v>26</v>
      </c>
      <c r="W82" s="1" t="str">
        <f t="shared" si="435"/>
        <v>False</v>
      </c>
      <c r="X82" s="1" t="str">
        <f t="shared" si="435"/>
        <v>False</v>
      </c>
      <c r="Y82" s="1" t="str">
        <f t="shared" si="435"/>
        <v>False</v>
      </c>
      <c r="Z82" s="1" t="str">
        <f t="shared" si="435"/>
        <v>False</v>
      </c>
      <c r="AA82" s="1" t="str">
        <f t="shared" si="435"/>
        <v>True</v>
      </c>
      <c r="AB82" s="1" t="s">
        <v>311</v>
      </c>
      <c r="AC82" s="4">
        <f t="shared" ref="AC82:AH82" si="490">IF(ISNUMBER(SEARCH(AC$1,$AB82)), 1, 0)</f>
        <v>1</v>
      </c>
      <c r="AD82" s="4">
        <f t="shared" si="490"/>
        <v>0</v>
      </c>
      <c r="AE82" s="4">
        <f t="shared" si="490"/>
        <v>0</v>
      </c>
      <c r="AF82" s="4">
        <f t="shared" si="490"/>
        <v>0</v>
      </c>
      <c r="AG82" s="4">
        <f t="shared" si="490"/>
        <v>0</v>
      </c>
      <c r="AH82" s="4">
        <f t="shared" si="490"/>
        <v>0</v>
      </c>
      <c r="AI82" s="1">
        <f t="shared" si="5"/>
        <v>1</v>
      </c>
      <c r="AJ82" s="1" t="s">
        <v>417</v>
      </c>
      <c r="AK82" s="1" t="s">
        <v>418</v>
      </c>
      <c r="AL82" s="4">
        <f t="shared" ref="AL82:AS82" si="491">IF(ISNUMBER(SEARCH(AL$1,$AK82)), 1, 0)</f>
        <v>1</v>
      </c>
      <c r="AM82" s="4">
        <f t="shared" si="491"/>
        <v>0</v>
      </c>
      <c r="AN82" s="4">
        <f t="shared" si="491"/>
        <v>1</v>
      </c>
      <c r="AO82" s="4">
        <f t="shared" si="491"/>
        <v>1</v>
      </c>
      <c r="AP82" s="4">
        <f t="shared" si="491"/>
        <v>0</v>
      </c>
      <c r="AQ82" s="4">
        <f t="shared" si="491"/>
        <v>1</v>
      </c>
      <c r="AR82" s="4">
        <f t="shared" si="491"/>
        <v>0</v>
      </c>
      <c r="AS82" s="4">
        <f t="shared" si="491"/>
        <v>0</v>
      </c>
      <c r="AU82" s="1" t="s">
        <v>48</v>
      </c>
      <c r="AV82" s="1">
        <f t="shared" si="7"/>
        <v>0</v>
      </c>
      <c r="AW82" s="1">
        <f t="shared" si="8"/>
        <v>1</v>
      </c>
      <c r="AX82" s="1">
        <f t="shared" si="9"/>
        <v>0</v>
      </c>
      <c r="AY82" s="1" t="s">
        <v>48</v>
      </c>
      <c r="BA82" s="1" t="s">
        <v>419</v>
      </c>
      <c r="BB82" s="4">
        <f t="shared" ref="BB82:BJ82" si="492">IF(ISNUMBER(SEARCH(BB$1,$BA82)), 1, 0)</f>
        <v>0</v>
      </c>
      <c r="BC82" s="4">
        <f t="shared" si="492"/>
        <v>1</v>
      </c>
      <c r="BD82" s="4">
        <f t="shared" si="492"/>
        <v>0</v>
      </c>
      <c r="BE82" s="4">
        <f t="shared" si="492"/>
        <v>1</v>
      </c>
      <c r="BF82" s="4">
        <f t="shared" si="492"/>
        <v>0</v>
      </c>
      <c r="BG82" s="4">
        <f t="shared" si="492"/>
        <v>1</v>
      </c>
      <c r="BH82" s="4">
        <f t="shared" si="492"/>
        <v>0</v>
      </c>
      <c r="BI82" s="4">
        <f t="shared" si="492"/>
        <v>0</v>
      </c>
      <c r="BJ82" s="4">
        <f t="shared" si="492"/>
        <v>1</v>
      </c>
      <c r="BK82" s="4">
        <f t="shared" si="11"/>
        <v>4</v>
      </c>
      <c r="BM82" s="1" t="s">
        <v>232</v>
      </c>
      <c r="BN82" s="1" t="s">
        <v>420</v>
      </c>
      <c r="BO82" s="4">
        <f t="shared" ref="BO82:BU82" si="493">IF(ISNUMBER(SEARCH(BO$1,$BN82)), 1, 0)</f>
        <v>1</v>
      </c>
      <c r="BP82" s="4">
        <f t="shared" si="493"/>
        <v>0</v>
      </c>
      <c r="BQ82" s="4">
        <f t="shared" si="493"/>
        <v>1</v>
      </c>
      <c r="BR82" s="4">
        <f t="shared" si="493"/>
        <v>1</v>
      </c>
      <c r="BS82" s="4">
        <f t="shared" si="493"/>
        <v>0</v>
      </c>
      <c r="BT82" s="4">
        <f t="shared" si="493"/>
        <v>1</v>
      </c>
      <c r="BU82" s="4">
        <f t="shared" si="493"/>
        <v>1</v>
      </c>
      <c r="DC82" s="1" t="s">
        <v>238</v>
      </c>
    </row>
    <row r="83" spans="1:107" ht="15.75" customHeight="1" x14ac:dyDescent="0.25">
      <c r="A83" s="1" t="b">
        <v>1</v>
      </c>
      <c r="B83" s="3">
        <v>46164.667071759257</v>
      </c>
      <c r="C83" s="1" t="s">
        <v>512</v>
      </c>
      <c r="D83" s="1" t="s">
        <v>4</v>
      </c>
      <c r="E83" s="4">
        <f t="shared" ref="E83:K83" si="494">IF(ISNUMBER(SEARCH(E$1,$D83)), SEARCH(E$1,$D83), 0)</f>
        <v>1</v>
      </c>
      <c r="F83" s="4">
        <f t="shared" si="494"/>
        <v>0</v>
      </c>
      <c r="G83" s="4">
        <f t="shared" si="494"/>
        <v>0</v>
      </c>
      <c r="H83" s="4">
        <f t="shared" si="494"/>
        <v>0</v>
      </c>
      <c r="I83" s="4">
        <f t="shared" si="494"/>
        <v>0</v>
      </c>
      <c r="J83" s="4">
        <f t="shared" si="494"/>
        <v>0</v>
      </c>
      <c r="K83" s="4">
        <f t="shared" si="494"/>
        <v>0</v>
      </c>
      <c r="L83" s="4">
        <f t="shared" si="1"/>
        <v>1</v>
      </c>
      <c r="N83" s="1" t="s">
        <v>187</v>
      </c>
      <c r="O83" s="4">
        <f t="shared" ref="O83:T83" si="495">IF(ISNUMBER(SEARCH(O$1,$N83)), 1, 0)</f>
        <v>1</v>
      </c>
      <c r="P83" s="4">
        <f t="shared" si="495"/>
        <v>1</v>
      </c>
      <c r="Q83" s="4">
        <f t="shared" si="495"/>
        <v>1</v>
      </c>
      <c r="R83" s="4">
        <f t="shared" si="495"/>
        <v>1</v>
      </c>
      <c r="S83" s="4">
        <f t="shared" si="495"/>
        <v>1</v>
      </c>
      <c r="T83" s="4">
        <f t="shared" si="495"/>
        <v>1</v>
      </c>
      <c r="W83" s="1" t="str">
        <f t="shared" ref="W83:AA92" si="496">IF(W$1=$V83, "True", "False")</f>
        <v>False</v>
      </c>
      <c r="X83" s="1" t="str">
        <f t="shared" si="496"/>
        <v>False</v>
      </c>
      <c r="Y83" s="1" t="str">
        <f t="shared" si="496"/>
        <v>False</v>
      </c>
      <c r="Z83" s="1" t="str">
        <f t="shared" si="496"/>
        <v>False</v>
      </c>
      <c r="AA83" s="1" t="str">
        <f t="shared" si="496"/>
        <v>False</v>
      </c>
      <c r="AB83" s="1" t="s">
        <v>513</v>
      </c>
      <c r="AC83" s="4">
        <f t="shared" ref="AC83:AH83" si="497">IF(ISNUMBER(SEARCH(AC$1,$AB83)), 1, 0)</f>
        <v>1</v>
      </c>
      <c r="AD83" s="4">
        <f t="shared" si="497"/>
        <v>0</v>
      </c>
      <c r="AE83" s="4">
        <f t="shared" si="497"/>
        <v>0</v>
      </c>
      <c r="AF83" s="4">
        <f t="shared" si="497"/>
        <v>0</v>
      </c>
      <c r="AG83" s="4">
        <f t="shared" si="497"/>
        <v>1</v>
      </c>
      <c r="AH83" s="4">
        <f t="shared" si="497"/>
        <v>0</v>
      </c>
      <c r="AI83" s="1">
        <f t="shared" si="5"/>
        <v>2</v>
      </c>
      <c r="AJ83" s="1" t="s">
        <v>514</v>
      </c>
      <c r="AK83" s="1" t="s">
        <v>313</v>
      </c>
      <c r="AL83" s="4">
        <f t="shared" ref="AL83:AS83" si="498">IF(ISNUMBER(SEARCH(AL$1,$AK83)), 1, 0)</f>
        <v>1</v>
      </c>
      <c r="AM83" s="4">
        <f t="shared" si="498"/>
        <v>1</v>
      </c>
      <c r="AN83" s="4">
        <f t="shared" si="498"/>
        <v>0</v>
      </c>
      <c r="AO83" s="4">
        <f t="shared" si="498"/>
        <v>1</v>
      </c>
      <c r="AP83" s="4">
        <f t="shared" si="498"/>
        <v>1</v>
      </c>
      <c r="AQ83" s="4">
        <f t="shared" si="498"/>
        <v>1</v>
      </c>
      <c r="AR83" s="4">
        <f t="shared" si="498"/>
        <v>0</v>
      </c>
      <c r="AS83" s="4">
        <f t="shared" si="498"/>
        <v>0</v>
      </c>
      <c r="AU83" s="1" t="s">
        <v>48</v>
      </c>
      <c r="AV83" s="1">
        <f t="shared" si="7"/>
        <v>0</v>
      </c>
      <c r="AW83" s="1">
        <f t="shared" si="8"/>
        <v>1</v>
      </c>
      <c r="AX83" s="1">
        <f t="shared" si="9"/>
        <v>0</v>
      </c>
      <c r="AY83" s="1" t="s">
        <v>48</v>
      </c>
      <c r="BA83" s="1" t="s">
        <v>318</v>
      </c>
      <c r="BB83" s="4">
        <f t="shared" ref="BB83:BJ83" si="499">IF(ISNUMBER(SEARCH(BB$1,$BA83)), 1, 0)</f>
        <v>0</v>
      </c>
      <c r="BC83" s="4">
        <f t="shared" si="499"/>
        <v>0</v>
      </c>
      <c r="BD83" s="4">
        <f t="shared" si="499"/>
        <v>1</v>
      </c>
      <c r="BE83" s="4">
        <f t="shared" si="499"/>
        <v>1</v>
      </c>
      <c r="BF83" s="4">
        <f t="shared" si="499"/>
        <v>1</v>
      </c>
      <c r="BG83" s="4">
        <f t="shared" si="499"/>
        <v>1</v>
      </c>
      <c r="BH83" s="4">
        <f t="shared" si="499"/>
        <v>0</v>
      </c>
      <c r="BI83" s="4">
        <f t="shared" si="499"/>
        <v>0</v>
      </c>
      <c r="BJ83" s="4">
        <f t="shared" si="499"/>
        <v>1</v>
      </c>
      <c r="BK83" s="4">
        <f t="shared" si="11"/>
        <v>5</v>
      </c>
      <c r="BM83" s="1" t="s">
        <v>232</v>
      </c>
      <c r="BN83" s="1" t="s">
        <v>72</v>
      </c>
      <c r="BO83" s="4">
        <f t="shared" ref="BO83:BU83" si="500">IF(ISNUMBER(SEARCH(BO$1,$BN83)), 1, 0)</f>
        <v>0</v>
      </c>
      <c r="BP83" s="4">
        <f t="shared" si="500"/>
        <v>0</v>
      </c>
      <c r="BQ83" s="4">
        <f t="shared" si="500"/>
        <v>0</v>
      </c>
      <c r="BR83" s="4">
        <f t="shared" si="500"/>
        <v>0</v>
      </c>
      <c r="BS83" s="4">
        <f t="shared" si="500"/>
        <v>0</v>
      </c>
      <c r="BT83" s="4">
        <f t="shared" si="500"/>
        <v>0</v>
      </c>
      <c r="BU83" s="4">
        <f t="shared" si="500"/>
        <v>1</v>
      </c>
      <c r="BW83" s="1" t="s">
        <v>212</v>
      </c>
      <c r="BY83" s="1" t="s">
        <v>515</v>
      </c>
      <c r="BZ83" s="1" t="s">
        <v>516</v>
      </c>
      <c r="DC83" s="1" t="s">
        <v>238</v>
      </c>
    </row>
    <row r="84" spans="1:107" ht="15.75" customHeight="1" x14ac:dyDescent="0.25">
      <c r="A84" s="1" t="b">
        <v>1</v>
      </c>
      <c r="B84" s="3">
        <v>46149.891053240739</v>
      </c>
      <c r="C84" s="1" t="s">
        <v>186</v>
      </c>
      <c r="D84" s="1" t="s">
        <v>4</v>
      </c>
      <c r="E84" s="4">
        <f t="shared" ref="E84:K84" si="501">IF(ISNUMBER(SEARCH(E$1,$D84)), SEARCH(E$1,$D84), 0)</f>
        <v>1</v>
      </c>
      <c r="F84" s="4">
        <f t="shared" si="501"/>
        <v>0</v>
      </c>
      <c r="G84" s="4">
        <f t="shared" si="501"/>
        <v>0</v>
      </c>
      <c r="H84" s="4">
        <f t="shared" si="501"/>
        <v>0</v>
      </c>
      <c r="I84" s="4">
        <f t="shared" si="501"/>
        <v>0</v>
      </c>
      <c r="J84" s="4">
        <f t="shared" si="501"/>
        <v>0</v>
      </c>
      <c r="K84" s="4">
        <f t="shared" si="501"/>
        <v>0</v>
      </c>
      <c r="L84" s="4">
        <f t="shared" si="1"/>
        <v>1</v>
      </c>
      <c r="N84" s="1" t="s">
        <v>187</v>
      </c>
      <c r="O84" s="4">
        <f t="shared" ref="O84:T84" si="502">IF(ISNUMBER(SEARCH(O$1,$N84)), 1, 0)</f>
        <v>1</v>
      </c>
      <c r="P84" s="4">
        <f t="shared" si="502"/>
        <v>1</v>
      </c>
      <c r="Q84" s="4">
        <f t="shared" si="502"/>
        <v>1</v>
      </c>
      <c r="R84" s="4">
        <f t="shared" si="502"/>
        <v>1</v>
      </c>
      <c r="S84" s="4">
        <f t="shared" si="502"/>
        <v>1</v>
      </c>
      <c r="T84" s="4">
        <f t="shared" si="502"/>
        <v>1</v>
      </c>
      <c r="W84" s="1" t="str">
        <f t="shared" si="496"/>
        <v>False</v>
      </c>
      <c r="X84" s="1" t="str">
        <f t="shared" si="496"/>
        <v>False</v>
      </c>
      <c r="Y84" s="1" t="str">
        <f t="shared" si="496"/>
        <v>False</v>
      </c>
      <c r="Z84" s="1" t="str">
        <f t="shared" si="496"/>
        <v>False</v>
      </c>
      <c r="AA84" s="1" t="str">
        <f t="shared" si="496"/>
        <v>False</v>
      </c>
      <c r="AB84" s="1" t="s">
        <v>188</v>
      </c>
      <c r="AC84" s="4">
        <f t="shared" ref="AC84:AH84" si="503">IF(ISNUMBER(SEARCH(AC$1,$AB84)), 1, 0)</f>
        <v>0</v>
      </c>
      <c r="AD84" s="4">
        <f t="shared" si="503"/>
        <v>0</v>
      </c>
      <c r="AE84" s="4">
        <f t="shared" si="503"/>
        <v>1</v>
      </c>
      <c r="AF84" s="4">
        <f t="shared" si="503"/>
        <v>1</v>
      </c>
      <c r="AG84" s="4">
        <f t="shared" si="503"/>
        <v>0</v>
      </c>
      <c r="AH84" s="4">
        <f t="shared" si="503"/>
        <v>0</v>
      </c>
      <c r="AI84" s="1">
        <f t="shared" si="5"/>
        <v>2</v>
      </c>
      <c r="AK84" s="1" t="s">
        <v>189</v>
      </c>
      <c r="AL84" s="4">
        <f t="shared" ref="AL84:AS84" si="504">IF(ISNUMBER(SEARCH(AL$1,$AK84)), 1, 0)</f>
        <v>1</v>
      </c>
      <c r="AM84" s="4">
        <f t="shared" si="504"/>
        <v>1</v>
      </c>
      <c r="AN84" s="4">
        <f t="shared" si="504"/>
        <v>1</v>
      </c>
      <c r="AO84" s="4">
        <f t="shared" si="504"/>
        <v>1</v>
      </c>
      <c r="AP84" s="4">
        <f t="shared" si="504"/>
        <v>0</v>
      </c>
      <c r="AQ84" s="4">
        <f t="shared" si="504"/>
        <v>1</v>
      </c>
      <c r="AR84" s="4">
        <f t="shared" si="504"/>
        <v>0</v>
      </c>
      <c r="AS84" s="4">
        <f t="shared" si="504"/>
        <v>0</v>
      </c>
      <c r="AU84" s="1" t="s">
        <v>47</v>
      </c>
      <c r="AV84" s="1">
        <f t="shared" si="7"/>
        <v>1</v>
      </c>
      <c r="AW84" s="1">
        <f t="shared" si="8"/>
        <v>0</v>
      </c>
      <c r="AX84" s="1">
        <f t="shared" si="9"/>
        <v>0</v>
      </c>
      <c r="AY84" s="1" t="s">
        <v>48</v>
      </c>
      <c r="BA84" s="1" t="s">
        <v>61</v>
      </c>
      <c r="BB84" s="4">
        <f t="shared" ref="BB84:BJ84" si="505">IF(ISNUMBER(SEARCH(BB$1,$BA84)), 1, 0)</f>
        <v>0</v>
      </c>
      <c r="BC84" s="4">
        <f t="shared" si="505"/>
        <v>0</v>
      </c>
      <c r="BD84" s="4">
        <f t="shared" si="505"/>
        <v>0</v>
      </c>
      <c r="BE84" s="4">
        <f t="shared" si="505"/>
        <v>0</v>
      </c>
      <c r="BF84" s="4">
        <f t="shared" si="505"/>
        <v>0</v>
      </c>
      <c r="BG84" s="4">
        <f t="shared" si="505"/>
        <v>0</v>
      </c>
      <c r="BH84" s="4">
        <f t="shared" si="505"/>
        <v>0</v>
      </c>
      <c r="BI84" s="4">
        <f t="shared" si="505"/>
        <v>0</v>
      </c>
      <c r="BJ84" s="4">
        <f t="shared" si="505"/>
        <v>1</v>
      </c>
      <c r="BK84" s="4">
        <f t="shared" si="11"/>
        <v>1</v>
      </c>
      <c r="BM84" s="1" t="s">
        <v>190</v>
      </c>
      <c r="BN84" s="1" t="s">
        <v>72</v>
      </c>
      <c r="BO84" s="4">
        <f t="shared" ref="BO84:BU84" si="506">IF(ISNUMBER(SEARCH(BO$1,$BN84)), 1, 0)</f>
        <v>0</v>
      </c>
      <c r="BP84" s="4">
        <f t="shared" si="506"/>
        <v>0</v>
      </c>
      <c r="BQ84" s="4">
        <f t="shared" si="506"/>
        <v>0</v>
      </c>
      <c r="BR84" s="4">
        <f t="shared" si="506"/>
        <v>0</v>
      </c>
      <c r="BS84" s="4">
        <f t="shared" si="506"/>
        <v>0</v>
      </c>
      <c r="BT84" s="4">
        <f t="shared" si="506"/>
        <v>0</v>
      </c>
      <c r="BU84" s="4">
        <f t="shared" si="506"/>
        <v>1</v>
      </c>
      <c r="DC84" s="1" t="s">
        <v>180</v>
      </c>
    </row>
    <row r="85" spans="1:107" ht="15.75" customHeight="1" x14ac:dyDescent="0.25">
      <c r="A85" s="1" t="b">
        <v>1</v>
      </c>
      <c r="B85" s="3">
        <v>46171.995300925926</v>
      </c>
      <c r="C85" s="1" t="s">
        <v>784</v>
      </c>
      <c r="D85" s="1" t="s">
        <v>4</v>
      </c>
      <c r="E85" s="4">
        <f t="shared" ref="E85:K85" si="507">IF(ISNUMBER(SEARCH(E$1,$D85)), SEARCH(E$1,$D85), 0)</f>
        <v>1</v>
      </c>
      <c r="F85" s="4">
        <f t="shared" si="507"/>
        <v>0</v>
      </c>
      <c r="G85" s="4">
        <f t="shared" si="507"/>
        <v>0</v>
      </c>
      <c r="H85" s="4">
        <f t="shared" si="507"/>
        <v>0</v>
      </c>
      <c r="I85" s="4">
        <f t="shared" si="507"/>
        <v>0</v>
      </c>
      <c r="J85" s="4">
        <f t="shared" si="507"/>
        <v>0</v>
      </c>
      <c r="K85" s="4">
        <f t="shared" si="507"/>
        <v>0</v>
      </c>
      <c r="L85" s="4">
        <f t="shared" si="1"/>
        <v>1</v>
      </c>
      <c r="N85" s="1" t="s">
        <v>328</v>
      </c>
      <c r="O85" s="4">
        <f t="shared" ref="O85:T85" si="508">IF(ISNUMBER(SEARCH(O$1,$N85)), 1, 0)</f>
        <v>1</v>
      </c>
      <c r="P85" s="4">
        <f t="shared" si="508"/>
        <v>1</v>
      </c>
      <c r="Q85" s="4">
        <f t="shared" si="508"/>
        <v>1</v>
      </c>
      <c r="R85" s="4">
        <f t="shared" si="508"/>
        <v>0</v>
      </c>
      <c r="S85" s="4">
        <f t="shared" si="508"/>
        <v>0</v>
      </c>
      <c r="T85" s="4">
        <f t="shared" si="508"/>
        <v>0</v>
      </c>
      <c r="W85" s="1" t="str">
        <f t="shared" si="496"/>
        <v>False</v>
      </c>
      <c r="X85" s="1" t="str">
        <f t="shared" si="496"/>
        <v>False</v>
      </c>
      <c r="Y85" s="1" t="str">
        <f t="shared" si="496"/>
        <v>False</v>
      </c>
      <c r="Z85" s="1" t="str">
        <f t="shared" si="496"/>
        <v>False</v>
      </c>
      <c r="AA85" s="1" t="str">
        <f t="shared" si="496"/>
        <v>False</v>
      </c>
      <c r="AB85" s="1" t="s">
        <v>188</v>
      </c>
      <c r="AC85" s="4">
        <f t="shared" ref="AC85:AH85" si="509">IF(ISNUMBER(SEARCH(AC$1,$AB85)), 1, 0)</f>
        <v>0</v>
      </c>
      <c r="AD85" s="4">
        <f t="shared" si="509"/>
        <v>0</v>
      </c>
      <c r="AE85" s="4">
        <f t="shared" si="509"/>
        <v>1</v>
      </c>
      <c r="AF85" s="4">
        <f t="shared" si="509"/>
        <v>1</v>
      </c>
      <c r="AG85" s="4">
        <f t="shared" si="509"/>
        <v>0</v>
      </c>
      <c r="AH85" s="4">
        <f t="shared" si="509"/>
        <v>0</v>
      </c>
      <c r="AI85" s="1">
        <f t="shared" si="5"/>
        <v>2</v>
      </c>
      <c r="AK85" s="1" t="s">
        <v>189</v>
      </c>
      <c r="AL85" s="4">
        <f t="shared" ref="AL85:AS85" si="510">IF(ISNUMBER(SEARCH(AL$1,$AK85)), 1, 0)</f>
        <v>1</v>
      </c>
      <c r="AM85" s="4">
        <f t="shared" si="510"/>
        <v>1</v>
      </c>
      <c r="AN85" s="4">
        <f t="shared" si="510"/>
        <v>1</v>
      </c>
      <c r="AO85" s="4">
        <f t="shared" si="510"/>
        <v>1</v>
      </c>
      <c r="AP85" s="4">
        <f t="shared" si="510"/>
        <v>0</v>
      </c>
      <c r="AQ85" s="4">
        <f t="shared" si="510"/>
        <v>1</v>
      </c>
      <c r="AR85" s="4">
        <f t="shared" si="510"/>
        <v>0</v>
      </c>
      <c r="AS85" s="4">
        <f t="shared" si="510"/>
        <v>0</v>
      </c>
      <c r="AU85" s="1" t="s">
        <v>47</v>
      </c>
      <c r="AV85" s="1">
        <f t="shared" si="7"/>
        <v>1</v>
      </c>
      <c r="AW85" s="1">
        <f t="shared" si="8"/>
        <v>0</v>
      </c>
      <c r="AX85" s="1">
        <f t="shared" si="9"/>
        <v>0</v>
      </c>
      <c r="AY85" s="1" t="s">
        <v>48</v>
      </c>
      <c r="BA85" s="1" t="s">
        <v>61</v>
      </c>
      <c r="BB85" s="4">
        <f t="shared" ref="BB85:BJ85" si="511">IF(ISNUMBER(SEARCH(BB$1,$BA85)), 1, 0)</f>
        <v>0</v>
      </c>
      <c r="BC85" s="4">
        <f t="shared" si="511"/>
        <v>0</v>
      </c>
      <c r="BD85" s="4">
        <f t="shared" si="511"/>
        <v>0</v>
      </c>
      <c r="BE85" s="4">
        <f t="shared" si="511"/>
        <v>0</v>
      </c>
      <c r="BF85" s="4">
        <f t="shared" si="511"/>
        <v>0</v>
      </c>
      <c r="BG85" s="4">
        <f t="shared" si="511"/>
        <v>0</v>
      </c>
      <c r="BH85" s="4">
        <f t="shared" si="511"/>
        <v>0</v>
      </c>
      <c r="BI85" s="4">
        <f t="shared" si="511"/>
        <v>0</v>
      </c>
      <c r="BJ85" s="4">
        <f t="shared" si="511"/>
        <v>1</v>
      </c>
      <c r="BK85" s="4">
        <f t="shared" si="11"/>
        <v>1</v>
      </c>
      <c r="BM85" s="1" t="s">
        <v>190</v>
      </c>
      <c r="BN85" s="1" t="s">
        <v>72</v>
      </c>
      <c r="BO85" s="4">
        <f t="shared" ref="BO85:BU85" si="512">IF(ISNUMBER(SEARCH(BO$1,$BN85)), 1, 0)</f>
        <v>0</v>
      </c>
      <c r="BP85" s="4">
        <f t="shared" si="512"/>
        <v>0</v>
      </c>
      <c r="BQ85" s="4">
        <f t="shared" si="512"/>
        <v>0</v>
      </c>
      <c r="BR85" s="4">
        <f t="shared" si="512"/>
        <v>0</v>
      </c>
      <c r="BS85" s="4">
        <f t="shared" si="512"/>
        <v>0</v>
      </c>
      <c r="BT85" s="4">
        <f t="shared" si="512"/>
        <v>0</v>
      </c>
      <c r="BU85" s="4">
        <f t="shared" si="512"/>
        <v>1</v>
      </c>
      <c r="DC85" s="1" t="s">
        <v>238</v>
      </c>
    </row>
    <row r="86" spans="1:107" ht="15.75" customHeight="1" x14ac:dyDescent="0.25">
      <c r="A86" s="1" t="b">
        <v>1</v>
      </c>
      <c r="B86" s="3">
        <v>46153.407986111109</v>
      </c>
      <c r="C86" s="1" t="s">
        <v>309</v>
      </c>
      <c r="D86" s="1" t="s">
        <v>4</v>
      </c>
      <c r="E86" s="4">
        <f t="shared" ref="E86:K86" si="513">IF(ISNUMBER(SEARCH(E$1,$D86)), SEARCH(E$1,$D86), 0)</f>
        <v>1</v>
      </c>
      <c r="F86" s="4">
        <f t="shared" si="513"/>
        <v>0</v>
      </c>
      <c r="G86" s="4">
        <f t="shared" si="513"/>
        <v>0</v>
      </c>
      <c r="H86" s="4">
        <f t="shared" si="513"/>
        <v>0</v>
      </c>
      <c r="I86" s="4">
        <f t="shared" si="513"/>
        <v>0</v>
      </c>
      <c r="J86" s="4">
        <f t="shared" si="513"/>
        <v>0</v>
      </c>
      <c r="K86" s="4">
        <f t="shared" si="513"/>
        <v>0</v>
      </c>
      <c r="L86" s="4">
        <f t="shared" si="1"/>
        <v>1</v>
      </c>
      <c r="N86" s="1" t="s">
        <v>19</v>
      </c>
      <c r="O86" s="4">
        <f t="shared" ref="O86:T86" si="514">IF(ISNUMBER(SEARCH(O$1,$N86)), 1, 0)</f>
        <v>0</v>
      </c>
      <c r="P86" s="4">
        <f t="shared" si="514"/>
        <v>0</v>
      </c>
      <c r="Q86" s="4">
        <f t="shared" si="514"/>
        <v>0</v>
      </c>
      <c r="R86" s="4">
        <f t="shared" si="514"/>
        <v>0</v>
      </c>
      <c r="S86" s="4">
        <f t="shared" si="514"/>
        <v>0</v>
      </c>
      <c r="T86" s="4">
        <f t="shared" si="514"/>
        <v>1</v>
      </c>
      <c r="W86" s="1" t="str">
        <f t="shared" si="496"/>
        <v>False</v>
      </c>
      <c r="X86" s="1" t="str">
        <f t="shared" si="496"/>
        <v>False</v>
      </c>
      <c r="Y86" s="1" t="str">
        <f t="shared" si="496"/>
        <v>False</v>
      </c>
      <c r="Z86" s="1" t="str">
        <f t="shared" si="496"/>
        <v>False</v>
      </c>
      <c r="AA86" s="1" t="str">
        <f t="shared" si="496"/>
        <v>False</v>
      </c>
      <c r="AB86" s="1" t="s">
        <v>33</v>
      </c>
      <c r="AC86" s="4">
        <f t="shared" ref="AC86:AH86" si="515">IF(ISNUMBER(SEARCH(AC$1,$AB86)), 1, 0)</f>
        <v>0</v>
      </c>
      <c r="AD86" s="4">
        <f t="shared" si="515"/>
        <v>0</v>
      </c>
      <c r="AE86" s="4">
        <f t="shared" si="515"/>
        <v>0</v>
      </c>
      <c r="AF86" s="4">
        <f t="shared" si="515"/>
        <v>0</v>
      </c>
      <c r="AG86" s="4">
        <f t="shared" si="515"/>
        <v>0</v>
      </c>
      <c r="AH86" s="4">
        <f t="shared" si="515"/>
        <v>1</v>
      </c>
      <c r="AI86" s="1">
        <f t="shared" si="5"/>
        <v>1</v>
      </c>
      <c r="AK86" s="1" t="s">
        <v>42</v>
      </c>
      <c r="AL86" s="4">
        <f t="shared" ref="AL86:AS86" si="516">IF(ISNUMBER(SEARCH(AL$1,$AK86)), 1, 0)</f>
        <v>0</v>
      </c>
      <c r="AM86" s="4">
        <f t="shared" si="516"/>
        <v>0</v>
      </c>
      <c r="AN86" s="4">
        <f t="shared" si="516"/>
        <v>0</v>
      </c>
      <c r="AO86" s="4">
        <f t="shared" si="516"/>
        <v>0</v>
      </c>
      <c r="AP86" s="4">
        <f t="shared" si="516"/>
        <v>0</v>
      </c>
      <c r="AQ86" s="4">
        <f t="shared" si="516"/>
        <v>1</v>
      </c>
      <c r="AR86" s="4">
        <f t="shared" si="516"/>
        <v>0</v>
      </c>
      <c r="AS86" s="4">
        <f t="shared" si="516"/>
        <v>0</v>
      </c>
      <c r="AU86" s="1" t="s">
        <v>49</v>
      </c>
      <c r="AV86" s="1">
        <f t="shared" si="7"/>
        <v>0</v>
      </c>
      <c r="AW86" s="1">
        <f t="shared" si="8"/>
        <v>0</v>
      </c>
      <c r="AX86" s="1">
        <f t="shared" si="9"/>
        <v>1</v>
      </c>
      <c r="AY86" s="1" t="s">
        <v>48</v>
      </c>
      <c r="BA86" s="1" t="s">
        <v>57</v>
      </c>
      <c r="BB86" s="4">
        <f t="shared" ref="BB86:BJ86" si="517">IF(ISNUMBER(SEARCH(BB$1,$BA86)), 1, 0)</f>
        <v>0</v>
      </c>
      <c r="BC86" s="4">
        <f t="shared" si="517"/>
        <v>0</v>
      </c>
      <c r="BD86" s="4">
        <f t="shared" si="517"/>
        <v>0</v>
      </c>
      <c r="BE86" s="4">
        <f t="shared" si="517"/>
        <v>0</v>
      </c>
      <c r="BF86" s="4">
        <f t="shared" si="517"/>
        <v>1</v>
      </c>
      <c r="BG86" s="4">
        <f t="shared" si="517"/>
        <v>0</v>
      </c>
      <c r="BH86" s="4">
        <f t="shared" si="517"/>
        <v>0</v>
      </c>
      <c r="BI86" s="4">
        <f t="shared" si="517"/>
        <v>0</v>
      </c>
      <c r="BJ86" s="4">
        <f t="shared" si="517"/>
        <v>0</v>
      </c>
      <c r="BK86" s="4">
        <f t="shared" si="11"/>
        <v>1</v>
      </c>
      <c r="BM86" s="1" t="s">
        <v>166</v>
      </c>
      <c r="BN86" s="1" t="s">
        <v>66</v>
      </c>
      <c r="BO86" s="4">
        <f t="shared" ref="BO86:BU86" si="518">IF(ISNUMBER(SEARCH(BO$1,$BN86)), 1, 0)</f>
        <v>1</v>
      </c>
      <c r="BP86" s="4">
        <f t="shared" si="518"/>
        <v>0</v>
      </c>
      <c r="BQ86" s="4">
        <f t="shared" si="518"/>
        <v>0</v>
      </c>
      <c r="BR86" s="4">
        <f t="shared" si="518"/>
        <v>0</v>
      </c>
      <c r="BS86" s="4">
        <f t="shared" si="518"/>
        <v>0</v>
      </c>
      <c r="BT86" s="4">
        <f t="shared" si="518"/>
        <v>0</v>
      </c>
      <c r="BU86" s="4">
        <f t="shared" si="518"/>
        <v>0</v>
      </c>
      <c r="DC86" s="1" t="s">
        <v>180</v>
      </c>
    </row>
    <row r="87" spans="1:107" ht="15.75" customHeight="1" x14ac:dyDescent="0.25">
      <c r="A87" s="1" t="b">
        <v>1</v>
      </c>
      <c r="B87" s="3">
        <v>46161.016493055555</v>
      </c>
      <c r="C87" s="1" t="s">
        <v>422</v>
      </c>
      <c r="D87" s="1" t="s">
        <v>4</v>
      </c>
      <c r="E87" s="4">
        <f t="shared" ref="E87:K87" si="519">IF(ISNUMBER(SEARCH(E$1,$D87)), SEARCH(E$1,$D87), 0)</f>
        <v>1</v>
      </c>
      <c r="F87" s="4">
        <f t="shared" si="519"/>
        <v>0</v>
      </c>
      <c r="G87" s="4">
        <f t="shared" si="519"/>
        <v>0</v>
      </c>
      <c r="H87" s="4">
        <f t="shared" si="519"/>
        <v>0</v>
      </c>
      <c r="I87" s="4">
        <f t="shared" si="519"/>
        <v>0</v>
      </c>
      <c r="J87" s="4">
        <f t="shared" si="519"/>
        <v>0</v>
      </c>
      <c r="K87" s="4">
        <f t="shared" si="519"/>
        <v>0</v>
      </c>
      <c r="L87" s="4">
        <f t="shared" si="1"/>
        <v>1</v>
      </c>
      <c r="N87" s="1" t="s">
        <v>244</v>
      </c>
      <c r="O87" s="4">
        <f t="shared" ref="O87:T87" si="520">IF(ISNUMBER(SEARCH(O$1,$N87)), 1, 0)</f>
        <v>1</v>
      </c>
      <c r="P87" s="4">
        <f t="shared" si="520"/>
        <v>0</v>
      </c>
      <c r="Q87" s="4">
        <f t="shared" si="520"/>
        <v>1</v>
      </c>
      <c r="R87" s="4">
        <f t="shared" si="520"/>
        <v>1</v>
      </c>
      <c r="S87" s="4">
        <f t="shared" si="520"/>
        <v>0</v>
      </c>
      <c r="T87" s="4">
        <f t="shared" si="520"/>
        <v>0</v>
      </c>
      <c r="V87" s="1" t="s">
        <v>24</v>
      </c>
      <c r="W87" s="1" t="str">
        <f t="shared" si="496"/>
        <v>False</v>
      </c>
      <c r="X87" s="1" t="str">
        <f t="shared" si="496"/>
        <v>False</v>
      </c>
      <c r="Y87" s="1" t="str">
        <f t="shared" si="496"/>
        <v>True</v>
      </c>
      <c r="Z87" s="1" t="str">
        <f t="shared" si="496"/>
        <v>False</v>
      </c>
      <c r="AA87" s="1" t="str">
        <f t="shared" si="496"/>
        <v>False</v>
      </c>
      <c r="AB87" s="1" t="s">
        <v>33</v>
      </c>
      <c r="AC87" s="4">
        <f t="shared" ref="AC87:AH87" si="521">IF(ISNUMBER(SEARCH(AC$1,$AB87)), 1, 0)</f>
        <v>0</v>
      </c>
      <c r="AD87" s="4">
        <f t="shared" si="521"/>
        <v>0</v>
      </c>
      <c r="AE87" s="4">
        <f t="shared" si="521"/>
        <v>0</v>
      </c>
      <c r="AF87" s="4">
        <f t="shared" si="521"/>
        <v>0</v>
      </c>
      <c r="AG87" s="4">
        <f t="shared" si="521"/>
        <v>0</v>
      </c>
      <c r="AH87" s="4">
        <f t="shared" si="521"/>
        <v>1</v>
      </c>
      <c r="AI87" s="1">
        <f t="shared" si="5"/>
        <v>1</v>
      </c>
      <c r="AK87" s="1" t="s">
        <v>423</v>
      </c>
      <c r="AL87" s="4">
        <f t="shared" ref="AL87:AS87" si="522">IF(ISNUMBER(SEARCH(AL$1,$AK87)), 1, 0)</f>
        <v>0</v>
      </c>
      <c r="AM87" s="4">
        <f t="shared" si="522"/>
        <v>1</v>
      </c>
      <c r="AN87" s="4">
        <f t="shared" si="522"/>
        <v>1</v>
      </c>
      <c r="AO87" s="4">
        <f t="shared" si="522"/>
        <v>1</v>
      </c>
      <c r="AP87" s="4">
        <f t="shared" si="522"/>
        <v>0</v>
      </c>
      <c r="AQ87" s="4">
        <f t="shared" si="522"/>
        <v>1</v>
      </c>
      <c r="AR87" s="4">
        <f t="shared" si="522"/>
        <v>0</v>
      </c>
      <c r="AS87" s="4">
        <f t="shared" si="522"/>
        <v>0</v>
      </c>
      <c r="AU87" s="1" t="s">
        <v>47</v>
      </c>
      <c r="AV87" s="1">
        <f t="shared" si="7"/>
        <v>1</v>
      </c>
      <c r="AW87" s="1">
        <f t="shared" si="8"/>
        <v>0</v>
      </c>
      <c r="AX87" s="1">
        <f t="shared" si="9"/>
        <v>0</v>
      </c>
      <c r="AY87" s="1" t="s">
        <v>47</v>
      </c>
      <c r="AZ87" s="1" t="s">
        <v>48</v>
      </c>
      <c r="BB87" s="4">
        <f t="shared" ref="BB87:BJ87" si="523">IF(ISNUMBER(SEARCH(BB$1,$BA87)), 1, 0)</f>
        <v>0</v>
      </c>
      <c r="BC87" s="4">
        <f t="shared" si="523"/>
        <v>0</v>
      </c>
      <c r="BD87" s="4">
        <f t="shared" si="523"/>
        <v>0</v>
      </c>
      <c r="BE87" s="4">
        <f t="shared" si="523"/>
        <v>0</v>
      </c>
      <c r="BF87" s="4">
        <f t="shared" si="523"/>
        <v>0</v>
      </c>
      <c r="BG87" s="4">
        <f t="shared" si="523"/>
        <v>0</v>
      </c>
      <c r="BH87" s="4">
        <f t="shared" si="523"/>
        <v>0</v>
      </c>
      <c r="BI87" s="4">
        <f t="shared" si="523"/>
        <v>0</v>
      </c>
      <c r="BJ87" s="4">
        <f t="shared" si="523"/>
        <v>0</v>
      </c>
      <c r="BK87" s="4">
        <f t="shared" si="11"/>
        <v>0</v>
      </c>
      <c r="BO87" s="4">
        <f t="shared" ref="BO87:BU87" si="524">IF(ISNUMBER(SEARCH(BO$1,$BN87)), 1, 0)</f>
        <v>0</v>
      </c>
      <c r="BP87" s="4">
        <f t="shared" si="524"/>
        <v>0</v>
      </c>
      <c r="BQ87" s="4">
        <f t="shared" si="524"/>
        <v>0</v>
      </c>
      <c r="BR87" s="4">
        <f t="shared" si="524"/>
        <v>0</v>
      </c>
      <c r="BS87" s="4">
        <f t="shared" si="524"/>
        <v>0</v>
      </c>
      <c r="BT87" s="4">
        <f t="shared" si="524"/>
        <v>0</v>
      </c>
      <c r="BU87" s="4">
        <f t="shared" si="524"/>
        <v>0</v>
      </c>
      <c r="DC87" s="1" t="s">
        <v>180</v>
      </c>
    </row>
    <row r="88" spans="1:107" ht="15.75" customHeight="1" x14ac:dyDescent="0.25">
      <c r="A88" s="1" t="b">
        <v>1</v>
      </c>
      <c r="B88" s="3">
        <v>46166.92827546296</v>
      </c>
      <c r="C88" s="1" t="s">
        <v>658</v>
      </c>
      <c r="D88" s="1" t="s">
        <v>4</v>
      </c>
      <c r="E88" s="4">
        <f t="shared" ref="E88:K88" si="525">IF(ISNUMBER(SEARCH(E$1,$D88)), SEARCH(E$1,$D88), 0)</f>
        <v>1</v>
      </c>
      <c r="F88" s="4">
        <f t="shared" si="525"/>
        <v>0</v>
      </c>
      <c r="G88" s="4">
        <f t="shared" si="525"/>
        <v>0</v>
      </c>
      <c r="H88" s="4">
        <f t="shared" si="525"/>
        <v>0</v>
      </c>
      <c r="I88" s="4">
        <f t="shared" si="525"/>
        <v>0</v>
      </c>
      <c r="J88" s="4">
        <f t="shared" si="525"/>
        <v>0</v>
      </c>
      <c r="K88" s="4">
        <f t="shared" si="525"/>
        <v>0</v>
      </c>
      <c r="L88" s="4">
        <f t="shared" si="1"/>
        <v>1</v>
      </c>
      <c r="N88" s="1" t="s">
        <v>659</v>
      </c>
      <c r="O88" s="4">
        <f t="shared" ref="O88:T88" si="526">IF(ISNUMBER(SEARCH(O$1,$N88)), 1, 0)</f>
        <v>1</v>
      </c>
      <c r="P88" s="4">
        <f t="shared" si="526"/>
        <v>1</v>
      </c>
      <c r="Q88" s="4">
        <f t="shared" si="526"/>
        <v>1</v>
      </c>
      <c r="R88" s="4">
        <f t="shared" si="526"/>
        <v>0</v>
      </c>
      <c r="S88" s="4">
        <f t="shared" si="526"/>
        <v>1</v>
      </c>
      <c r="T88" s="4">
        <f t="shared" si="526"/>
        <v>0</v>
      </c>
      <c r="V88" s="1" t="s">
        <v>22</v>
      </c>
      <c r="W88" s="1" t="str">
        <f t="shared" si="496"/>
        <v>True</v>
      </c>
      <c r="X88" s="1" t="str">
        <f t="shared" si="496"/>
        <v>False</v>
      </c>
      <c r="Y88" s="1" t="str">
        <f t="shared" si="496"/>
        <v>False</v>
      </c>
      <c r="Z88" s="1" t="str">
        <f t="shared" si="496"/>
        <v>False</v>
      </c>
      <c r="AA88" s="1" t="str">
        <f t="shared" si="496"/>
        <v>False</v>
      </c>
      <c r="AB88" s="1" t="s">
        <v>33</v>
      </c>
      <c r="AC88" s="4">
        <f t="shared" ref="AC88:AH88" si="527">IF(ISNUMBER(SEARCH(AC$1,$AB88)), 1, 0)</f>
        <v>0</v>
      </c>
      <c r="AD88" s="4">
        <f t="shared" si="527"/>
        <v>0</v>
      </c>
      <c r="AE88" s="4">
        <f t="shared" si="527"/>
        <v>0</v>
      </c>
      <c r="AF88" s="4">
        <f t="shared" si="527"/>
        <v>0</v>
      </c>
      <c r="AG88" s="4">
        <f t="shared" si="527"/>
        <v>0</v>
      </c>
      <c r="AH88" s="4">
        <f t="shared" si="527"/>
        <v>1</v>
      </c>
      <c r="AI88" s="1">
        <f t="shared" si="5"/>
        <v>1</v>
      </c>
      <c r="AK88" s="1" t="s">
        <v>423</v>
      </c>
      <c r="AL88" s="4">
        <f t="shared" ref="AL88:AS88" si="528">IF(ISNUMBER(SEARCH(AL$1,$AK88)), 1, 0)</f>
        <v>0</v>
      </c>
      <c r="AM88" s="4">
        <f t="shared" si="528"/>
        <v>1</v>
      </c>
      <c r="AN88" s="4">
        <f t="shared" si="528"/>
        <v>1</v>
      </c>
      <c r="AO88" s="4">
        <f t="shared" si="528"/>
        <v>1</v>
      </c>
      <c r="AP88" s="4">
        <f t="shared" si="528"/>
        <v>0</v>
      </c>
      <c r="AQ88" s="4">
        <f t="shared" si="528"/>
        <v>1</v>
      </c>
      <c r="AR88" s="4">
        <f t="shared" si="528"/>
        <v>0</v>
      </c>
      <c r="AS88" s="4">
        <f t="shared" si="528"/>
        <v>0</v>
      </c>
      <c r="AU88" s="1" t="s">
        <v>49</v>
      </c>
      <c r="AV88" s="1">
        <f t="shared" si="7"/>
        <v>0</v>
      </c>
      <c r="AW88" s="1">
        <f t="shared" si="8"/>
        <v>0</v>
      </c>
      <c r="AX88" s="1">
        <f t="shared" si="9"/>
        <v>1</v>
      </c>
      <c r="AY88" s="1" t="s">
        <v>48</v>
      </c>
      <c r="BA88" s="1" t="s">
        <v>656</v>
      </c>
      <c r="BB88" s="4">
        <f t="shared" ref="BB88:BJ88" si="529">IF(ISNUMBER(SEARCH(BB$1,$BA88)), 1, 0)</f>
        <v>0</v>
      </c>
      <c r="BC88" s="4">
        <f t="shared" si="529"/>
        <v>1</v>
      </c>
      <c r="BD88" s="4">
        <f t="shared" si="529"/>
        <v>0</v>
      </c>
      <c r="BE88" s="4">
        <f t="shared" si="529"/>
        <v>0</v>
      </c>
      <c r="BF88" s="4">
        <f t="shared" si="529"/>
        <v>1</v>
      </c>
      <c r="BG88" s="4">
        <f t="shared" si="529"/>
        <v>1</v>
      </c>
      <c r="BH88" s="4">
        <f t="shared" si="529"/>
        <v>0</v>
      </c>
      <c r="BI88" s="4">
        <f t="shared" si="529"/>
        <v>0</v>
      </c>
      <c r="BJ88" s="4">
        <f t="shared" si="529"/>
        <v>1</v>
      </c>
      <c r="BK88" s="4">
        <f t="shared" si="11"/>
        <v>4</v>
      </c>
      <c r="BM88" s="1" t="s">
        <v>190</v>
      </c>
      <c r="BN88" s="1" t="s">
        <v>290</v>
      </c>
      <c r="BO88" s="4">
        <f t="shared" ref="BO88:BU88" si="530">IF(ISNUMBER(SEARCH(BO$1,$BN88)), 1, 0)</f>
        <v>0</v>
      </c>
      <c r="BP88" s="4">
        <f t="shared" si="530"/>
        <v>0</v>
      </c>
      <c r="BQ88" s="4">
        <f t="shared" si="530"/>
        <v>0</v>
      </c>
      <c r="BR88" s="4">
        <f t="shared" si="530"/>
        <v>1</v>
      </c>
      <c r="BS88" s="4">
        <f t="shared" si="530"/>
        <v>0</v>
      </c>
      <c r="BT88" s="4">
        <f t="shared" si="530"/>
        <v>1</v>
      </c>
      <c r="BU88" s="4">
        <f t="shared" si="530"/>
        <v>0</v>
      </c>
      <c r="DC88" s="1" t="s">
        <v>238</v>
      </c>
    </row>
    <row r="89" spans="1:107" ht="15.75" customHeight="1" x14ac:dyDescent="0.25">
      <c r="A89" s="1" t="b">
        <v>1</v>
      </c>
      <c r="B89" s="3">
        <v>46172.179236111115</v>
      </c>
      <c r="C89" s="1" t="s">
        <v>785</v>
      </c>
      <c r="D89" s="1" t="s">
        <v>4</v>
      </c>
      <c r="E89" s="4">
        <f t="shared" ref="E89:K89" si="531">IF(ISNUMBER(SEARCH(E$1,$D89)), SEARCH(E$1,$D89), 0)</f>
        <v>1</v>
      </c>
      <c r="F89" s="4">
        <f t="shared" si="531"/>
        <v>0</v>
      </c>
      <c r="G89" s="4">
        <f t="shared" si="531"/>
        <v>0</v>
      </c>
      <c r="H89" s="4">
        <f t="shared" si="531"/>
        <v>0</v>
      </c>
      <c r="I89" s="4">
        <f t="shared" si="531"/>
        <v>0</v>
      </c>
      <c r="J89" s="4">
        <f t="shared" si="531"/>
        <v>0</v>
      </c>
      <c r="K89" s="4">
        <f t="shared" si="531"/>
        <v>0</v>
      </c>
      <c r="L89" s="4">
        <f t="shared" si="1"/>
        <v>1</v>
      </c>
      <c r="N89" s="1" t="s">
        <v>14</v>
      </c>
      <c r="O89" s="4">
        <f t="shared" ref="O89:T89" si="532">IF(ISNUMBER(SEARCH(O$1,$N89)), 1, 0)</f>
        <v>1</v>
      </c>
      <c r="P89" s="4">
        <f t="shared" si="532"/>
        <v>0</v>
      </c>
      <c r="Q89" s="4">
        <f t="shared" si="532"/>
        <v>0</v>
      </c>
      <c r="R89" s="4">
        <f t="shared" si="532"/>
        <v>0</v>
      </c>
      <c r="S89" s="4">
        <f t="shared" si="532"/>
        <v>0</v>
      </c>
      <c r="T89" s="4">
        <f t="shared" si="532"/>
        <v>0</v>
      </c>
      <c r="V89" s="1" t="s">
        <v>24</v>
      </c>
      <c r="W89" s="1" t="str">
        <f t="shared" si="496"/>
        <v>False</v>
      </c>
      <c r="X89" s="1" t="str">
        <f t="shared" si="496"/>
        <v>False</v>
      </c>
      <c r="Y89" s="1" t="str">
        <f t="shared" si="496"/>
        <v>True</v>
      </c>
      <c r="Z89" s="1" t="str">
        <f t="shared" si="496"/>
        <v>False</v>
      </c>
      <c r="AA89" s="1" t="str">
        <f t="shared" si="496"/>
        <v>False</v>
      </c>
      <c r="AB89" s="1" t="s">
        <v>33</v>
      </c>
      <c r="AC89" s="4">
        <f t="shared" ref="AC89:AH89" si="533">IF(ISNUMBER(SEARCH(AC$1,$AB89)), 1, 0)</f>
        <v>0</v>
      </c>
      <c r="AD89" s="4">
        <f t="shared" si="533"/>
        <v>0</v>
      </c>
      <c r="AE89" s="4">
        <f t="shared" si="533"/>
        <v>0</v>
      </c>
      <c r="AF89" s="4">
        <f t="shared" si="533"/>
        <v>0</v>
      </c>
      <c r="AG89" s="4">
        <f t="shared" si="533"/>
        <v>0</v>
      </c>
      <c r="AH89" s="4">
        <f t="shared" si="533"/>
        <v>1</v>
      </c>
      <c r="AI89" s="1">
        <f t="shared" si="5"/>
        <v>1</v>
      </c>
      <c r="AK89" s="1" t="s">
        <v>481</v>
      </c>
      <c r="AL89" s="4">
        <f t="shared" ref="AL89:AS89" si="534">IF(ISNUMBER(SEARCH(AL$1,$AK89)), 1, 0)</f>
        <v>0</v>
      </c>
      <c r="AM89" s="4">
        <f t="shared" si="534"/>
        <v>0</v>
      </c>
      <c r="AN89" s="4">
        <f t="shared" si="534"/>
        <v>0</v>
      </c>
      <c r="AO89" s="4">
        <f t="shared" si="534"/>
        <v>1</v>
      </c>
      <c r="AP89" s="4">
        <f t="shared" si="534"/>
        <v>0</v>
      </c>
      <c r="AQ89" s="4">
        <f t="shared" si="534"/>
        <v>1</v>
      </c>
      <c r="AR89" s="4">
        <f t="shared" si="534"/>
        <v>0</v>
      </c>
      <c r="AS89" s="4">
        <f t="shared" si="534"/>
        <v>0</v>
      </c>
      <c r="AU89" s="1" t="s">
        <v>47</v>
      </c>
      <c r="AV89" s="1">
        <f t="shared" si="7"/>
        <v>1</v>
      </c>
      <c r="AW89" s="1">
        <f t="shared" si="8"/>
        <v>0</v>
      </c>
      <c r="AX89" s="1">
        <f t="shared" si="9"/>
        <v>0</v>
      </c>
      <c r="AY89" s="1" t="s">
        <v>48</v>
      </c>
      <c r="BA89" s="1" t="s">
        <v>61</v>
      </c>
      <c r="BB89" s="4">
        <f t="shared" ref="BB89:BJ89" si="535">IF(ISNUMBER(SEARCH(BB$1,$BA89)), 1, 0)</f>
        <v>0</v>
      </c>
      <c r="BC89" s="4">
        <f t="shared" si="535"/>
        <v>0</v>
      </c>
      <c r="BD89" s="4">
        <f t="shared" si="535"/>
        <v>0</v>
      </c>
      <c r="BE89" s="4">
        <f t="shared" si="535"/>
        <v>0</v>
      </c>
      <c r="BF89" s="4">
        <f t="shared" si="535"/>
        <v>0</v>
      </c>
      <c r="BG89" s="4">
        <f t="shared" si="535"/>
        <v>0</v>
      </c>
      <c r="BH89" s="4">
        <f t="shared" si="535"/>
        <v>0</v>
      </c>
      <c r="BI89" s="4">
        <f t="shared" si="535"/>
        <v>0</v>
      </c>
      <c r="BJ89" s="4">
        <f t="shared" si="535"/>
        <v>1</v>
      </c>
      <c r="BK89" s="4">
        <f t="shared" si="11"/>
        <v>1</v>
      </c>
      <c r="BM89" s="1" t="s">
        <v>190</v>
      </c>
      <c r="BN89" s="1" t="s">
        <v>68</v>
      </c>
      <c r="BO89" s="4">
        <f t="shared" ref="BO89:BU89" si="536">IF(ISNUMBER(SEARCH(BO$1,$BN89)), 1, 0)</f>
        <v>0</v>
      </c>
      <c r="BP89" s="4">
        <f t="shared" si="536"/>
        <v>0</v>
      </c>
      <c r="BQ89" s="4">
        <f t="shared" si="536"/>
        <v>1</v>
      </c>
      <c r="BR89" s="4">
        <f t="shared" si="536"/>
        <v>0</v>
      </c>
      <c r="BS89" s="4">
        <f t="shared" si="536"/>
        <v>0</v>
      </c>
      <c r="BT89" s="4">
        <f t="shared" si="536"/>
        <v>0</v>
      </c>
      <c r="BU89" s="4">
        <f t="shared" si="536"/>
        <v>0</v>
      </c>
      <c r="DC89" s="1" t="s">
        <v>180</v>
      </c>
    </row>
    <row r="90" spans="1:107" ht="15.75" customHeight="1" x14ac:dyDescent="0.25">
      <c r="A90" s="1" t="b">
        <v>1</v>
      </c>
      <c r="B90" s="3">
        <v>46164.58803240741</v>
      </c>
      <c r="C90" s="1" t="s">
        <v>486</v>
      </c>
      <c r="D90" s="1" t="s">
        <v>4</v>
      </c>
      <c r="E90" s="4">
        <f t="shared" ref="E90:K90" si="537">IF(ISNUMBER(SEARCH(E$1,$D90)), SEARCH(E$1,$D90), 0)</f>
        <v>1</v>
      </c>
      <c r="F90" s="4">
        <f t="shared" si="537"/>
        <v>0</v>
      </c>
      <c r="G90" s="4">
        <f t="shared" si="537"/>
        <v>0</v>
      </c>
      <c r="H90" s="4">
        <f t="shared" si="537"/>
        <v>0</v>
      </c>
      <c r="I90" s="4">
        <f t="shared" si="537"/>
        <v>0</v>
      </c>
      <c r="J90" s="4">
        <f t="shared" si="537"/>
        <v>0</v>
      </c>
      <c r="K90" s="4">
        <f t="shared" si="537"/>
        <v>0</v>
      </c>
      <c r="L90" s="4">
        <f t="shared" si="1"/>
        <v>1</v>
      </c>
      <c r="N90" s="1" t="s">
        <v>229</v>
      </c>
      <c r="O90" s="4">
        <f t="shared" ref="O90:T90" si="538">IF(ISNUMBER(SEARCH(O$1,$N90)), 1, 0)</f>
        <v>1</v>
      </c>
      <c r="P90" s="4">
        <f t="shared" si="538"/>
        <v>0</v>
      </c>
      <c r="Q90" s="4">
        <f t="shared" si="538"/>
        <v>1</v>
      </c>
      <c r="R90" s="4">
        <f t="shared" si="538"/>
        <v>1</v>
      </c>
      <c r="S90" s="4">
        <f t="shared" si="538"/>
        <v>1</v>
      </c>
      <c r="T90" s="4">
        <f t="shared" si="538"/>
        <v>0</v>
      </c>
      <c r="W90" s="1" t="str">
        <f t="shared" si="496"/>
        <v>False</v>
      </c>
      <c r="X90" s="1" t="str">
        <f t="shared" si="496"/>
        <v>False</v>
      </c>
      <c r="Y90" s="1" t="str">
        <f t="shared" si="496"/>
        <v>False</v>
      </c>
      <c r="Z90" s="1" t="str">
        <f t="shared" si="496"/>
        <v>False</v>
      </c>
      <c r="AA90" s="1" t="str">
        <f t="shared" si="496"/>
        <v>False</v>
      </c>
      <c r="AB90" s="1" t="s">
        <v>487</v>
      </c>
      <c r="AC90" s="4">
        <f t="shared" ref="AC90:AH90" si="539">IF(ISNUMBER(SEARCH(AC$1,$AB90)), 1, 0)</f>
        <v>0</v>
      </c>
      <c r="AD90" s="4">
        <f t="shared" si="539"/>
        <v>0</v>
      </c>
      <c r="AE90" s="4">
        <f t="shared" si="539"/>
        <v>0</v>
      </c>
      <c r="AF90" s="4">
        <f t="shared" si="539"/>
        <v>1</v>
      </c>
      <c r="AG90" s="4">
        <f t="shared" si="539"/>
        <v>0</v>
      </c>
      <c r="AH90" s="4">
        <f t="shared" si="539"/>
        <v>1</v>
      </c>
      <c r="AI90" s="1">
        <f t="shared" si="5"/>
        <v>2</v>
      </c>
      <c r="AK90" s="1" t="s">
        <v>470</v>
      </c>
      <c r="AL90" s="4">
        <f t="shared" ref="AL90:AS90" si="540">IF(ISNUMBER(SEARCH(AL$1,$AK90)), 1, 0)</f>
        <v>0</v>
      </c>
      <c r="AM90" s="4">
        <f t="shared" si="540"/>
        <v>1</v>
      </c>
      <c r="AN90" s="4">
        <f t="shared" si="540"/>
        <v>0</v>
      </c>
      <c r="AO90" s="4">
        <f t="shared" si="540"/>
        <v>1</v>
      </c>
      <c r="AP90" s="4">
        <f t="shared" si="540"/>
        <v>0</v>
      </c>
      <c r="AQ90" s="4">
        <f t="shared" si="540"/>
        <v>1</v>
      </c>
      <c r="AR90" s="4">
        <f t="shared" si="540"/>
        <v>0</v>
      </c>
      <c r="AS90" s="4">
        <f t="shared" si="540"/>
        <v>0</v>
      </c>
      <c r="AU90" s="1" t="s">
        <v>47</v>
      </c>
      <c r="AV90" s="1">
        <f t="shared" si="7"/>
        <v>1</v>
      </c>
      <c r="AW90" s="1">
        <f t="shared" si="8"/>
        <v>0</v>
      </c>
      <c r="AX90" s="1">
        <f t="shared" si="9"/>
        <v>0</v>
      </c>
      <c r="AY90" s="1" t="s">
        <v>48</v>
      </c>
      <c r="BA90" s="1" t="s">
        <v>57</v>
      </c>
      <c r="BB90" s="4">
        <f t="shared" ref="BB90:BJ90" si="541">IF(ISNUMBER(SEARCH(BB$1,$BA90)), 1, 0)</f>
        <v>0</v>
      </c>
      <c r="BC90" s="4">
        <f t="shared" si="541"/>
        <v>0</v>
      </c>
      <c r="BD90" s="4">
        <f t="shared" si="541"/>
        <v>0</v>
      </c>
      <c r="BE90" s="4">
        <f t="shared" si="541"/>
        <v>0</v>
      </c>
      <c r="BF90" s="4">
        <f t="shared" si="541"/>
        <v>1</v>
      </c>
      <c r="BG90" s="4">
        <f t="shared" si="541"/>
        <v>0</v>
      </c>
      <c r="BH90" s="4">
        <f t="shared" si="541"/>
        <v>0</v>
      </c>
      <c r="BI90" s="4">
        <f t="shared" si="541"/>
        <v>0</v>
      </c>
      <c r="BJ90" s="4">
        <f t="shared" si="541"/>
        <v>0</v>
      </c>
      <c r="BK90" s="4">
        <f t="shared" si="11"/>
        <v>1</v>
      </c>
      <c r="BM90" s="1" t="s">
        <v>218</v>
      </c>
      <c r="BN90" s="1" t="s">
        <v>340</v>
      </c>
      <c r="BO90" s="4">
        <f t="shared" ref="BO90:BU90" si="542">IF(ISNUMBER(SEARCH(BO$1,$BN90)), 1, 0)</f>
        <v>1</v>
      </c>
      <c r="BP90" s="4">
        <f t="shared" si="542"/>
        <v>1</v>
      </c>
      <c r="BQ90" s="4">
        <f t="shared" si="542"/>
        <v>0</v>
      </c>
      <c r="BR90" s="4">
        <f t="shared" si="542"/>
        <v>0</v>
      </c>
      <c r="BS90" s="4">
        <f t="shared" si="542"/>
        <v>0</v>
      </c>
      <c r="BT90" s="4">
        <f t="shared" si="542"/>
        <v>0</v>
      </c>
      <c r="BU90" s="4">
        <f t="shared" si="542"/>
        <v>0</v>
      </c>
      <c r="DC90" s="1" t="s">
        <v>238</v>
      </c>
    </row>
    <row r="91" spans="1:107" ht="15.75" customHeight="1" x14ac:dyDescent="0.25">
      <c r="A91" s="1" t="b">
        <v>1</v>
      </c>
      <c r="B91" s="3">
        <v>46165.772303240738</v>
      </c>
      <c r="C91" s="1" t="s">
        <v>622</v>
      </c>
      <c r="D91" s="1" t="s">
        <v>4</v>
      </c>
      <c r="E91" s="4">
        <f t="shared" ref="E91:K91" si="543">IF(ISNUMBER(SEARCH(E$1,$D91)), SEARCH(E$1,$D91), 0)</f>
        <v>1</v>
      </c>
      <c r="F91" s="4">
        <f t="shared" si="543"/>
        <v>0</v>
      </c>
      <c r="G91" s="4">
        <f t="shared" si="543"/>
        <v>0</v>
      </c>
      <c r="H91" s="4">
        <f t="shared" si="543"/>
        <v>0</v>
      </c>
      <c r="I91" s="4">
        <f t="shared" si="543"/>
        <v>0</v>
      </c>
      <c r="J91" s="4">
        <f t="shared" si="543"/>
        <v>0</v>
      </c>
      <c r="K91" s="4">
        <f t="shared" si="543"/>
        <v>0</v>
      </c>
      <c r="L91" s="4">
        <f t="shared" si="1"/>
        <v>1</v>
      </c>
      <c r="N91" s="1" t="s">
        <v>208</v>
      </c>
      <c r="O91" s="4">
        <f t="shared" ref="O91:T91" si="544">IF(ISNUMBER(SEARCH(O$1,$N91)), 1, 0)</f>
        <v>1</v>
      </c>
      <c r="P91" s="4">
        <f t="shared" si="544"/>
        <v>1</v>
      </c>
      <c r="Q91" s="4">
        <f t="shared" si="544"/>
        <v>0</v>
      </c>
      <c r="R91" s="4">
        <f t="shared" si="544"/>
        <v>1</v>
      </c>
      <c r="S91" s="4">
        <f t="shared" si="544"/>
        <v>0</v>
      </c>
      <c r="T91" s="4">
        <f t="shared" si="544"/>
        <v>0</v>
      </c>
      <c r="W91" s="1" t="str">
        <f t="shared" si="496"/>
        <v>False</v>
      </c>
      <c r="X91" s="1" t="str">
        <f t="shared" si="496"/>
        <v>False</v>
      </c>
      <c r="Y91" s="1" t="str">
        <f t="shared" si="496"/>
        <v>False</v>
      </c>
      <c r="Z91" s="1" t="str">
        <f t="shared" si="496"/>
        <v>False</v>
      </c>
      <c r="AA91" s="1" t="str">
        <f t="shared" si="496"/>
        <v>False</v>
      </c>
      <c r="AB91" s="1" t="s">
        <v>487</v>
      </c>
      <c r="AC91" s="4">
        <f t="shared" ref="AC91:AH91" si="545">IF(ISNUMBER(SEARCH(AC$1,$AB91)), 1, 0)</f>
        <v>0</v>
      </c>
      <c r="AD91" s="4">
        <f t="shared" si="545"/>
        <v>0</v>
      </c>
      <c r="AE91" s="4">
        <f t="shared" si="545"/>
        <v>0</v>
      </c>
      <c r="AF91" s="4">
        <f t="shared" si="545"/>
        <v>1</v>
      </c>
      <c r="AG91" s="4">
        <f t="shared" si="545"/>
        <v>0</v>
      </c>
      <c r="AH91" s="4">
        <f t="shared" si="545"/>
        <v>1</v>
      </c>
      <c r="AI91" s="1">
        <f t="shared" si="5"/>
        <v>2</v>
      </c>
      <c r="AK91" s="1" t="s">
        <v>623</v>
      </c>
      <c r="AL91" s="4">
        <f t="shared" ref="AL91:AS91" si="546">IF(ISNUMBER(SEARCH(AL$1,$AK91)), 1, 0)</f>
        <v>0</v>
      </c>
      <c r="AM91" s="4">
        <f t="shared" si="546"/>
        <v>1</v>
      </c>
      <c r="AN91" s="4">
        <f t="shared" si="546"/>
        <v>1</v>
      </c>
      <c r="AO91" s="4">
        <f t="shared" si="546"/>
        <v>1</v>
      </c>
      <c r="AP91" s="4">
        <f t="shared" si="546"/>
        <v>1</v>
      </c>
      <c r="AQ91" s="4">
        <f t="shared" si="546"/>
        <v>1</v>
      </c>
      <c r="AR91" s="4">
        <f t="shared" si="546"/>
        <v>0</v>
      </c>
      <c r="AS91" s="4">
        <f t="shared" si="546"/>
        <v>0</v>
      </c>
      <c r="AU91" s="1" t="s">
        <v>47</v>
      </c>
      <c r="AV91" s="1">
        <f t="shared" si="7"/>
        <v>1</v>
      </c>
      <c r="AW91" s="1">
        <f t="shared" si="8"/>
        <v>0</v>
      </c>
      <c r="AX91" s="1">
        <f t="shared" si="9"/>
        <v>0</v>
      </c>
      <c r="AY91" s="1" t="s">
        <v>48</v>
      </c>
      <c r="BA91" s="1" t="s">
        <v>624</v>
      </c>
      <c r="BB91" s="4">
        <f t="shared" ref="BB91:BJ91" si="547">IF(ISNUMBER(SEARCH(BB$1,$BA91)), 1, 0)</f>
        <v>0</v>
      </c>
      <c r="BC91" s="4">
        <f t="shared" si="547"/>
        <v>0</v>
      </c>
      <c r="BD91" s="4">
        <f t="shared" si="547"/>
        <v>0</v>
      </c>
      <c r="BE91" s="4">
        <f t="shared" si="547"/>
        <v>1</v>
      </c>
      <c r="BF91" s="4">
        <f t="shared" si="547"/>
        <v>0</v>
      </c>
      <c r="BG91" s="4">
        <f t="shared" si="547"/>
        <v>1</v>
      </c>
      <c r="BH91" s="4">
        <f t="shared" si="547"/>
        <v>0</v>
      </c>
      <c r="BI91" s="4">
        <f t="shared" si="547"/>
        <v>0</v>
      </c>
      <c r="BJ91" s="4">
        <f t="shared" si="547"/>
        <v>1</v>
      </c>
      <c r="BK91" s="4">
        <f t="shared" si="11"/>
        <v>3</v>
      </c>
      <c r="BM91" s="1" t="s">
        <v>232</v>
      </c>
      <c r="BN91" s="1" t="s">
        <v>625</v>
      </c>
      <c r="BO91" s="4">
        <f t="shared" ref="BO91:BU91" si="548">IF(ISNUMBER(SEARCH(BO$1,$BN91)), 1, 0)</f>
        <v>1</v>
      </c>
      <c r="BP91" s="4">
        <f t="shared" si="548"/>
        <v>0</v>
      </c>
      <c r="BQ91" s="4">
        <f t="shared" si="548"/>
        <v>0</v>
      </c>
      <c r="BR91" s="4">
        <f t="shared" si="548"/>
        <v>0</v>
      </c>
      <c r="BS91" s="4">
        <f t="shared" si="548"/>
        <v>1</v>
      </c>
      <c r="BT91" s="4">
        <f t="shared" si="548"/>
        <v>0</v>
      </c>
      <c r="BU91" s="4">
        <f t="shared" si="548"/>
        <v>0</v>
      </c>
      <c r="DC91" s="1" t="s">
        <v>180</v>
      </c>
    </row>
    <row r="92" spans="1:107" ht="15.75" customHeight="1" x14ac:dyDescent="0.25">
      <c r="A92" s="1" t="b">
        <v>1</v>
      </c>
      <c r="B92" s="3">
        <v>46164.307488425926</v>
      </c>
      <c r="C92" s="1" t="s">
        <v>468</v>
      </c>
      <c r="D92" s="1" t="s">
        <v>4</v>
      </c>
      <c r="E92" s="4">
        <f t="shared" ref="E92:K92" si="549">IF(ISNUMBER(SEARCH(E$1,$D92)), SEARCH(E$1,$D92), 0)</f>
        <v>1</v>
      </c>
      <c r="F92" s="4">
        <f t="shared" si="549"/>
        <v>0</v>
      </c>
      <c r="G92" s="4">
        <f t="shared" si="549"/>
        <v>0</v>
      </c>
      <c r="H92" s="4">
        <f t="shared" si="549"/>
        <v>0</v>
      </c>
      <c r="I92" s="4">
        <f t="shared" si="549"/>
        <v>0</v>
      </c>
      <c r="J92" s="4">
        <f t="shared" si="549"/>
        <v>0</v>
      </c>
      <c r="K92" s="4">
        <f t="shared" si="549"/>
        <v>0</v>
      </c>
      <c r="L92" s="4">
        <f t="shared" si="1"/>
        <v>1</v>
      </c>
      <c r="N92" s="1" t="s">
        <v>469</v>
      </c>
      <c r="O92" s="4">
        <f t="shared" ref="O92:T92" si="550">IF(ISNUMBER(SEARCH(O$1,$N92)), 1, 0)</f>
        <v>1</v>
      </c>
      <c r="P92" s="4">
        <f t="shared" si="550"/>
        <v>0</v>
      </c>
      <c r="Q92" s="4">
        <f t="shared" si="550"/>
        <v>0</v>
      </c>
      <c r="R92" s="4">
        <f t="shared" si="550"/>
        <v>1</v>
      </c>
      <c r="S92" s="4">
        <f t="shared" si="550"/>
        <v>0</v>
      </c>
      <c r="T92" s="4">
        <f t="shared" si="550"/>
        <v>0</v>
      </c>
      <c r="V92" s="1" t="s">
        <v>24</v>
      </c>
      <c r="W92" s="1" t="str">
        <f t="shared" si="496"/>
        <v>False</v>
      </c>
      <c r="X92" s="1" t="str">
        <f t="shared" si="496"/>
        <v>False</v>
      </c>
      <c r="Y92" s="1" t="str">
        <f t="shared" si="496"/>
        <v>True</v>
      </c>
      <c r="Z92" s="1" t="str">
        <f t="shared" si="496"/>
        <v>False</v>
      </c>
      <c r="AA92" s="1" t="str">
        <f t="shared" si="496"/>
        <v>False</v>
      </c>
      <c r="AB92" s="1" t="s">
        <v>357</v>
      </c>
      <c r="AC92" s="4">
        <f t="shared" ref="AC92:AH92" si="551">IF(ISNUMBER(SEARCH(AC$1,$AB92)), 1, 0)</f>
        <v>1</v>
      </c>
      <c r="AD92" s="4">
        <f t="shared" si="551"/>
        <v>0</v>
      </c>
      <c r="AE92" s="4">
        <f t="shared" si="551"/>
        <v>0</v>
      </c>
      <c r="AF92" s="4">
        <f t="shared" si="551"/>
        <v>0</v>
      </c>
      <c r="AG92" s="4">
        <f t="shared" si="551"/>
        <v>0</v>
      </c>
      <c r="AH92" s="4">
        <f t="shared" si="551"/>
        <v>1</v>
      </c>
      <c r="AI92" s="1">
        <f t="shared" si="5"/>
        <v>2</v>
      </c>
      <c r="AK92" s="1" t="s">
        <v>470</v>
      </c>
      <c r="AL92" s="4">
        <f t="shared" ref="AL92:AS92" si="552">IF(ISNUMBER(SEARCH(AL$1,$AK92)), 1, 0)</f>
        <v>0</v>
      </c>
      <c r="AM92" s="4">
        <f t="shared" si="552"/>
        <v>1</v>
      </c>
      <c r="AN92" s="4">
        <f t="shared" si="552"/>
        <v>0</v>
      </c>
      <c r="AO92" s="4">
        <f t="shared" si="552"/>
        <v>1</v>
      </c>
      <c r="AP92" s="4">
        <f t="shared" si="552"/>
        <v>0</v>
      </c>
      <c r="AQ92" s="4">
        <f t="shared" si="552"/>
        <v>1</v>
      </c>
      <c r="AR92" s="4">
        <f t="shared" si="552"/>
        <v>0</v>
      </c>
      <c r="AS92" s="4">
        <f t="shared" si="552"/>
        <v>0</v>
      </c>
      <c r="AU92" s="1" t="s">
        <v>47</v>
      </c>
      <c r="AV92" s="1">
        <f t="shared" si="7"/>
        <v>1</v>
      </c>
      <c r="AW92" s="1">
        <f t="shared" si="8"/>
        <v>0</v>
      </c>
      <c r="AX92" s="1">
        <f t="shared" si="9"/>
        <v>0</v>
      </c>
      <c r="AY92" s="1" t="s">
        <v>48</v>
      </c>
      <c r="BA92" s="1" t="s">
        <v>471</v>
      </c>
      <c r="BB92" s="4">
        <f t="shared" ref="BB92:BJ92" si="553">IF(ISNUMBER(SEARCH(BB$1,$BA92)), 1, 0)</f>
        <v>0</v>
      </c>
      <c r="BC92" s="4">
        <f t="shared" si="553"/>
        <v>0</v>
      </c>
      <c r="BD92" s="4">
        <f t="shared" si="553"/>
        <v>0</v>
      </c>
      <c r="BE92" s="4">
        <f t="shared" si="553"/>
        <v>1</v>
      </c>
      <c r="BF92" s="4">
        <f t="shared" si="553"/>
        <v>1</v>
      </c>
      <c r="BG92" s="4">
        <f t="shared" si="553"/>
        <v>1</v>
      </c>
      <c r="BH92" s="4">
        <f t="shared" si="553"/>
        <v>0</v>
      </c>
      <c r="BI92" s="4">
        <f t="shared" si="553"/>
        <v>0</v>
      </c>
      <c r="BJ92" s="4">
        <f t="shared" si="553"/>
        <v>1</v>
      </c>
      <c r="BK92" s="4">
        <f t="shared" si="11"/>
        <v>4</v>
      </c>
      <c r="BM92" s="1" t="s">
        <v>166</v>
      </c>
      <c r="BN92" s="1" t="s">
        <v>472</v>
      </c>
      <c r="BO92" s="4">
        <f t="shared" ref="BO92:BU92" si="554">IF(ISNUMBER(SEARCH(BO$1,$BN92)), 1, 0)</f>
        <v>1</v>
      </c>
      <c r="BP92" s="4">
        <f t="shared" si="554"/>
        <v>1</v>
      </c>
      <c r="BQ92" s="4">
        <f t="shared" si="554"/>
        <v>0</v>
      </c>
      <c r="BR92" s="4">
        <f t="shared" si="554"/>
        <v>0</v>
      </c>
      <c r="BS92" s="4">
        <f t="shared" si="554"/>
        <v>0</v>
      </c>
      <c r="BT92" s="4">
        <f t="shared" si="554"/>
        <v>1</v>
      </c>
      <c r="BU92" s="4">
        <f t="shared" si="554"/>
        <v>0</v>
      </c>
      <c r="DC92" s="1" t="s">
        <v>238</v>
      </c>
    </row>
    <row r="93" spans="1:107" ht="15.75" customHeight="1" x14ac:dyDescent="0.25">
      <c r="A93" s="1" t="b">
        <v>1</v>
      </c>
      <c r="B93" s="3">
        <v>46164.529062499998</v>
      </c>
      <c r="C93" s="1" t="s">
        <v>480</v>
      </c>
      <c r="D93" s="1" t="s">
        <v>4</v>
      </c>
      <c r="E93" s="4">
        <f t="shared" ref="E93:K93" si="555">IF(ISNUMBER(SEARCH(E$1,$D93)), SEARCH(E$1,$D93), 0)</f>
        <v>1</v>
      </c>
      <c r="F93" s="4">
        <f t="shared" si="555"/>
        <v>0</v>
      </c>
      <c r="G93" s="4">
        <f t="shared" si="555"/>
        <v>0</v>
      </c>
      <c r="H93" s="4">
        <f t="shared" si="555"/>
        <v>0</v>
      </c>
      <c r="I93" s="4">
        <f t="shared" si="555"/>
        <v>0</v>
      </c>
      <c r="J93" s="4">
        <f t="shared" si="555"/>
        <v>0</v>
      </c>
      <c r="K93" s="4">
        <f t="shared" si="555"/>
        <v>0</v>
      </c>
      <c r="L93" s="4">
        <f t="shared" si="1"/>
        <v>1</v>
      </c>
      <c r="N93" s="1" t="s">
        <v>316</v>
      </c>
      <c r="O93" s="4">
        <f t="shared" ref="O93:T93" si="556">IF(ISNUMBER(SEARCH(O$1,$N93)), 1, 0)</f>
        <v>1</v>
      </c>
      <c r="P93" s="4">
        <f t="shared" si="556"/>
        <v>0</v>
      </c>
      <c r="Q93" s="4">
        <f t="shared" si="556"/>
        <v>1</v>
      </c>
      <c r="R93" s="4">
        <f t="shared" si="556"/>
        <v>0</v>
      </c>
      <c r="S93" s="4">
        <f t="shared" si="556"/>
        <v>0</v>
      </c>
      <c r="T93" s="4">
        <f t="shared" si="556"/>
        <v>0</v>
      </c>
      <c r="V93" s="1" t="s">
        <v>24</v>
      </c>
      <c r="W93" s="1" t="str">
        <f t="shared" ref="W93:AA102" si="557">IF(W$1=$V93, "True", "False")</f>
        <v>False</v>
      </c>
      <c r="X93" s="1" t="str">
        <f t="shared" si="557"/>
        <v>False</v>
      </c>
      <c r="Y93" s="1" t="str">
        <f t="shared" si="557"/>
        <v>True</v>
      </c>
      <c r="Z93" s="1" t="str">
        <f t="shared" si="557"/>
        <v>False</v>
      </c>
      <c r="AA93" s="1" t="str">
        <f t="shared" si="557"/>
        <v>False</v>
      </c>
      <c r="AB93" s="1" t="s">
        <v>357</v>
      </c>
      <c r="AC93" s="4">
        <f t="shared" ref="AC93:AH93" si="558">IF(ISNUMBER(SEARCH(AC$1,$AB93)), 1, 0)</f>
        <v>1</v>
      </c>
      <c r="AD93" s="4">
        <f t="shared" si="558"/>
        <v>0</v>
      </c>
      <c r="AE93" s="4">
        <f t="shared" si="558"/>
        <v>0</v>
      </c>
      <c r="AF93" s="4">
        <f t="shared" si="558"/>
        <v>0</v>
      </c>
      <c r="AG93" s="4">
        <f t="shared" si="558"/>
        <v>0</v>
      </c>
      <c r="AH93" s="4">
        <f t="shared" si="558"/>
        <v>1</v>
      </c>
      <c r="AI93" s="1">
        <f t="shared" si="5"/>
        <v>2</v>
      </c>
      <c r="AK93" s="1" t="s">
        <v>481</v>
      </c>
      <c r="AL93" s="4">
        <f t="shared" ref="AL93:AS93" si="559">IF(ISNUMBER(SEARCH(AL$1,$AK93)), 1, 0)</f>
        <v>0</v>
      </c>
      <c r="AM93" s="4">
        <f t="shared" si="559"/>
        <v>0</v>
      </c>
      <c r="AN93" s="4">
        <f t="shared" si="559"/>
        <v>0</v>
      </c>
      <c r="AO93" s="4">
        <f t="shared" si="559"/>
        <v>1</v>
      </c>
      <c r="AP93" s="4">
        <f t="shared" si="559"/>
        <v>0</v>
      </c>
      <c r="AQ93" s="4">
        <f t="shared" si="559"/>
        <v>1</v>
      </c>
      <c r="AR93" s="4">
        <f t="shared" si="559"/>
        <v>0</v>
      </c>
      <c r="AS93" s="4">
        <f t="shared" si="559"/>
        <v>0</v>
      </c>
      <c r="AU93" s="1" t="s">
        <v>47</v>
      </c>
      <c r="AV93" s="1">
        <f t="shared" si="7"/>
        <v>1</v>
      </c>
      <c r="AW93" s="1">
        <f t="shared" si="8"/>
        <v>0</v>
      </c>
      <c r="AX93" s="1">
        <f t="shared" si="9"/>
        <v>0</v>
      </c>
      <c r="AY93" s="1" t="s">
        <v>48</v>
      </c>
      <c r="BA93" s="1" t="s">
        <v>61</v>
      </c>
      <c r="BB93" s="4">
        <f t="shared" ref="BB93:BJ93" si="560">IF(ISNUMBER(SEARCH(BB$1,$BA93)), 1, 0)</f>
        <v>0</v>
      </c>
      <c r="BC93" s="4">
        <f t="shared" si="560"/>
        <v>0</v>
      </c>
      <c r="BD93" s="4">
        <f t="shared" si="560"/>
        <v>0</v>
      </c>
      <c r="BE93" s="4">
        <f t="shared" si="560"/>
        <v>0</v>
      </c>
      <c r="BF93" s="4">
        <f t="shared" si="560"/>
        <v>0</v>
      </c>
      <c r="BG93" s="4">
        <f t="shared" si="560"/>
        <v>0</v>
      </c>
      <c r="BH93" s="4">
        <f t="shared" si="560"/>
        <v>0</v>
      </c>
      <c r="BI93" s="4">
        <f t="shared" si="560"/>
        <v>0</v>
      </c>
      <c r="BJ93" s="4">
        <f t="shared" si="560"/>
        <v>1</v>
      </c>
      <c r="BK93" s="4">
        <f t="shared" si="11"/>
        <v>1</v>
      </c>
      <c r="BM93" s="1" t="s">
        <v>232</v>
      </c>
      <c r="BN93" s="1" t="s">
        <v>71</v>
      </c>
      <c r="BO93" s="4">
        <f t="shared" ref="BO93:BU93" si="561">IF(ISNUMBER(SEARCH(BO$1,$BN93)), 1, 0)</f>
        <v>0</v>
      </c>
      <c r="BP93" s="4">
        <f t="shared" si="561"/>
        <v>0</v>
      </c>
      <c r="BQ93" s="4">
        <f t="shared" si="561"/>
        <v>0</v>
      </c>
      <c r="BR93" s="4">
        <f t="shared" si="561"/>
        <v>0</v>
      </c>
      <c r="BS93" s="4">
        <f t="shared" si="561"/>
        <v>0</v>
      </c>
      <c r="BT93" s="4">
        <f t="shared" si="561"/>
        <v>1</v>
      </c>
      <c r="BU93" s="4">
        <f t="shared" si="561"/>
        <v>0</v>
      </c>
      <c r="DC93" s="1" t="s">
        <v>238</v>
      </c>
    </row>
    <row r="94" spans="1:107" ht="15.75" customHeight="1" x14ac:dyDescent="0.25">
      <c r="A94" s="1" t="b">
        <v>1</v>
      </c>
      <c r="B94" s="3">
        <v>46164.639606481483</v>
      </c>
      <c r="C94" s="1" t="s">
        <v>508</v>
      </c>
      <c r="D94" s="1" t="s">
        <v>4</v>
      </c>
      <c r="E94" s="4">
        <f t="shared" ref="E94:K94" si="562">IF(ISNUMBER(SEARCH(E$1,$D94)), SEARCH(E$1,$D94), 0)</f>
        <v>1</v>
      </c>
      <c r="F94" s="4">
        <f t="shared" si="562"/>
        <v>0</v>
      </c>
      <c r="G94" s="4">
        <f t="shared" si="562"/>
        <v>0</v>
      </c>
      <c r="H94" s="4">
        <f t="shared" si="562"/>
        <v>0</v>
      </c>
      <c r="I94" s="4">
        <f t="shared" si="562"/>
        <v>0</v>
      </c>
      <c r="J94" s="4">
        <f t="shared" si="562"/>
        <v>0</v>
      </c>
      <c r="K94" s="4">
        <f t="shared" si="562"/>
        <v>0</v>
      </c>
      <c r="L94" s="4">
        <f t="shared" si="1"/>
        <v>1</v>
      </c>
      <c r="N94" s="1" t="s">
        <v>240</v>
      </c>
      <c r="O94" s="4">
        <f t="shared" ref="O94:T94" si="563">IF(ISNUMBER(SEARCH(O$1,$N94)), 1, 0)</f>
        <v>1</v>
      </c>
      <c r="P94" s="4">
        <f t="shared" si="563"/>
        <v>1</v>
      </c>
      <c r="Q94" s="4">
        <f t="shared" si="563"/>
        <v>1</v>
      </c>
      <c r="R94" s="4">
        <f t="shared" si="563"/>
        <v>1</v>
      </c>
      <c r="S94" s="4">
        <f t="shared" si="563"/>
        <v>0</v>
      </c>
      <c r="T94" s="4">
        <f t="shared" si="563"/>
        <v>0</v>
      </c>
      <c r="W94" s="1" t="str">
        <f t="shared" si="557"/>
        <v>False</v>
      </c>
      <c r="X94" s="1" t="str">
        <f t="shared" si="557"/>
        <v>False</v>
      </c>
      <c r="Y94" s="1" t="str">
        <f t="shared" si="557"/>
        <v>False</v>
      </c>
      <c r="Z94" s="1" t="str">
        <f t="shared" si="557"/>
        <v>False</v>
      </c>
      <c r="AA94" s="1" t="str">
        <f t="shared" si="557"/>
        <v>False</v>
      </c>
      <c r="AB94" s="1" t="s">
        <v>357</v>
      </c>
      <c r="AC94" s="4">
        <f t="shared" ref="AC94:AH94" si="564">IF(ISNUMBER(SEARCH(AC$1,$AB94)), 1, 0)</f>
        <v>1</v>
      </c>
      <c r="AD94" s="4">
        <f t="shared" si="564"/>
        <v>0</v>
      </c>
      <c r="AE94" s="4">
        <f t="shared" si="564"/>
        <v>0</v>
      </c>
      <c r="AF94" s="4">
        <f t="shared" si="564"/>
        <v>0</v>
      </c>
      <c r="AG94" s="4">
        <f t="shared" si="564"/>
        <v>0</v>
      </c>
      <c r="AH94" s="4">
        <f t="shared" si="564"/>
        <v>1</v>
      </c>
      <c r="AI94" s="1">
        <f t="shared" si="5"/>
        <v>2</v>
      </c>
      <c r="AK94" s="1" t="s">
        <v>317</v>
      </c>
      <c r="AL94" s="4">
        <f t="shared" ref="AL94:AS94" si="565">IF(ISNUMBER(SEARCH(AL$1,$AK94)), 1, 0)</f>
        <v>0</v>
      </c>
      <c r="AM94" s="4">
        <f t="shared" si="565"/>
        <v>1</v>
      </c>
      <c r="AN94" s="4">
        <f t="shared" si="565"/>
        <v>0</v>
      </c>
      <c r="AO94" s="4">
        <f t="shared" si="565"/>
        <v>1</v>
      </c>
      <c r="AP94" s="4">
        <f t="shared" si="565"/>
        <v>1</v>
      </c>
      <c r="AQ94" s="4">
        <f t="shared" si="565"/>
        <v>1</v>
      </c>
      <c r="AR94" s="4">
        <f t="shared" si="565"/>
        <v>0</v>
      </c>
      <c r="AS94" s="4">
        <f t="shared" si="565"/>
        <v>0</v>
      </c>
      <c r="AU94" s="1" t="s">
        <v>47</v>
      </c>
      <c r="AV94" s="1">
        <f t="shared" si="7"/>
        <v>1</v>
      </c>
      <c r="AW94" s="1">
        <f t="shared" si="8"/>
        <v>0</v>
      </c>
      <c r="AX94" s="1">
        <f t="shared" si="9"/>
        <v>0</v>
      </c>
      <c r="AY94" s="1" t="s">
        <v>48</v>
      </c>
      <c r="BA94" s="1" t="s">
        <v>509</v>
      </c>
      <c r="BB94" s="4">
        <f t="shared" ref="BB94:BJ94" si="566">IF(ISNUMBER(SEARCH(BB$1,$BA94)), 1, 0)</f>
        <v>0</v>
      </c>
      <c r="BC94" s="4">
        <f t="shared" si="566"/>
        <v>1</v>
      </c>
      <c r="BD94" s="4">
        <f t="shared" si="566"/>
        <v>1</v>
      </c>
      <c r="BE94" s="4">
        <f t="shared" si="566"/>
        <v>1</v>
      </c>
      <c r="BF94" s="4">
        <f t="shared" si="566"/>
        <v>1</v>
      </c>
      <c r="BG94" s="4">
        <f t="shared" si="566"/>
        <v>0</v>
      </c>
      <c r="BH94" s="4">
        <f t="shared" si="566"/>
        <v>0</v>
      </c>
      <c r="BI94" s="4">
        <f t="shared" si="566"/>
        <v>0</v>
      </c>
      <c r="BJ94" s="4">
        <f t="shared" si="566"/>
        <v>1</v>
      </c>
      <c r="BK94" s="4">
        <f t="shared" si="11"/>
        <v>5</v>
      </c>
      <c r="BM94" s="1" t="s">
        <v>232</v>
      </c>
      <c r="BN94" s="1" t="s">
        <v>510</v>
      </c>
      <c r="BO94" s="4">
        <f t="shared" ref="BO94:BU94" si="567">IF(ISNUMBER(SEARCH(BO$1,$BN94)), 1, 0)</f>
        <v>0</v>
      </c>
      <c r="BP94" s="4">
        <f t="shared" si="567"/>
        <v>1</v>
      </c>
      <c r="BQ94" s="4">
        <f t="shared" si="567"/>
        <v>0</v>
      </c>
      <c r="BR94" s="4">
        <f t="shared" si="567"/>
        <v>1</v>
      </c>
      <c r="BS94" s="4">
        <f t="shared" si="567"/>
        <v>0</v>
      </c>
      <c r="BT94" s="4">
        <f t="shared" si="567"/>
        <v>1</v>
      </c>
      <c r="BU94" s="4">
        <f t="shared" si="567"/>
        <v>1</v>
      </c>
      <c r="DC94" s="1" t="s">
        <v>238</v>
      </c>
    </row>
    <row r="95" spans="1:107" ht="15.75" customHeight="1" x14ac:dyDescent="0.25">
      <c r="A95" s="1" t="b">
        <v>1</v>
      </c>
      <c r="B95" s="3">
        <v>46166.580659722225</v>
      </c>
      <c r="C95" s="1" t="s">
        <v>646</v>
      </c>
      <c r="D95" s="1" t="s">
        <v>4</v>
      </c>
      <c r="E95" s="4">
        <f t="shared" ref="E95:K95" si="568">IF(ISNUMBER(SEARCH(E$1,$D95)), SEARCH(E$1,$D95), 0)</f>
        <v>1</v>
      </c>
      <c r="F95" s="4">
        <f t="shared" si="568"/>
        <v>0</v>
      </c>
      <c r="G95" s="4">
        <f t="shared" si="568"/>
        <v>0</v>
      </c>
      <c r="H95" s="4">
        <f t="shared" si="568"/>
        <v>0</v>
      </c>
      <c r="I95" s="4">
        <f t="shared" si="568"/>
        <v>0</v>
      </c>
      <c r="J95" s="4">
        <f t="shared" si="568"/>
        <v>0</v>
      </c>
      <c r="K95" s="4">
        <f t="shared" si="568"/>
        <v>0</v>
      </c>
      <c r="L95" s="4">
        <f t="shared" si="1"/>
        <v>1</v>
      </c>
      <c r="N95" s="1" t="s">
        <v>208</v>
      </c>
      <c r="O95" s="4">
        <f t="shared" ref="O95:T95" si="569">IF(ISNUMBER(SEARCH(O$1,$N95)), 1, 0)</f>
        <v>1</v>
      </c>
      <c r="P95" s="4">
        <f t="shared" si="569"/>
        <v>1</v>
      </c>
      <c r="Q95" s="4">
        <f t="shared" si="569"/>
        <v>0</v>
      </c>
      <c r="R95" s="4">
        <f t="shared" si="569"/>
        <v>1</v>
      </c>
      <c r="S95" s="4">
        <f t="shared" si="569"/>
        <v>0</v>
      </c>
      <c r="T95" s="4">
        <f t="shared" si="569"/>
        <v>0</v>
      </c>
      <c r="V95" s="1" t="s">
        <v>23</v>
      </c>
      <c r="W95" s="1" t="str">
        <f t="shared" si="557"/>
        <v>False</v>
      </c>
      <c r="X95" s="1" t="str">
        <f t="shared" si="557"/>
        <v>True</v>
      </c>
      <c r="Y95" s="1" t="str">
        <f t="shared" si="557"/>
        <v>False</v>
      </c>
      <c r="Z95" s="1" t="str">
        <f t="shared" si="557"/>
        <v>False</v>
      </c>
      <c r="AA95" s="1" t="str">
        <f t="shared" si="557"/>
        <v>False</v>
      </c>
      <c r="AB95" s="1" t="s">
        <v>357</v>
      </c>
      <c r="AC95" s="4">
        <f t="shared" ref="AC95:AH95" si="570">IF(ISNUMBER(SEARCH(AC$1,$AB95)), 1, 0)</f>
        <v>1</v>
      </c>
      <c r="AD95" s="4">
        <f t="shared" si="570"/>
        <v>0</v>
      </c>
      <c r="AE95" s="4">
        <f t="shared" si="570"/>
        <v>0</v>
      </c>
      <c r="AF95" s="4">
        <f t="shared" si="570"/>
        <v>0</v>
      </c>
      <c r="AG95" s="4">
        <f t="shared" si="570"/>
        <v>0</v>
      </c>
      <c r="AH95" s="4">
        <f t="shared" si="570"/>
        <v>1</v>
      </c>
      <c r="AI95" s="1">
        <f t="shared" si="5"/>
        <v>2</v>
      </c>
      <c r="AK95" s="1" t="s">
        <v>481</v>
      </c>
      <c r="AL95" s="4">
        <f t="shared" ref="AL95:AS95" si="571">IF(ISNUMBER(SEARCH(AL$1,$AK95)), 1, 0)</f>
        <v>0</v>
      </c>
      <c r="AM95" s="4">
        <f t="shared" si="571"/>
        <v>0</v>
      </c>
      <c r="AN95" s="4">
        <f t="shared" si="571"/>
        <v>0</v>
      </c>
      <c r="AO95" s="4">
        <f t="shared" si="571"/>
        <v>1</v>
      </c>
      <c r="AP95" s="4">
        <f t="shared" si="571"/>
        <v>0</v>
      </c>
      <c r="AQ95" s="4">
        <f t="shared" si="571"/>
        <v>1</v>
      </c>
      <c r="AR95" s="4">
        <f t="shared" si="571"/>
        <v>0</v>
      </c>
      <c r="AS95" s="4">
        <f t="shared" si="571"/>
        <v>0</v>
      </c>
      <c r="AU95" s="1" t="s">
        <v>48</v>
      </c>
      <c r="AV95" s="1">
        <f t="shared" si="7"/>
        <v>0</v>
      </c>
      <c r="AW95" s="1">
        <f t="shared" si="8"/>
        <v>1</v>
      </c>
      <c r="AX95" s="1">
        <f t="shared" si="9"/>
        <v>0</v>
      </c>
      <c r="AY95" s="1" t="s">
        <v>48</v>
      </c>
      <c r="BA95" s="1" t="s">
        <v>61</v>
      </c>
      <c r="BB95" s="4">
        <f t="shared" ref="BB95:BJ95" si="572">IF(ISNUMBER(SEARCH(BB$1,$BA95)), 1, 0)</f>
        <v>0</v>
      </c>
      <c r="BC95" s="4">
        <f t="shared" si="572"/>
        <v>0</v>
      </c>
      <c r="BD95" s="4">
        <f t="shared" si="572"/>
        <v>0</v>
      </c>
      <c r="BE95" s="4">
        <f t="shared" si="572"/>
        <v>0</v>
      </c>
      <c r="BF95" s="4">
        <f t="shared" si="572"/>
        <v>0</v>
      </c>
      <c r="BG95" s="4">
        <f t="shared" si="572"/>
        <v>0</v>
      </c>
      <c r="BH95" s="4">
        <f t="shared" si="572"/>
        <v>0</v>
      </c>
      <c r="BI95" s="4">
        <f t="shared" si="572"/>
        <v>0</v>
      </c>
      <c r="BJ95" s="4">
        <f t="shared" si="572"/>
        <v>1</v>
      </c>
      <c r="BK95" s="4">
        <f t="shared" si="11"/>
        <v>1</v>
      </c>
      <c r="BM95" s="1" t="s">
        <v>166</v>
      </c>
      <c r="BN95" s="1" t="s">
        <v>72</v>
      </c>
      <c r="BO95" s="4">
        <f t="shared" ref="BO95:BU95" si="573">IF(ISNUMBER(SEARCH(BO$1,$BN95)), 1, 0)</f>
        <v>0</v>
      </c>
      <c r="BP95" s="4">
        <f t="shared" si="573"/>
        <v>0</v>
      </c>
      <c r="BQ95" s="4">
        <f t="shared" si="573"/>
        <v>0</v>
      </c>
      <c r="BR95" s="4">
        <f t="shared" si="573"/>
        <v>0</v>
      </c>
      <c r="BS95" s="4">
        <f t="shared" si="573"/>
        <v>0</v>
      </c>
      <c r="BT95" s="4">
        <f t="shared" si="573"/>
        <v>0</v>
      </c>
      <c r="BU95" s="4">
        <f t="shared" si="573"/>
        <v>1</v>
      </c>
      <c r="BW95" s="1" t="s">
        <v>255</v>
      </c>
      <c r="DC95" s="1" t="s">
        <v>180</v>
      </c>
    </row>
    <row r="96" spans="1:107" ht="15.75" customHeight="1" x14ac:dyDescent="0.25">
      <c r="A96" s="1" t="b">
        <v>1</v>
      </c>
      <c r="B96" s="3">
        <v>46164.528020833335</v>
      </c>
      <c r="C96" s="1" t="s">
        <v>476</v>
      </c>
      <c r="D96" s="1" t="s">
        <v>4</v>
      </c>
      <c r="E96" s="4">
        <f t="shared" ref="E96:K96" si="574">IF(ISNUMBER(SEARCH(E$1,$D96)), SEARCH(E$1,$D96), 0)</f>
        <v>1</v>
      </c>
      <c r="F96" s="4">
        <f t="shared" si="574"/>
        <v>0</v>
      </c>
      <c r="G96" s="4">
        <f t="shared" si="574"/>
        <v>0</v>
      </c>
      <c r="H96" s="4">
        <f t="shared" si="574"/>
        <v>0</v>
      </c>
      <c r="I96" s="4">
        <f t="shared" si="574"/>
        <v>0</v>
      </c>
      <c r="J96" s="4">
        <f t="shared" si="574"/>
        <v>0</v>
      </c>
      <c r="K96" s="4">
        <f t="shared" si="574"/>
        <v>0</v>
      </c>
      <c r="L96" s="4">
        <f t="shared" si="1"/>
        <v>1</v>
      </c>
      <c r="N96" s="1" t="s">
        <v>208</v>
      </c>
      <c r="O96" s="4">
        <f t="shared" ref="O96:T96" si="575">IF(ISNUMBER(SEARCH(O$1,$N96)), 1, 0)</f>
        <v>1</v>
      </c>
      <c r="P96" s="4">
        <f t="shared" si="575"/>
        <v>1</v>
      </c>
      <c r="Q96" s="4">
        <f t="shared" si="575"/>
        <v>0</v>
      </c>
      <c r="R96" s="4">
        <f t="shared" si="575"/>
        <v>1</v>
      </c>
      <c r="S96" s="4">
        <f t="shared" si="575"/>
        <v>0</v>
      </c>
      <c r="T96" s="4">
        <f t="shared" si="575"/>
        <v>0</v>
      </c>
      <c r="V96" s="1" t="s">
        <v>25</v>
      </c>
      <c r="W96" s="1" t="str">
        <f t="shared" si="557"/>
        <v>False</v>
      </c>
      <c r="X96" s="1" t="str">
        <f t="shared" si="557"/>
        <v>False</v>
      </c>
      <c r="Y96" s="1" t="str">
        <f t="shared" si="557"/>
        <v>False</v>
      </c>
      <c r="Z96" s="1" t="str">
        <f t="shared" si="557"/>
        <v>True</v>
      </c>
      <c r="AA96" s="1" t="str">
        <f t="shared" si="557"/>
        <v>False</v>
      </c>
      <c r="AB96" s="1" t="s">
        <v>477</v>
      </c>
      <c r="AC96" s="4">
        <f t="shared" ref="AC96:AH96" si="576">IF(ISNUMBER(SEARCH(AC$1,$AB96)), 1, 0)</f>
        <v>1</v>
      </c>
      <c r="AD96" s="4">
        <f t="shared" si="576"/>
        <v>1</v>
      </c>
      <c r="AE96" s="4">
        <f t="shared" si="576"/>
        <v>0</v>
      </c>
      <c r="AF96" s="4">
        <f t="shared" si="576"/>
        <v>0</v>
      </c>
      <c r="AG96" s="4">
        <f t="shared" si="576"/>
        <v>0</v>
      </c>
      <c r="AH96" s="4">
        <f t="shared" si="576"/>
        <v>1</v>
      </c>
      <c r="AI96" s="1">
        <f t="shared" si="5"/>
        <v>3</v>
      </c>
      <c r="AK96" s="1" t="s">
        <v>423</v>
      </c>
      <c r="AL96" s="4">
        <f t="shared" ref="AL96:AS96" si="577">IF(ISNUMBER(SEARCH(AL$1,$AK96)), 1, 0)</f>
        <v>0</v>
      </c>
      <c r="AM96" s="4">
        <f t="shared" si="577"/>
        <v>1</v>
      </c>
      <c r="AN96" s="4">
        <f t="shared" si="577"/>
        <v>1</v>
      </c>
      <c r="AO96" s="4">
        <f t="shared" si="577"/>
        <v>1</v>
      </c>
      <c r="AP96" s="4">
        <f t="shared" si="577"/>
        <v>0</v>
      </c>
      <c r="AQ96" s="4">
        <f t="shared" si="577"/>
        <v>1</v>
      </c>
      <c r="AR96" s="4">
        <f t="shared" si="577"/>
        <v>0</v>
      </c>
      <c r="AS96" s="4">
        <f t="shared" si="577"/>
        <v>0</v>
      </c>
      <c r="AU96" s="1" t="s">
        <v>48</v>
      </c>
      <c r="AV96" s="1">
        <f t="shared" si="7"/>
        <v>0</v>
      </c>
      <c r="AW96" s="1">
        <f t="shared" si="8"/>
        <v>1</v>
      </c>
      <c r="AX96" s="1">
        <f t="shared" si="9"/>
        <v>0</v>
      </c>
      <c r="AY96" s="1" t="s">
        <v>48</v>
      </c>
      <c r="BA96" s="1" t="s">
        <v>457</v>
      </c>
      <c r="BB96" s="4">
        <f t="shared" ref="BB96:BJ96" si="578">IF(ISNUMBER(SEARCH(BB$1,$BA96)), 1, 0)</f>
        <v>0</v>
      </c>
      <c r="BC96" s="4">
        <f t="shared" si="578"/>
        <v>0</v>
      </c>
      <c r="BD96" s="4">
        <f t="shared" si="578"/>
        <v>0</v>
      </c>
      <c r="BE96" s="4">
        <f t="shared" si="578"/>
        <v>0</v>
      </c>
      <c r="BF96" s="4">
        <f t="shared" si="578"/>
        <v>1</v>
      </c>
      <c r="BG96" s="4">
        <f t="shared" si="578"/>
        <v>1</v>
      </c>
      <c r="BH96" s="4">
        <f t="shared" si="578"/>
        <v>0</v>
      </c>
      <c r="BI96" s="4">
        <f t="shared" si="578"/>
        <v>0</v>
      </c>
      <c r="BJ96" s="4">
        <f t="shared" si="578"/>
        <v>1</v>
      </c>
      <c r="BK96" s="4">
        <f t="shared" si="11"/>
        <v>3</v>
      </c>
      <c r="BM96" s="1" t="s">
        <v>232</v>
      </c>
      <c r="BN96" s="1" t="s">
        <v>340</v>
      </c>
      <c r="BO96" s="4">
        <f t="shared" ref="BO96:BU96" si="579">IF(ISNUMBER(SEARCH(BO$1,$BN96)), 1, 0)</f>
        <v>1</v>
      </c>
      <c r="BP96" s="4">
        <f t="shared" si="579"/>
        <v>1</v>
      </c>
      <c r="BQ96" s="4">
        <f t="shared" si="579"/>
        <v>0</v>
      </c>
      <c r="BR96" s="4">
        <f t="shared" si="579"/>
        <v>0</v>
      </c>
      <c r="BS96" s="4">
        <f t="shared" si="579"/>
        <v>0</v>
      </c>
      <c r="BT96" s="4">
        <f t="shared" si="579"/>
        <v>0</v>
      </c>
      <c r="BU96" s="4">
        <f t="shared" si="579"/>
        <v>0</v>
      </c>
      <c r="BW96" s="1" t="s">
        <v>212</v>
      </c>
      <c r="BY96" s="1" t="s">
        <v>478</v>
      </c>
      <c r="BZ96" s="1" t="s">
        <v>183</v>
      </c>
      <c r="CA96" s="1" t="s">
        <v>479</v>
      </c>
      <c r="DC96" s="1" t="s">
        <v>180</v>
      </c>
    </row>
    <row r="97" spans="1:107" ht="15.75" customHeight="1" x14ac:dyDescent="0.25">
      <c r="A97" s="1" t="b">
        <v>1</v>
      </c>
      <c r="B97" s="3">
        <v>46168.681400462963</v>
      </c>
      <c r="C97" s="1" t="s">
        <v>721</v>
      </c>
      <c r="D97" s="1" t="s">
        <v>4</v>
      </c>
      <c r="E97" s="4">
        <f t="shared" ref="E97:K97" si="580">IF(ISNUMBER(SEARCH(E$1,$D97)), SEARCH(E$1,$D97), 0)</f>
        <v>1</v>
      </c>
      <c r="F97" s="4">
        <f t="shared" si="580"/>
        <v>0</v>
      </c>
      <c r="G97" s="4">
        <f t="shared" si="580"/>
        <v>0</v>
      </c>
      <c r="H97" s="4">
        <f t="shared" si="580"/>
        <v>0</v>
      </c>
      <c r="I97" s="4">
        <f t="shared" si="580"/>
        <v>0</v>
      </c>
      <c r="J97" s="4">
        <f t="shared" si="580"/>
        <v>0</v>
      </c>
      <c r="K97" s="4">
        <f t="shared" si="580"/>
        <v>0</v>
      </c>
      <c r="L97" s="4">
        <f t="shared" si="1"/>
        <v>1</v>
      </c>
      <c r="N97" s="1" t="s">
        <v>294</v>
      </c>
      <c r="O97" s="4">
        <f t="shared" ref="O97:T97" si="581">IF(ISNUMBER(SEARCH(O$1,$N97)), 1, 0)</f>
        <v>1</v>
      </c>
      <c r="P97" s="4">
        <f t="shared" si="581"/>
        <v>1</v>
      </c>
      <c r="Q97" s="4">
        <f t="shared" si="581"/>
        <v>0</v>
      </c>
      <c r="R97" s="4">
        <f t="shared" si="581"/>
        <v>0</v>
      </c>
      <c r="S97" s="4">
        <f t="shared" si="581"/>
        <v>0</v>
      </c>
      <c r="T97" s="4">
        <f t="shared" si="581"/>
        <v>0</v>
      </c>
      <c r="W97" s="1" t="str">
        <f t="shared" si="557"/>
        <v>False</v>
      </c>
      <c r="X97" s="1" t="str">
        <f t="shared" si="557"/>
        <v>False</v>
      </c>
      <c r="Y97" s="1" t="str">
        <f t="shared" si="557"/>
        <v>False</v>
      </c>
      <c r="Z97" s="1" t="str">
        <f t="shared" si="557"/>
        <v>False</v>
      </c>
      <c r="AA97" s="1" t="str">
        <f t="shared" si="557"/>
        <v>False</v>
      </c>
      <c r="AB97" s="1" t="s">
        <v>311</v>
      </c>
      <c r="AC97" s="4">
        <f t="shared" ref="AC97:AH97" si="582">IF(ISNUMBER(SEARCH(AC$1,$AB97)), 1, 0)</f>
        <v>1</v>
      </c>
      <c r="AD97" s="4">
        <f t="shared" si="582"/>
        <v>0</v>
      </c>
      <c r="AE97" s="4">
        <f t="shared" si="582"/>
        <v>0</v>
      </c>
      <c r="AF97" s="4">
        <f t="shared" si="582"/>
        <v>0</v>
      </c>
      <c r="AG97" s="4">
        <f t="shared" si="582"/>
        <v>0</v>
      </c>
      <c r="AH97" s="4">
        <f t="shared" si="582"/>
        <v>0</v>
      </c>
      <c r="AI97" s="1">
        <f t="shared" si="5"/>
        <v>1</v>
      </c>
      <c r="AJ97" s="1" t="s">
        <v>722</v>
      </c>
      <c r="AK97" s="1" t="s">
        <v>252</v>
      </c>
      <c r="AL97" s="4">
        <f t="shared" ref="AL97:AS97" si="583">IF(ISNUMBER(SEARCH(AL$1,$AK97)), 1, 0)</f>
        <v>0</v>
      </c>
      <c r="AM97" s="4">
        <f t="shared" si="583"/>
        <v>1</v>
      </c>
      <c r="AN97" s="4">
        <f t="shared" si="583"/>
        <v>1</v>
      </c>
      <c r="AO97" s="4">
        <f t="shared" si="583"/>
        <v>0</v>
      </c>
      <c r="AP97" s="4">
        <f t="shared" si="583"/>
        <v>0</v>
      </c>
      <c r="AQ97" s="4">
        <f t="shared" si="583"/>
        <v>1</v>
      </c>
      <c r="AR97" s="4">
        <f t="shared" si="583"/>
        <v>0</v>
      </c>
      <c r="AS97" s="4">
        <f t="shared" si="583"/>
        <v>0</v>
      </c>
      <c r="AU97" s="1" t="s">
        <v>47</v>
      </c>
      <c r="AV97" s="1">
        <f t="shared" si="7"/>
        <v>1</v>
      </c>
      <c r="AW97" s="1">
        <f t="shared" si="8"/>
        <v>0</v>
      </c>
      <c r="AX97" s="1">
        <f t="shared" si="9"/>
        <v>0</v>
      </c>
      <c r="AY97" s="1" t="s">
        <v>47</v>
      </c>
      <c r="AZ97" s="1" t="s">
        <v>48</v>
      </c>
      <c r="BA97" s="1" t="s">
        <v>723</v>
      </c>
      <c r="BB97" s="4">
        <f t="shared" ref="BB97:BJ97" si="584">IF(ISNUMBER(SEARCH(BB$1,$BA97)), 1, 0)</f>
        <v>0</v>
      </c>
      <c r="BC97" s="4">
        <f t="shared" si="584"/>
        <v>0</v>
      </c>
      <c r="BD97" s="4">
        <f t="shared" si="584"/>
        <v>0</v>
      </c>
      <c r="BE97" s="4">
        <f t="shared" si="584"/>
        <v>0</v>
      </c>
      <c r="BF97" s="4">
        <f t="shared" si="584"/>
        <v>1</v>
      </c>
      <c r="BG97" s="4">
        <f t="shared" si="584"/>
        <v>1</v>
      </c>
      <c r="BH97" s="4">
        <f t="shared" si="584"/>
        <v>0</v>
      </c>
      <c r="BI97" s="4">
        <f t="shared" si="584"/>
        <v>0</v>
      </c>
      <c r="BJ97" s="4">
        <f t="shared" si="584"/>
        <v>0</v>
      </c>
      <c r="BK97" s="4">
        <f t="shared" si="11"/>
        <v>2</v>
      </c>
      <c r="BO97" s="4">
        <f t="shared" ref="BO97:BU97" si="585">IF(ISNUMBER(SEARCH(BO$1,$BN97)), 1, 0)</f>
        <v>0</v>
      </c>
      <c r="BP97" s="4">
        <f t="shared" si="585"/>
        <v>0</v>
      </c>
      <c r="BQ97" s="4">
        <f t="shared" si="585"/>
        <v>0</v>
      </c>
      <c r="BR97" s="4">
        <f t="shared" si="585"/>
        <v>0</v>
      </c>
      <c r="BS97" s="4">
        <f t="shared" si="585"/>
        <v>0</v>
      </c>
      <c r="BT97" s="4">
        <f t="shared" si="585"/>
        <v>0</v>
      </c>
      <c r="BU97" s="4">
        <f t="shared" si="585"/>
        <v>0</v>
      </c>
      <c r="DC97" s="1" t="s">
        <v>238</v>
      </c>
    </row>
    <row r="98" spans="1:107" ht="15.75" customHeight="1" x14ac:dyDescent="0.25">
      <c r="A98" s="1" t="b">
        <v>1</v>
      </c>
      <c r="B98" s="3">
        <v>46164.733113425929</v>
      </c>
      <c r="C98" s="1" t="s">
        <v>542</v>
      </c>
      <c r="D98" s="1" t="s">
        <v>4</v>
      </c>
      <c r="E98" s="4">
        <f t="shared" ref="E98:K98" si="586">IF(ISNUMBER(SEARCH(E$1,$D98)), SEARCH(E$1,$D98), 0)</f>
        <v>1</v>
      </c>
      <c r="F98" s="4">
        <f t="shared" si="586"/>
        <v>0</v>
      </c>
      <c r="G98" s="4">
        <f t="shared" si="586"/>
        <v>0</v>
      </c>
      <c r="H98" s="4">
        <f t="shared" si="586"/>
        <v>0</v>
      </c>
      <c r="I98" s="4">
        <f t="shared" si="586"/>
        <v>0</v>
      </c>
      <c r="J98" s="4">
        <f t="shared" si="586"/>
        <v>0</v>
      </c>
      <c r="K98" s="4">
        <f t="shared" si="586"/>
        <v>0</v>
      </c>
      <c r="L98" s="4">
        <f t="shared" si="1"/>
        <v>1</v>
      </c>
      <c r="N98" s="1" t="s">
        <v>469</v>
      </c>
      <c r="O98" s="4">
        <f t="shared" ref="O98:T98" si="587">IF(ISNUMBER(SEARCH(O$1,$N98)), 1, 0)</f>
        <v>1</v>
      </c>
      <c r="P98" s="4">
        <f t="shared" si="587"/>
        <v>0</v>
      </c>
      <c r="Q98" s="4">
        <f t="shared" si="587"/>
        <v>0</v>
      </c>
      <c r="R98" s="4">
        <f t="shared" si="587"/>
        <v>1</v>
      </c>
      <c r="S98" s="4">
        <f t="shared" si="587"/>
        <v>0</v>
      </c>
      <c r="T98" s="4">
        <f t="shared" si="587"/>
        <v>0</v>
      </c>
      <c r="V98" s="1" t="s">
        <v>24</v>
      </c>
      <c r="W98" s="1" t="str">
        <f t="shared" si="557"/>
        <v>False</v>
      </c>
      <c r="X98" s="1" t="str">
        <f t="shared" si="557"/>
        <v>False</v>
      </c>
      <c r="Y98" s="1" t="str">
        <f t="shared" si="557"/>
        <v>True</v>
      </c>
      <c r="Z98" s="1" t="str">
        <f t="shared" si="557"/>
        <v>False</v>
      </c>
      <c r="AA98" s="1" t="str">
        <f t="shared" si="557"/>
        <v>False</v>
      </c>
      <c r="AB98" s="1" t="s">
        <v>245</v>
      </c>
      <c r="AC98" s="4">
        <f t="shared" ref="AC98:AH98" si="588">IF(ISNUMBER(SEARCH(AC$1,$AB98)), 1, 0)</f>
        <v>1</v>
      </c>
      <c r="AD98" s="4">
        <f t="shared" si="588"/>
        <v>0</v>
      </c>
      <c r="AE98" s="4">
        <f t="shared" si="588"/>
        <v>0</v>
      </c>
      <c r="AF98" s="4">
        <f t="shared" si="588"/>
        <v>1</v>
      </c>
      <c r="AG98" s="4">
        <f t="shared" si="588"/>
        <v>0</v>
      </c>
      <c r="AH98" s="4">
        <f t="shared" si="588"/>
        <v>0</v>
      </c>
      <c r="AI98" s="1">
        <f t="shared" si="5"/>
        <v>2</v>
      </c>
      <c r="AK98" s="1" t="s">
        <v>42</v>
      </c>
      <c r="AL98" s="4">
        <f t="shared" ref="AL98:AS98" si="589">IF(ISNUMBER(SEARCH(AL$1,$AK98)), 1, 0)</f>
        <v>0</v>
      </c>
      <c r="AM98" s="4">
        <f t="shared" si="589"/>
        <v>0</v>
      </c>
      <c r="AN98" s="4">
        <f t="shared" si="589"/>
        <v>0</v>
      </c>
      <c r="AO98" s="4">
        <f t="shared" si="589"/>
        <v>0</v>
      </c>
      <c r="AP98" s="4">
        <f t="shared" si="589"/>
        <v>0</v>
      </c>
      <c r="AQ98" s="4">
        <f t="shared" si="589"/>
        <v>1</v>
      </c>
      <c r="AR98" s="4">
        <f t="shared" si="589"/>
        <v>0</v>
      </c>
      <c r="AS98" s="4">
        <f t="shared" si="589"/>
        <v>0</v>
      </c>
      <c r="AU98" s="1" t="s">
        <v>47</v>
      </c>
      <c r="AV98" s="1">
        <f t="shared" si="7"/>
        <v>1</v>
      </c>
      <c r="AW98" s="1">
        <f t="shared" si="8"/>
        <v>0</v>
      </c>
      <c r="AX98" s="1">
        <f t="shared" si="9"/>
        <v>0</v>
      </c>
      <c r="AY98" s="1" t="s">
        <v>48</v>
      </c>
      <c r="BA98" s="1" t="s">
        <v>225</v>
      </c>
      <c r="BB98" s="4">
        <f t="shared" ref="BB98:BJ98" si="590">IF(ISNUMBER(SEARCH(BB$1,$BA98)), 1, 0)</f>
        <v>0</v>
      </c>
      <c r="BC98" s="4">
        <f t="shared" si="590"/>
        <v>0</v>
      </c>
      <c r="BD98" s="4">
        <f t="shared" si="590"/>
        <v>0</v>
      </c>
      <c r="BE98" s="4">
        <f t="shared" si="590"/>
        <v>1</v>
      </c>
      <c r="BF98" s="4">
        <f t="shared" si="590"/>
        <v>0</v>
      </c>
      <c r="BG98" s="4">
        <f t="shared" si="590"/>
        <v>0</v>
      </c>
      <c r="BH98" s="4">
        <f t="shared" si="590"/>
        <v>0</v>
      </c>
      <c r="BI98" s="4">
        <f t="shared" si="590"/>
        <v>0</v>
      </c>
      <c r="BJ98" s="4">
        <f t="shared" si="590"/>
        <v>1</v>
      </c>
      <c r="BK98" s="4">
        <f t="shared" si="11"/>
        <v>2</v>
      </c>
      <c r="BM98" s="1" t="s">
        <v>190</v>
      </c>
      <c r="BN98" s="1" t="s">
        <v>372</v>
      </c>
      <c r="BO98" s="4">
        <f t="shared" ref="BO98:BU98" si="591">IF(ISNUMBER(SEARCH(BO$1,$BN98)), 1, 0)</f>
        <v>0</v>
      </c>
      <c r="BP98" s="4">
        <f t="shared" si="591"/>
        <v>0</v>
      </c>
      <c r="BQ98" s="4">
        <f t="shared" si="591"/>
        <v>0</v>
      </c>
      <c r="BR98" s="4">
        <f t="shared" si="591"/>
        <v>0</v>
      </c>
      <c r="BS98" s="4">
        <f t="shared" si="591"/>
        <v>0</v>
      </c>
      <c r="BT98" s="4">
        <f t="shared" si="591"/>
        <v>1</v>
      </c>
      <c r="BU98" s="4">
        <f t="shared" si="591"/>
        <v>1</v>
      </c>
      <c r="DC98" s="1" t="s">
        <v>180</v>
      </c>
    </row>
    <row r="99" spans="1:107" ht="15.75" customHeight="1" x14ac:dyDescent="0.25">
      <c r="A99" s="1" t="b">
        <v>1</v>
      </c>
      <c r="B99" s="3">
        <v>46164.808206018519</v>
      </c>
      <c r="C99" s="1" t="s">
        <v>556</v>
      </c>
      <c r="D99" s="1" t="s">
        <v>4</v>
      </c>
      <c r="E99" s="4">
        <f t="shared" ref="E99:K99" si="592">IF(ISNUMBER(SEARCH(E$1,$D99)), SEARCH(E$1,$D99), 0)</f>
        <v>1</v>
      </c>
      <c r="F99" s="4">
        <f t="shared" si="592"/>
        <v>0</v>
      </c>
      <c r="G99" s="4">
        <f t="shared" si="592"/>
        <v>0</v>
      </c>
      <c r="H99" s="4">
        <f t="shared" si="592"/>
        <v>0</v>
      </c>
      <c r="I99" s="4">
        <f t="shared" si="592"/>
        <v>0</v>
      </c>
      <c r="J99" s="4">
        <f t="shared" si="592"/>
        <v>0</v>
      </c>
      <c r="K99" s="4">
        <f t="shared" si="592"/>
        <v>0</v>
      </c>
      <c r="L99" s="4">
        <f t="shared" si="1"/>
        <v>1</v>
      </c>
      <c r="N99" s="1" t="s">
        <v>294</v>
      </c>
      <c r="O99" s="4">
        <f t="shared" ref="O99:T99" si="593">IF(ISNUMBER(SEARCH(O$1,$N99)), 1, 0)</f>
        <v>1</v>
      </c>
      <c r="P99" s="4">
        <f t="shared" si="593"/>
        <v>1</v>
      </c>
      <c r="Q99" s="4">
        <f t="shared" si="593"/>
        <v>0</v>
      </c>
      <c r="R99" s="4">
        <f t="shared" si="593"/>
        <v>0</v>
      </c>
      <c r="S99" s="4">
        <f t="shared" si="593"/>
        <v>0</v>
      </c>
      <c r="T99" s="4">
        <f t="shared" si="593"/>
        <v>0</v>
      </c>
      <c r="V99" s="1" t="s">
        <v>24</v>
      </c>
      <c r="W99" s="1" t="str">
        <f t="shared" si="557"/>
        <v>False</v>
      </c>
      <c r="X99" s="1" t="str">
        <f t="shared" si="557"/>
        <v>False</v>
      </c>
      <c r="Y99" s="1" t="str">
        <f t="shared" si="557"/>
        <v>True</v>
      </c>
      <c r="Z99" s="1" t="str">
        <f t="shared" si="557"/>
        <v>False</v>
      </c>
      <c r="AA99" s="1" t="str">
        <f t="shared" si="557"/>
        <v>False</v>
      </c>
      <c r="AB99" s="1" t="s">
        <v>245</v>
      </c>
      <c r="AC99" s="4">
        <f t="shared" ref="AC99:AH99" si="594">IF(ISNUMBER(SEARCH(AC$1,$AB99)), 1, 0)</f>
        <v>1</v>
      </c>
      <c r="AD99" s="4">
        <f t="shared" si="594"/>
        <v>0</v>
      </c>
      <c r="AE99" s="4">
        <f t="shared" si="594"/>
        <v>0</v>
      </c>
      <c r="AF99" s="4">
        <f t="shared" si="594"/>
        <v>1</v>
      </c>
      <c r="AG99" s="4">
        <f t="shared" si="594"/>
        <v>0</v>
      </c>
      <c r="AH99" s="4">
        <f t="shared" si="594"/>
        <v>0</v>
      </c>
      <c r="AI99" s="1">
        <f t="shared" si="5"/>
        <v>2</v>
      </c>
      <c r="AK99" s="1" t="s">
        <v>470</v>
      </c>
      <c r="AL99" s="4">
        <f t="shared" ref="AL99:AS99" si="595">IF(ISNUMBER(SEARCH(AL$1,$AK99)), 1, 0)</f>
        <v>0</v>
      </c>
      <c r="AM99" s="4">
        <f t="shared" si="595"/>
        <v>1</v>
      </c>
      <c r="AN99" s="4">
        <f t="shared" si="595"/>
        <v>0</v>
      </c>
      <c r="AO99" s="4">
        <f t="shared" si="595"/>
        <v>1</v>
      </c>
      <c r="AP99" s="4">
        <f t="shared" si="595"/>
        <v>0</v>
      </c>
      <c r="AQ99" s="4">
        <f t="shared" si="595"/>
        <v>1</v>
      </c>
      <c r="AR99" s="4">
        <f t="shared" si="595"/>
        <v>0</v>
      </c>
      <c r="AS99" s="4">
        <f t="shared" si="595"/>
        <v>0</v>
      </c>
      <c r="AU99" s="1" t="s">
        <v>48</v>
      </c>
      <c r="AV99" s="1">
        <f t="shared" si="7"/>
        <v>0</v>
      </c>
      <c r="AW99" s="1">
        <f t="shared" si="8"/>
        <v>1</v>
      </c>
      <c r="AX99" s="1">
        <f t="shared" si="9"/>
        <v>0</v>
      </c>
      <c r="AY99" s="1" t="s">
        <v>48</v>
      </c>
      <c r="BA99" s="1" t="s">
        <v>454</v>
      </c>
      <c r="BB99" s="4">
        <f t="shared" ref="BB99:BJ99" si="596">IF(ISNUMBER(SEARCH(BB$1,$BA99)), 1, 0)</f>
        <v>0</v>
      </c>
      <c r="BC99" s="4">
        <f t="shared" si="596"/>
        <v>0</v>
      </c>
      <c r="BD99" s="4">
        <f t="shared" si="596"/>
        <v>1</v>
      </c>
      <c r="BE99" s="4">
        <f t="shared" si="596"/>
        <v>0</v>
      </c>
      <c r="BF99" s="4">
        <f t="shared" si="596"/>
        <v>1</v>
      </c>
      <c r="BG99" s="4">
        <f t="shared" si="596"/>
        <v>0</v>
      </c>
      <c r="BH99" s="4">
        <f t="shared" si="596"/>
        <v>0</v>
      </c>
      <c r="BI99" s="4">
        <f t="shared" si="596"/>
        <v>0</v>
      </c>
      <c r="BJ99" s="4">
        <f t="shared" si="596"/>
        <v>1</v>
      </c>
      <c r="BK99" s="4">
        <f t="shared" si="11"/>
        <v>3</v>
      </c>
      <c r="BM99" s="1" t="s">
        <v>232</v>
      </c>
      <c r="BN99" s="1" t="s">
        <v>557</v>
      </c>
      <c r="BO99" s="4">
        <f t="shared" ref="BO99:BU99" si="597">IF(ISNUMBER(SEARCH(BO$1,$BN99)), 1, 0)</f>
        <v>0</v>
      </c>
      <c r="BP99" s="4">
        <f t="shared" si="597"/>
        <v>0</v>
      </c>
      <c r="BQ99" s="4">
        <f t="shared" si="597"/>
        <v>0</v>
      </c>
      <c r="BR99" s="4">
        <f t="shared" si="597"/>
        <v>1</v>
      </c>
      <c r="BS99" s="4">
        <f t="shared" si="597"/>
        <v>1</v>
      </c>
      <c r="BT99" s="4">
        <f t="shared" si="597"/>
        <v>0</v>
      </c>
      <c r="BU99" s="4">
        <f t="shared" si="597"/>
        <v>0</v>
      </c>
      <c r="BW99" s="1" t="s">
        <v>547</v>
      </c>
      <c r="BY99" s="1" t="s">
        <v>558</v>
      </c>
      <c r="BZ99" s="1" t="s">
        <v>516</v>
      </c>
      <c r="DC99" s="1" t="s">
        <v>180</v>
      </c>
    </row>
    <row r="100" spans="1:107" ht="15.75" customHeight="1" x14ac:dyDescent="0.25">
      <c r="A100" s="1" t="b">
        <v>1</v>
      </c>
      <c r="B100" s="3">
        <v>46165.189583333333</v>
      </c>
      <c r="C100" s="1" t="s">
        <v>590</v>
      </c>
      <c r="D100" s="1" t="s">
        <v>591</v>
      </c>
      <c r="E100" s="4">
        <f t="shared" ref="E100:K100" si="598">IF(ISNUMBER(SEARCH(E$1,$D100)), SEARCH(E$1,$D100), 0)</f>
        <v>1</v>
      </c>
      <c r="F100" s="4">
        <f t="shared" si="598"/>
        <v>0</v>
      </c>
      <c r="G100" s="4">
        <f t="shared" si="598"/>
        <v>0</v>
      </c>
      <c r="H100" s="4">
        <f t="shared" si="598"/>
        <v>0</v>
      </c>
      <c r="I100" s="4">
        <f t="shared" si="598"/>
        <v>30</v>
      </c>
      <c r="J100" s="4">
        <f t="shared" si="598"/>
        <v>0</v>
      </c>
      <c r="K100" s="4">
        <f t="shared" si="598"/>
        <v>0</v>
      </c>
      <c r="L100" s="4">
        <f t="shared" si="1"/>
        <v>30</v>
      </c>
      <c r="M100" s="1" t="s">
        <v>592</v>
      </c>
      <c r="N100" s="1" t="s">
        <v>187</v>
      </c>
      <c r="O100" s="4">
        <f t="shared" ref="O100:T100" si="599">IF(ISNUMBER(SEARCH(O$1,$N100)), 1, 0)</f>
        <v>1</v>
      </c>
      <c r="P100" s="4">
        <f t="shared" si="599"/>
        <v>1</v>
      </c>
      <c r="Q100" s="4">
        <f t="shared" si="599"/>
        <v>1</v>
      </c>
      <c r="R100" s="4">
        <f t="shared" si="599"/>
        <v>1</v>
      </c>
      <c r="S100" s="4">
        <f t="shared" si="599"/>
        <v>1</v>
      </c>
      <c r="T100" s="4">
        <f t="shared" si="599"/>
        <v>1</v>
      </c>
      <c r="V100" s="1" t="s">
        <v>24</v>
      </c>
      <c r="W100" s="1" t="str">
        <f t="shared" si="557"/>
        <v>False</v>
      </c>
      <c r="X100" s="1" t="str">
        <f t="shared" si="557"/>
        <v>False</v>
      </c>
      <c r="Y100" s="1" t="str">
        <f t="shared" si="557"/>
        <v>True</v>
      </c>
      <c r="Z100" s="1" t="str">
        <f t="shared" si="557"/>
        <v>False</v>
      </c>
      <c r="AA100" s="1" t="str">
        <f t="shared" si="557"/>
        <v>False</v>
      </c>
      <c r="AB100" s="1" t="s">
        <v>401</v>
      </c>
      <c r="AC100" s="4">
        <f t="shared" ref="AC100:AH100" si="600">IF(ISNUMBER(SEARCH(AC$1,$AB100)), 1, 0)</f>
        <v>0</v>
      </c>
      <c r="AD100" s="4">
        <f t="shared" si="600"/>
        <v>0</v>
      </c>
      <c r="AE100" s="4">
        <f t="shared" si="600"/>
        <v>0</v>
      </c>
      <c r="AF100" s="4">
        <f t="shared" si="600"/>
        <v>0</v>
      </c>
      <c r="AG100" s="4">
        <f t="shared" si="600"/>
        <v>0</v>
      </c>
      <c r="AH100" s="4">
        <f t="shared" si="600"/>
        <v>1</v>
      </c>
      <c r="AI100" s="1">
        <f t="shared" si="5"/>
        <v>1</v>
      </c>
      <c r="AJ100" s="1" t="s">
        <v>593</v>
      </c>
      <c r="AK100" s="1" t="s">
        <v>594</v>
      </c>
      <c r="AL100" s="4">
        <f t="shared" ref="AL100:AS100" si="601">IF(ISNUMBER(SEARCH(AL$1,$AK100)), 1, 0)</f>
        <v>1</v>
      </c>
      <c r="AM100" s="4">
        <f t="shared" si="601"/>
        <v>0</v>
      </c>
      <c r="AN100" s="4">
        <f t="shared" si="601"/>
        <v>0</v>
      </c>
      <c r="AO100" s="4">
        <f t="shared" si="601"/>
        <v>0</v>
      </c>
      <c r="AP100" s="4">
        <f t="shared" si="601"/>
        <v>0</v>
      </c>
      <c r="AQ100" s="4">
        <f t="shared" si="601"/>
        <v>1</v>
      </c>
      <c r="AR100" s="4">
        <f t="shared" si="601"/>
        <v>0</v>
      </c>
      <c r="AS100" s="4">
        <f t="shared" si="601"/>
        <v>0</v>
      </c>
      <c r="AU100" s="1" t="s">
        <v>48</v>
      </c>
      <c r="AV100" s="1">
        <f t="shared" si="7"/>
        <v>0</v>
      </c>
      <c r="AW100" s="1">
        <f t="shared" si="8"/>
        <v>1</v>
      </c>
      <c r="AX100" s="1">
        <f t="shared" si="9"/>
        <v>0</v>
      </c>
      <c r="AY100" s="1" t="s">
        <v>48</v>
      </c>
      <c r="BA100" s="1" t="s">
        <v>595</v>
      </c>
      <c r="BB100" s="4">
        <f t="shared" ref="BB100:BJ100" si="602">IF(ISNUMBER(SEARCH(BB$1,$BA100)), 1, 0)</f>
        <v>0</v>
      </c>
      <c r="BC100" s="4">
        <f t="shared" si="602"/>
        <v>1</v>
      </c>
      <c r="BD100" s="4">
        <f t="shared" si="602"/>
        <v>1</v>
      </c>
      <c r="BE100" s="4">
        <f t="shared" si="602"/>
        <v>1</v>
      </c>
      <c r="BF100" s="4">
        <f t="shared" si="602"/>
        <v>1</v>
      </c>
      <c r="BG100" s="4">
        <f t="shared" si="602"/>
        <v>0</v>
      </c>
      <c r="BH100" s="4">
        <f t="shared" si="602"/>
        <v>0</v>
      </c>
      <c r="BI100" s="4">
        <f t="shared" si="602"/>
        <v>1</v>
      </c>
      <c r="BJ100" s="4">
        <f t="shared" si="602"/>
        <v>1</v>
      </c>
      <c r="BK100" s="4">
        <f t="shared" si="11"/>
        <v>6</v>
      </c>
      <c r="BM100" s="1" t="s">
        <v>166</v>
      </c>
      <c r="BN100" s="1" t="s">
        <v>404</v>
      </c>
      <c r="BO100" s="4">
        <f t="shared" ref="BO100:BU100" si="603">IF(ISNUMBER(SEARCH(BO$1,$BN100)), 1, 0)</f>
        <v>0</v>
      </c>
      <c r="BP100" s="4">
        <f t="shared" si="603"/>
        <v>0</v>
      </c>
      <c r="BQ100" s="4">
        <f t="shared" si="603"/>
        <v>0</v>
      </c>
      <c r="BR100" s="4">
        <f t="shared" si="603"/>
        <v>0</v>
      </c>
      <c r="BS100" s="4">
        <f t="shared" si="603"/>
        <v>0</v>
      </c>
      <c r="BT100" s="4">
        <f t="shared" si="603"/>
        <v>0</v>
      </c>
      <c r="BU100" s="4">
        <f t="shared" si="603"/>
        <v>0</v>
      </c>
      <c r="BV100" s="1" t="s">
        <v>596</v>
      </c>
      <c r="BW100" s="1" t="s">
        <v>255</v>
      </c>
      <c r="BY100" s="1" t="s">
        <v>597</v>
      </c>
      <c r="BZ100" s="1" t="s">
        <v>278</v>
      </c>
      <c r="CH100" s="1" t="s">
        <v>598</v>
      </c>
      <c r="CI100" s="1" t="s">
        <v>599</v>
      </c>
      <c r="CJ100" s="1" t="s">
        <v>600</v>
      </c>
      <c r="CL100" s="1" t="s">
        <v>601</v>
      </c>
      <c r="DC100" s="1" t="s">
        <v>180</v>
      </c>
    </row>
    <row r="101" spans="1:107" ht="15.75" customHeight="1" x14ac:dyDescent="0.25">
      <c r="A101" s="1" t="b">
        <v>1</v>
      </c>
      <c r="B101" s="3">
        <v>46164.703483796293</v>
      </c>
      <c r="C101" s="1" t="s">
        <v>522</v>
      </c>
      <c r="D101" s="1" t="s">
        <v>338</v>
      </c>
      <c r="E101" s="4">
        <f t="shared" ref="E101:K101" si="604">IF(ISNUMBER(SEARCH(E$1,$D101)), SEARCH(E$1,$D101), 0)</f>
        <v>1</v>
      </c>
      <c r="F101" s="4">
        <f t="shared" si="604"/>
        <v>0</v>
      </c>
      <c r="G101" s="4">
        <f t="shared" si="604"/>
        <v>0</v>
      </c>
      <c r="H101" s="4">
        <f t="shared" si="604"/>
        <v>0</v>
      </c>
      <c r="I101" s="4">
        <f t="shared" si="604"/>
        <v>30</v>
      </c>
      <c r="J101" s="4">
        <f t="shared" si="604"/>
        <v>0</v>
      </c>
      <c r="K101" s="4">
        <f t="shared" si="604"/>
        <v>0</v>
      </c>
      <c r="L101" s="4">
        <f t="shared" si="1"/>
        <v>30</v>
      </c>
      <c r="N101" s="1" t="s">
        <v>240</v>
      </c>
      <c r="O101" s="4">
        <f t="shared" ref="O101:T101" si="605">IF(ISNUMBER(SEARCH(O$1,$N101)), 1, 0)</f>
        <v>1</v>
      </c>
      <c r="P101" s="4">
        <f t="shared" si="605"/>
        <v>1</v>
      </c>
      <c r="Q101" s="4">
        <f t="shared" si="605"/>
        <v>1</v>
      </c>
      <c r="R101" s="4">
        <f t="shared" si="605"/>
        <v>1</v>
      </c>
      <c r="S101" s="4">
        <f t="shared" si="605"/>
        <v>0</v>
      </c>
      <c r="T101" s="4">
        <f t="shared" si="605"/>
        <v>0</v>
      </c>
      <c r="W101" s="1" t="str">
        <f t="shared" si="557"/>
        <v>False</v>
      </c>
      <c r="X101" s="1" t="str">
        <f t="shared" si="557"/>
        <v>False</v>
      </c>
      <c r="Y101" s="1" t="str">
        <f t="shared" si="557"/>
        <v>False</v>
      </c>
      <c r="Z101" s="1" t="str">
        <f t="shared" si="557"/>
        <v>False</v>
      </c>
      <c r="AA101" s="1" t="str">
        <f t="shared" si="557"/>
        <v>False</v>
      </c>
      <c r="AB101" s="1" t="s">
        <v>487</v>
      </c>
      <c r="AC101" s="4">
        <f t="shared" ref="AC101:AH101" si="606">IF(ISNUMBER(SEARCH(AC$1,$AB101)), 1, 0)</f>
        <v>0</v>
      </c>
      <c r="AD101" s="4">
        <f t="shared" si="606"/>
        <v>0</v>
      </c>
      <c r="AE101" s="4">
        <f t="shared" si="606"/>
        <v>0</v>
      </c>
      <c r="AF101" s="4">
        <f t="shared" si="606"/>
        <v>1</v>
      </c>
      <c r="AG101" s="4">
        <f t="shared" si="606"/>
        <v>0</v>
      </c>
      <c r="AH101" s="4">
        <f t="shared" si="606"/>
        <v>1</v>
      </c>
      <c r="AI101" s="1">
        <f t="shared" si="5"/>
        <v>2</v>
      </c>
      <c r="AK101" s="1" t="s">
        <v>313</v>
      </c>
      <c r="AL101" s="4">
        <f t="shared" ref="AL101:AS101" si="607">IF(ISNUMBER(SEARCH(AL$1,$AK101)), 1, 0)</f>
        <v>1</v>
      </c>
      <c r="AM101" s="4">
        <f t="shared" si="607"/>
        <v>1</v>
      </c>
      <c r="AN101" s="4">
        <f t="shared" si="607"/>
        <v>0</v>
      </c>
      <c r="AO101" s="4">
        <f t="shared" si="607"/>
        <v>1</v>
      </c>
      <c r="AP101" s="4">
        <f t="shared" si="607"/>
        <v>1</v>
      </c>
      <c r="AQ101" s="4">
        <f t="shared" si="607"/>
        <v>1</v>
      </c>
      <c r="AR101" s="4">
        <f t="shared" si="607"/>
        <v>0</v>
      </c>
      <c r="AS101" s="4">
        <f t="shared" si="607"/>
        <v>0</v>
      </c>
      <c r="AU101" s="1" t="s">
        <v>47</v>
      </c>
      <c r="AV101" s="1">
        <f t="shared" si="7"/>
        <v>1</v>
      </c>
      <c r="AW101" s="1">
        <f t="shared" si="8"/>
        <v>0</v>
      </c>
      <c r="AX101" s="1">
        <f t="shared" si="9"/>
        <v>0</v>
      </c>
      <c r="AY101" s="1" t="s">
        <v>48</v>
      </c>
      <c r="BA101" s="1" t="s">
        <v>523</v>
      </c>
      <c r="BB101" s="4">
        <f t="shared" ref="BB101:BJ101" si="608">IF(ISNUMBER(SEARCH(BB$1,$BA101)), 1, 0)</f>
        <v>0</v>
      </c>
      <c r="BC101" s="4">
        <f t="shared" si="608"/>
        <v>1</v>
      </c>
      <c r="BD101" s="4">
        <f t="shared" si="608"/>
        <v>0</v>
      </c>
      <c r="BE101" s="4">
        <f t="shared" si="608"/>
        <v>0</v>
      </c>
      <c r="BF101" s="4">
        <f t="shared" si="608"/>
        <v>0</v>
      </c>
      <c r="BG101" s="4">
        <f t="shared" si="608"/>
        <v>0</v>
      </c>
      <c r="BH101" s="4">
        <f t="shared" si="608"/>
        <v>0</v>
      </c>
      <c r="BI101" s="4">
        <f t="shared" si="608"/>
        <v>0</v>
      </c>
      <c r="BJ101" s="4">
        <f t="shared" si="608"/>
        <v>1</v>
      </c>
      <c r="BK101" s="4">
        <f t="shared" si="11"/>
        <v>2</v>
      </c>
      <c r="BL101" s="1" t="s">
        <v>524</v>
      </c>
      <c r="BM101" s="1" t="s">
        <v>232</v>
      </c>
      <c r="BN101" s="1" t="s">
        <v>340</v>
      </c>
      <c r="BO101" s="4">
        <f t="shared" ref="BO101:BU101" si="609">IF(ISNUMBER(SEARCH(BO$1,$BN101)), 1, 0)</f>
        <v>1</v>
      </c>
      <c r="BP101" s="4">
        <f t="shared" si="609"/>
        <v>1</v>
      </c>
      <c r="BQ101" s="4">
        <f t="shared" si="609"/>
        <v>0</v>
      </c>
      <c r="BR101" s="4">
        <f t="shared" si="609"/>
        <v>0</v>
      </c>
      <c r="BS101" s="4">
        <f t="shared" si="609"/>
        <v>0</v>
      </c>
      <c r="BT101" s="4">
        <f t="shared" si="609"/>
        <v>0</v>
      </c>
      <c r="BU101" s="4">
        <f t="shared" si="609"/>
        <v>0</v>
      </c>
      <c r="CH101" s="1" t="s">
        <v>525</v>
      </c>
      <c r="CI101" s="1" t="s">
        <v>526</v>
      </c>
      <c r="CJ101" s="1" t="s">
        <v>434</v>
      </c>
      <c r="CL101" s="1" t="s">
        <v>527</v>
      </c>
      <c r="DC101" s="1" t="s">
        <v>238</v>
      </c>
    </row>
    <row r="102" spans="1:107" ht="15.75" customHeight="1" x14ac:dyDescent="0.25">
      <c r="A102" s="1" t="b">
        <v>1</v>
      </c>
      <c r="B102" s="3">
        <v>46155.312210648146</v>
      </c>
      <c r="C102" s="1" t="s">
        <v>356</v>
      </c>
      <c r="D102" s="1" t="s">
        <v>338</v>
      </c>
      <c r="E102" s="4">
        <f t="shared" ref="E102:K102" si="610">IF(ISNUMBER(SEARCH(E$1,$D102)), SEARCH(E$1,$D102), 0)</f>
        <v>1</v>
      </c>
      <c r="F102" s="4">
        <f t="shared" si="610"/>
        <v>0</v>
      </c>
      <c r="G102" s="4">
        <f t="shared" si="610"/>
        <v>0</v>
      </c>
      <c r="H102" s="4">
        <f t="shared" si="610"/>
        <v>0</v>
      </c>
      <c r="I102" s="4">
        <f t="shared" si="610"/>
        <v>30</v>
      </c>
      <c r="J102" s="4">
        <f t="shared" si="610"/>
        <v>0</v>
      </c>
      <c r="K102" s="4">
        <f t="shared" si="610"/>
        <v>0</v>
      </c>
      <c r="L102" s="4">
        <f t="shared" si="1"/>
        <v>30</v>
      </c>
      <c r="N102" s="1" t="s">
        <v>323</v>
      </c>
      <c r="O102" s="4">
        <f t="shared" ref="O102:T102" si="611">IF(ISNUMBER(SEARCH(O$1,$N102)), 1, 0)</f>
        <v>1</v>
      </c>
      <c r="P102" s="4">
        <f t="shared" si="611"/>
        <v>1</v>
      </c>
      <c r="Q102" s="4">
        <f t="shared" si="611"/>
        <v>1</v>
      </c>
      <c r="R102" s="4">
        <f t="shared" si="611"/>
        <v>1</v>
      </c>
      <c r="S102" s="4">
        <f t="shared" si="611"/>
        <v>0</v>
      </c>
      <c r="T102" s="4">
        <f t="shared" si="611"/>
        <v>1</v>
      </c>
      <c r="V102" s="1" t="s">
        <v>23</v>
      </c>
      <c r="W102" s="1" t="str">
        <f t="shared" si="557"/>
        <v>False</v>
      </c>
      <c r="X102" s="1" t="str">
        <f t="shared" si="557"/>
        <v>True</v>
      </c>
      <c r="Y102" s="1" t="str">
        <f t="shared" si="557"/>
        <v>False</v>
      </c>
      <c r="Z102" s="1" t="str">
        <f t="shared" si="557"/>
        <v>False</v>
      </c>
      <c r="AA102" s="1" t="str">
        <f t="shared" si="557"/>
        <v>False</v>
      </c>
      <c r="AB102" s="1" t="s">
        <v>357</v>
      </c>
      <c r="AC102" s="4">
        <f t="shared" ref="AC102:AH102" si="612">IF(ISNUMBER(SEARCH(AC$1,$AB102)), 1, 0)</f>
        <v>1</v>
      </c>
      <c r="AD102" s="4">
        <f t="shared" si="612"/>
        <v>0</v>
      </c>
      <c r="AE102" s="4">
        <f t="shared" si="612"/>
        <v>0</v>
      </c>
      <c r="AF102" s="4">
        <f t="shared" si="612"/>
        <v>0</v>
      </c>
      <c r="AG102" s="4">
        <f t="shared" si="612"/>
        <v>0</v>
      </c>
      <c r="AH102" s="4">
        <f t="shared" si="612"/>
        <v>1</v>
      </c>
      <c r="AI102" s="1">
        <f t="shared" si="5"/>
        <v>2</v>
      </c>
      <c r="AK102" s="1" t="s">
        <v>189</v>
      </c>
      <c r="AL102" s="4">
        <f t="shared" ref="AL102:AS102" si="613">IF(ISNUMBER(SEARCH(AL$1,$AK102)), 1, 0)</f>
        <v>1</v>
      </c>
      <c r="AM102" s="4">
        <f t="shared" si="613"/>
        <v>1</v>
      </c>
      <c r="AN102" s="4">
        <f t="shared" si="613"/>
        <v>1</v>
      </c>
      <c r="AO102" s="4">
        <f t="shared" si="613"/>
        <v>1</v>
      </c>
      <c r="AP102" s="4">
        <f t="shared" si="613"/>
        <v>0</v>
      </c>
      <c r="AQ102" s="4">
        <f t="shared" si="613"/>
        <v>1</v>
      </c>
      <c r="AR102" s="4">
        <f t="shared" si="613"/>
        <v>0</v>
      </c>
      <c r="AS102" s="4">
        <f t="shared" si="613"/>
        <v>0</v>
      </c>
      <c r="AU102" s="1" t="s">
        <v>47</v>
      </c>
      <c r="AV102" s="1">
        <f t="shared" si="7"/>
        <v>1</v>
      </c>
      <c r="AW102" s="1">
        <f t="shared" si="8"/>
        <v>0</v>
      </c>
      <c r="AX102" s="1">
        <f t="shared" si="9"/>
        <v>0</v>
      </c>
      <c r="AY102" s="1" t="s">
        <v>48</v>
      </c>
      <c r="BA102" s="1" t="s">
        <v>358</v>
      </c>
      <c r="BB102" s="4">
        <f t="shared" ref="BB102:BJ102" si="614">IF(ISNUMBER(SEARCH(BB$1,$BA102)), 1, 0)</f>
        <v>1</v>
      </c>
      <c r="BC102" s="4">
        <f t="shared" si="614"/>
        <v>1</v>
      </c>
      <c r="BD102" s="4">
        <f t="shared" si="614"/>
        <v>1</v>
      </c>
      <c r="BE102" s="4">
        <f t="shared" si="614"/>
        <v>1</v>
      </c>
      <c r="BF102" s="4">
        <f t="shared" si="614"/>
        <v>1</v>
      </c>
      <c r="BG102" s="4">
        <f t="shared" si="614"/>
        <v>0</v>
      </c>
      <c r="BH102" s="4">
        <f t="shared" si="614"/>
        <v>0</v>
      </c>
      <c r="BI102" s="4">
        <f t="shared" si="614"/>
        <v>1</v>
      </c>
      <c r="BJ102" s="4">
        <f t="shared" si="614"/>
        <v>1</v>
      </c>
      <c r="BK102" s="4">
        <f t="shared" si="11"/>
        <v>7</v>
      </c>
      <c r="BM102" s="1" t="s">
        <v>232</v>
      </c>
      <c r="BN102" s="1" t="s">
        <v>359</v>
      </c>
      <c r="BO102" s="4">
        <f t="shared" ref="BO102:BU102" si="615">IF(ISNUMBER(SEARCH(BO$1,$BN102)), 1, 0)</f>
        <v>0</v>
      </c>
      <c r="BP102" s="4">
        <f t="shared" si="615"/>
        <v>0</v>
      </c>
      <c r="BQ102" s="4">
        <f t="shared" si="615"/>
        <v>1</v>
      </c>
      <c r="BR102" s="4">
        <f t="shared" si="615"/>
        <v>1</v>
      </c>
      <c r="BS102" s="4">
        <f t="shared" si="615"/>
        <v>1</v>
      </c>
      <c r="BT102" s="4">
        <f t="shared" si="615"/>
        <v>0</v>
      </c>
      <c r="BU102" s="4">
        <f t="shared" si="615"/>
        <v>1</v>
      </c>
      <c r="CH102" s="1" t="s">
        <v>360</v>
      </c>
      <c r="CI102" s="1" t="s">
        <v>361</v>
      </c>
      <c r="CJ102" s="1" t="s">
        <v>175</v>
      </c>
      <c r="CK102" s="1" t="s">
        <v>362</v>
      </c>
      <c r="CL102" s="1" t="s">
        <v>352</v>
      </c>
    </row>
    <row r="103" spans="1:107" ht="15.75" customHeight="1" x14ac:dyDescent="0.25">
      <c r="A103" s="1" t="b">
        <v>1</v>
      </c>
      <c r="B103" s="3">
        <v>46150.957337962966</v>
      </c>
      <c r="C103" s="1" t="s">
        <v>221</v>
      </c>
      <c r="D103" s="1" t="s">
        <v>159</v>
      </c>
      <c r="E103" s="4">
        <f t="shared" ref="E103:K103" si="616">IF(ISNUMBER(SEARCH(E$1,$D103)), SEARCH(E$1,$D103), 0)</f>
        <v>1</v>
      </c>
      <c r="F103" s="4">
        <f t="shared" si="616"/>
        <v>0</v>
      </c>
      <c r="G103" s="4">
        <f t="shared" si="616"/>
        <v>0</v>
      </c>
      <c r="H103" s="4">
        <f t="shared" si="616"/>
        <v>0</v>
      </c>
      <c r="I103" s="4">
        <f t="shared" si="616"/>
        <v>30</v>
      </c>
      <c r="J103" s="4">
        <f t="shared" si="616"/>
        <v>62</v>
      </c>
      <c r="K103" s="4">
        <f t="shared" si="616"/>
        <v>0</v>
      </c>
      <c r="L103" s="4">
        <f t="shared" si="1"/>
        <v>62</v>
      </c>
      <c r="N103" s="1" t="s">
        <v>222</v>
      </c>
      <c r="O103" s="4">
        <f t="shared" ref="O103:T103" si="617">IF(ISNUMBER(SEARCH(O$1,$N103)), 1, 0)</f>
        <v>0</v>
      </c>
      <c r="P103" s="4">
        <f t="shared" si="617"/>
        <v>1</v>
      </c>
      <c r="Q103" s="4">
        <f t="shared" si="617"/>
        <v>0</v>
      </c>
      <c r="R103" s="4">
        <f t="shared" si="617"/>
        <v>1</v>
      </c>
      <c r="S103" s="4">
        <f t="shared" si="617"/>
        <v>0</v>
      </c>
      <c r="T103" s="4">
        <f t="shared" si="617"/>
        <v>0</v>
      </c>
      <c r="V103" s="1" t="s">
        <v>22</v>
      </c>
      <c r="W103" s="1" t="str">
        <f t="shared" ref="W103:AA112" si="618">IF(W$1=$V103, "True", "False")</f>
        <v>True</v>
      </c>
      <c r="X103" s="1" t="str">
        <f t="shared" si="618"/>
        <v>False</v>
      </c>
      <c r="Y103" s="1" t="str">
        <f t="shared" si="618"/>
        <v>False</v>
      </c>
      <c r="Z103" s="1" t="str">
        <f t="shared" si="618"/>
        <v>False</v>
      </c>
      <c r="AA103" s="1" t="str">
        <f t="shared" si="618"/>
        <v>False</v>
      </c>
      <c r="AB103" s="1" t="s">
        <v>183</v>
      </c>
      <c r="AC103" s="4">
        <f t="shared" ref="AC103:AH103" si="619">IF(ISNUMBER(SEARCH(AC$1,$AB103)), 1, 0)</f>
        <v>0</v>
      </c>
      <c r="AD103" s="4">
        <f t="shared" si="619"/>
        <v>0</v>
      </c>
      <c r="AE103" s="4">
        <f t="shared" si="619"/>
        <v>0</v>
      </c>
      <c r="AF103" s="4">
        <f t="shared" si="619"/>
        <v>0</v>
      </c>
      <c r="AG103" s="4">
        <f t="shared" si="619"/>
        <v>0</v>
      </c>
      <c r="AH103" s="4">
        <f t="shared" si="619"/>
        <v>0</v>
      </c>
      <c r="AI103" s="1">
        <f t="shared" si="5"/>
        <v>0</v>
      </c>
      <c r="AJ103" s="1" t="s">
        <v>223</v>
      </c>
      <c r="AK103" s="1" t="s">
        <v>224</v>
      </c>
      <c r="AL103" s="4">
        <f t="shared" ref="AL103:AS103" si="620">IF(ISNUMBER(SEARCH(AL$1,$AK103)), 1, 0)</f>
        <v>1</v>
      </c>
      <c r="AM103" s="4">
        <f t="shared" si="620"/>
        <v>0</v>
      </c>
      <c r="AN103" s="4">
        <f t="shared" si="620"/>
        <v>1</v>
      </c>
      <c r="AO103" s="4">
        <f t="shared" si="620"/>
        <v>0</v>
      </c>
      <c r="AP103" s="4">
        <f t="shared" si="620"/>
        <v>0</v>
      </c>
      <c r="AQ103" s="4">
        <f t="shared" si="620"/>
        <v>1</v>
      </c>
      <c r="AR103" s="4">
        <f t="shared" si="620"/>
        <v>0</v>
      </c>
      <c r="AS103" s="4">
        <f t="shared" si="620"/>
        <v>0</v>
      </c>
      <c r="AU103" s="1" t="s">
        <v>47</v>
      </c>
      <c r="AV103" s="1">
        <f t="shared" si="7"/>
        <v>1</v>
      </c>
      <c r="AW103" s="1">
        <f t="shared" si="8"/>
        <v>0</v>
      </c>
      <c r="AX103" s="1">
        <f t="shared" si="9"/>
        <v>0</v>
      </c>
      <c r="AY103" s="1" t="s">
        <v>47</v>
      </c>
      <c r="AZ103" s="1" t="s">
        <v>48</v>
      </c>
      <c r="BA103" s="1" t="s">
        <v>225</v>
      </c>
      <c r="BB103" s="4">
        <f t="shared" ref="BB103:BJ103" si="621">IF(ISNUMBER(SEARCH(BB$1,$BA103)), 1, 0)</f>
        <v>0</v>
      </c>
      <c r="BC103" s="4">
        <f t="shared" si="621"/>
        <v>0</v>
      </c>
      <c r="BD103" s="4">
        <f t="shared" si="621"/>
        <v>0</v>
      </c>
      <c r="BE103" s="4">
        <f t="shared" si="621"/>
        <v>1</v>
      </c>
      <c r="BF103" s="4">
        <f t="shared" si="621"/>
        <v>0</v>
      </c>
      <c r="BG103" s="4">
        <f t="shared" si="621"/>
        <v>0</v>
      </c>
      <c r="BH103" s="4">
        <f t="shared" si="621"/>
        <v>0</v>
      </c>
      <c r="BI103" s="4">
        <f t="shared" si="621"/>
        <v>0</v>
      </c>
      <c r="BJ103" s="4">
        <f t="shared" si="621"/>
        <v>1</v>
      </c>
      <c r="BK103" s="4">
        <f t="shared" si="11"/>
        <v>2</v>
      </c>
      <c r="BO103" s="4">
        <f t="shared" ref="BO103:BU103" si="622">IF(ISNUMBER(SEARCH(BO$1,$BN103)), 1, 0)</f>
        <v>0</v>
      </c>
      <c r="BP103" s="4">
        <f t="shared" si="622"/>
        <v>0</v>
      </c>
      <c r="BQ103" s="4">
        <f t="shared" si="622"/>
        <v>0</v>
      </c>
      <c r="BR103" s="4">
        <f t="shared" si="622"/>
        <v>0</v>
      </c>
      <c r="BS103" s="4">
        <f t="shared" si="622"/>
        <v>0</v>
      </c>
      <c r="BT103" s="4">
        <f t="shared" si="622"/>
        <v>0</v>
      </c>
      <c r="BU103" s="4">
        <f t="shared" si="622"/>
        <v>0</v>
      </c>
    </row>
    <row r="104" spans="1:107" ht="15.75" customHeight="1" x14ac:dyDescent="0.25">
      <c r="A104" s="1" t="b">
        <v>1</v>
      </c>
      <c r="B104" s="3">
        <v>46170.460798611108</v>
      </c>
      <c r="C104" s="1" t="s">
        <v>758</v>
      </c>
      <c r="D104" s="1" t="s">
        <v>4</v>
      </c>
      <c r="E104" s="4">
        <f t="shared" ref="E104:K104" si="623">IF(ISNUMBER(SEARCH(E$1,$D104)), SEARCH(E$1,$D104), 0)</f>
        <v>1</v>
      </c>
      <c r="F104" s="4">
        <f t="shared" si="623"/>
        <v>0</v>
      </c>
      <c r="G104" s="4">
        <f t="shared" si="623"/>
        <v>0</v>
      </c>
      <c r="H104" s="4">
        <f t="shared" si="623"/>
        <v>0</v>
      </c>
      <c r="I104" s="4">
        <f t="shared" si="623"/>
        <v>0</v>
      </c>
      <c r="J104" s="4">
        <f t="shared" si="623"/>
        <v>0</v>
      </c>
      <c r="K104" s="4">
        <f t="shared" si="623"/>
        <v>0</v>
      </c>
      <c r="L104" s="4">
        <f t="shared" si="1"/>
        <v>1</v>
      </c>
      <c r="N104" s="1" t="s">
        <v>328</v>
      </c>
      <c r="O104" s="4">
        <f t="shared" ref="O104:T104" si="624">IF(ISNUMBER(SEARCH(O$1,$N104)), 1, 0)</f>
        <v>1</v>
      </c>
      <c r="P104" s="4">
        <f t="shared" si="624"/>
        <v>1</v>
      </c>
      <c r="Q104" s="4">
        <f t="shared" si="624"/>
        <v>1</v>
      </c>
      <c r="R104" s="4">
        <f t="shared" si="624"/>
        <v>0</v>
      </c>
      <c r="S104" s="4">
        <f t="shared" si="624"/>
        <v>0</v>
      </c>
      <c r="T104" s="4">
        <f t="shared" si="624"/>
        <v>0</v>
      </c>
      <c r="V104" s="1" t="s">
        <v>23</v>
      </c>
      <c r="W104" s="1" t="str">
        <f t="shared" si="618"/>
        <v>False</v>
      </c>
      <c r="X104" s="1" t="str">
        <f t="shared" si="618"/>
        <v>True</v>
      </c>
      <c r="Y104" s="1" t="str">
        <f t="shared" si="618"/>
        <v>False</v>
      </c>
      <c r="Z104" s="1" t="str">
        <f t="shared" si="618"/>
        <v>False</v>
      </c>
      <c r="AA104" s="1" t="str">
        <f t="shared" si="618"/>
        <v>False</v>
      </c>
      <c r="AB104" s="1" t="s">
        <v>183</v>
      </c>
      <c r="AC104" s="4">
        <f t="shared" ref="AC104:AH104" si="625">IF(ISNUMBER(SEARCH(AC$1,$AB104)), 1, 0)</f>
        <v>0</v>
      </c>
      <c r="AD104" s="4">
        <f t="shared" si="625"/>
        <v>0</v>
      </c>
      <c r="AE104" s="4">
        <f t="shared" si="625"/>
        <v>0</v>
      </c>
      <c r="AF104" s="4">
        <f t="shared" si="625"/>
        <v>0</v>
      </c>
      <c r="AG104" s="4">
        <f t="shared" si="625"/>
        <v>0</v>
      </c>
      <c r="AH104" s="4">
        <f t="shared" si="625"/>
        <v>0</v>
      </c>
      <c r="AI104" s="1">
        <f t="shared" si="5"/>
        <v>0</v>
      </c>
      <c r="AJ104" s="1" t="s">
        <v>759</v>
      </c>
      <c r="AK104" s="1" t="s">
        <v>760</v>
      </c>
      <c r="AL104" s="4">
        <f t="shared" ref="AL104:AS104" si="626">IF(ISNUMBER(SEARCH(AL$1,$AK104)), 1, 0)</f>
        <v>0</v>
      </c>
      <c r="AM104" s="4">
        <f t="shared" si="626"/>
        <v>1</v>
      </c>
      <c r="AN104" s="4">
        <f t="shared" si="626"/>
        <v>0</v>
      </c>
      <c r="AO104" s="4">
        <f t="shared" si="626"/>
        <v>0</v>
      </c>
      <c r="AP104" s="4">
        <f t="shared" si="626"/>
        <v>1</v>
      </c>
      <c r="AQ104" s="4">
        <f t="shared" si="626"/>
        <v>0</v>
      </c>
      <c r="AR104" s="4">
        <f t="shared" si="626"/>
        <v>0</v>
      </c>
      <c r="AS104" s="4">
        <f t="shared" si="626"/>
        <v>1</v>
      </c>
      <c r="AU104" s="1" t="s">
        <v>47</v>
      </c>
      <c r="AV104" s="1">
        <f t="shared" si="7"/>
        <v>1</v>
      </c>
      <c r="AW104" s="1">
        <f t="shared" si="8"/>
        <v>0</v>
      </c>
      <c r="AX104" s="1">
        <f t="shared" si="9"/>
        <v>0</v>
      </c>
      <c r="AY104" s="1" t="s">
        <v>47</v>
      </c>
      <c r="AZ104" s="1" t="s">
        <v>48</v>
      </c>
      <c r="BA104" s="1" t="s">
        <v>419</v>
      </c>
      <c r="BB104" s="4">
        <f t="shared" ref="BB104:BJ104" si="627">IF(ISNUMBER(SEARCH(BB$1,$BA104)), 1, 0)</f>
        <v>0</v>
      </c>
      <c r="BC104" s="4">
        <f t="shared" si="627"/>
        <v>1</v>
      </c>
      <c r="BD104" s="4">
        <f t="shared" si="627"/>
        <v>0</v>
      </c>
      <c r="BE104" s="4">
        <f t="shared" si="627"/>
        <v>1</v>
      </c>
      <c r="BF104" s="4">
        <f t="shared" si="627"/>
        <v>0</v>
      </c>
      <c r="BG104" s="4">
        <f t="shared" si="627"/>
        <v>1</v>
      </c>
      <c r="BH104" s="4">
        <f t="shared" si="627"/>
        <v>0</v>
      </c>
      <c r="BI104" s="4">
        <f t="shared" si="627"/>
        <v>0</v>
      </c>
      <c r="BJ104" s="4">
        <f t="shared" si="627"/>
        <v>1</v>
      </c>
      <c r="BK104" s="4">
        <f t="shared" si="11"/>
        <v>4</v>
      </c>
      <c r="BO104" s="4">
        <f t="shared" ref="BO104:BU104" si="628">IF(ISNUMBER(SEARCH(BO$1,$BN104)), 1, 0)</f>
        <v>0</v>
      </c>
      <c r="BP104" s="4">
        <f t="shared" si="628"/>
        <v>0</v>
      </c>
      <c r="BQ104" s="4">
        <f t="shared" si="628"/>
        <v>0</v>
      </c>
      <c r="BR104" s="4">
        <f t="shared" si="628"/>
        <v>0</v>
      </c>
      <c r="BS104" s="4">
        <f t="shared" si="628"/>
        <v>0</v>
      </c>
      <c r="BT104" s="4">
        <f t="shared" si="628"/>
        <v>0</v>
      </c>
      <c r="BU104" s="4">
        <f t="shared" si="628"/>
        <v>0</v>
      </c>
      <c r="DC104" s="1" t="s">
        <v>180</v>
      </c>
    </row>
    <row r="105" spans="1:107" ht="15.75" customHeight="1" x14ac:dyDescent="0.25">
      <c r="A105" s="1" t="b">
        <v>1</v>
      </c>
      <c r="B105" s="3">
        <v>46152.556076388886</v>
      </c>
      <c r="C105" s="1" t="s">
        <v>293</v>
      </c>
      <c r="D105" s="1" t="s">
        <v>4</v>
      </c>
      <c r="E105" s="4">
        <f t="shared" ref="E105:K105" si="629">IF(ISNUMBER(SEARCH(E$1,$D105)), SEARCH(E$1,$D105), 0)</f>
        <v>1</v>
      </c>
      <c r="F105" s="4">
        <f t="shared" si="629"/>
        <v>0</v>
      </c>
      <c r="G105" s="4">
        <f t="shared" si="629"/>
        <v>0</v>
      </c>
      <c r="H105" s="4">
        <f t="shared" si="629"/>
        <v>0</v>
      </c>
      <c r="I105" s="4">
        <f t="shared" si="629"/>
        <v>0</v>
      </c>
      <c r="J105" s="4">
        <f t="shared" si="629"/>
        <v>0</v>
      </c>
      <c r="K105" s="4">
        <f t="shared" si="629"/>
        <v>0</v>
      </c>
      <c r="L105" s="4">
        <f t="shared" si="1"/>
        <v>1</v>
      </c>
      <c r="N105" s="1" t="s">
        <v>294</v>
      </c>
      <c r="O105" s="4">
        <f t="shared" ref="O105:T105" si="630">IF(ISNUMBER(SEARCH(O$1,$N105)), 1, 0)</f>
        <v>1</v>
      </c>
      <c r="P105" s="4">
        <f t="shared" si="630"/>
        <v>1</v>
      </c>
      <c r="Q105" s="4">
        <f t="shared" si="630"/>
        <v>0</v>
      </c>
      <c r="R105" s="4">
        <f t="shared" si="630"/>
        <v>0</v>
      </c>
      <c r="S105" s="4">
        <f t="shared" si="630"/>
        <v>0</v>
      </c>
      <c r="T105" s="4">
        <f t="shared" si="630"/>
        <v>0</v>
      </c>
      <c r="V105" s="1" t="s">
        <v>22</v>
      </c>
      <c r="W105" s="1" t="str">
        <f t="shared" si="618"/>
        <v>True</v>
      </c>
      <c r="X105" s="1" t="str">
        <f t="shared" si="618"/>
        <v>False</v>
      </c>
      <c r="Y105" s="1" t="str">
        <f t="shared" si="618"/>
        <v>False</v>
      </c>
      <c r="Z105" s="1" t="str">
        <f t="shared" si="618"/>
        <v>False</v>
      </c>
      <c r="AA105" s="1" t="str">
        <f t="shared" si="618"/>
        <v>False</v>
      </c>
      <c r="AB105" s="1" t="s">
        <v>29</v>
      </c>
      <c r="AC105" s="4">
        <f t="shared" ref="AC105:AH105" si="631">IF(ISNUMBER(SEARCH(AC$1,$AB105)), 1, 0)</f>
        <v>0</v>
      </c>
      <c r="AD105" s="4">
        <f t="shared" si="631"/>
        <v>1</v>
      </c>
      <c r="AE105" s="4">
        <f t="shared" si="631"/>
        <v>0</v>
      </c>
      <c r="AF105" s="4">
        <f t="shared" si="631"/>
        <v>0</v>
      </c>
      <c r="AG105" s="4">
        <f t="shared" si="631"/>
        <v>0</v>
      </c>
      <c r="AH105" s="4">
        <f t="shared" si="631"/>
        <v>0</v>
      </c>
      <c r="AI105" s="1">
        <f t="shared" si="5"/>
        <v>1</v>
      </c>
      <c r="AK105" s="1" t="s">
        <v>44</v>
      </c>
      <c r="AL105" s="4">
        <f t="shared" ref="AL105:AS105" si="632">IF(ISNUMBER(SEARCH(AL$1,$AK105)), 1, 0)</f>
        <v>0</v>
      </c>
      <c r="AM105" s="4">
        <f t="shared" si="632"/>
        <v>0</v>
      </c>
      <c r="AN105" s="4">
        <f t="shared" si="632"/>
        <v>0</v>
      </c>
      <c r="AO105" s="4">
        <f t="shared" si="632"/>
        <v>0</v>
      </c>
      <c r="AP105" s="4">
        <f t="shared" si="632"/>
        <v>0</v>
      </c>
      <c r="AQ105" s="4">
        <f t="shared" si="632"/>
        <v>0</v>
      </c>
      <c r="AR105" s="4">
        <f t="shared" si="632"/>
        <v>0</v>
      </c>
      <c r="AS105" s="4">
        <f t="shared" si="632"/>
        <v>1</v>
      </c>
      <c r="AU105" s="1" t="s">
        <v>47</v>
      </c>
      <c r="AV105" s="1">
        <f t="shared" si="7"/>
        <v>1</v>
      </c>
      <c r="AW105" s="1">
        <f t="shared" si="8"/>
        <v>0</v>
      </c>
      <c r="AX105" s="1">
        <f t="shared" si="9"/>
        <v>0</v>
      </c>
      <c r="AY105" s="1" t="s">
        <v>47</v>
      </c>
      <c r="AZ105" s="1" t="s">
        <v>47</v>
      </c>
      <c r="BA105" s="1" t="s">
        <v>54</v>
      </c>
      <c r="BB105" s="4">
        <f t="shared" ref="BB105:BJ105" si="633">IF(ISNUMBER(SEARCH(BB$1,$BA105)), 1, 0)</f>
        <v>0</v>
      </c>
      <c r="BC105" s="4">
        <f t="shared" si="633"/>
        <v>1</v>
      </c>
      <c r="BD105" s="4">
        <f t="shared" si="633"/>
        <v>0</v>
      </c>
      <c r="BE105" s="4">
        <f t="shared" si="633"/>
        <v>0</v>
      </c>
      <c r="BF105" s="4">
        <f t="shared" si="633"/>
        <v>0</v>
      </c>
      <c r="BG105" s="4">
        <f t="shared" si="633"/>
        <v>0</v>
      </c>
      <c r="BH105" s="4">
        <f t="shared" si="633"/>
        <v>0</v>
      </c>
      <c r="BI105" s="4">
        <f t="shared" si="633"/>
        <v>0</v>
      </c>
      <c r="BJ105" s="4">
        <f t="shared" si="633"/>
        <v>0</v>
      </c>
      <c r="BK105" s="4">
        <f t="shared" si="11"/>
        <v>1</v>
      </c>
      <c r="BO105" s="4">
        <f t="shared" ref="BO105:BU105" si="634">IF(ISNUMBER(SEARCH(BO$1,$BN105)), 1, 0)</f>
        <v>0</v>
      </c>
      <c r="BP105" s="4">
        <f t="shared" si="634"/>
        <v>0</v>
      </c>
      <c r="BQ105" s="4">
        <f t="shared" si="634"/>
        <v>0</v>
      </c>
      <c r="BR105" s="4">
        <f t="shared" si="634"/>
        <v>0</v>
      </c>
      <c r="BS105" s="4">
        <f t="shared" si="634"/>
        <v>0</v>
      </c>
      <c r="BT105" s="4">
        <f t="shared" si="634"/>
        <v>0</v>
      </c>
      <c r="BU105" s="4">
        <f t="shared" si="634"/>
        <v>0</v>
      </c>
      <c r="DC105" s="1" t="s">
        <v>180</v>
      </c>
    </row>
    <row r="106" spans="1:107" ht="15.75" customHeight="1" x14ac:dyDescent="0.25">
      <c r="A106" s="1" t="b">
        <v>1</v>
      </c>
      <c r="B106" s="3">
        <v>46165.140775462962</v>
      </c>
      <c r="C106" s="1" t="s">
        <v>579</v>
      </c>
      <c r="D106" s="1" t="s">
        <v>4</v>
      </c>
      <c r="E106" s="4">
        <f t="shared" ref="E106:K106" si="635">IF(ISNUMBER(SEARCH(E$1,$D106)), SEARCH(E$1,$D106), 0)</f>
        <v>1</v>
      </c>
      <c r="F106" s="4">
        <f t="shared" si="635"/>
        <v>0</v>
      </c>
      <c r="G106" s="4">
        <f t="shared" si="635"/>
        <v>0</v>
      </c>
      <c r="H106" s="4">
        <f t="shared" si="635"/>
        <v>0</v>
      </c>
      <c r="I106" s="4">
        <f t="shared" si="635"/>
        <v>0</v>
      </c>
      <c r="J106" s="4">
        <f t="shared" si="635"/>
        <v>0</v>
      </c>
      <c r="K106" s="4">
        <f t="shared" si="635"/>
        <v>0</v>
      </c>
      <c r="L106" s="4">
        <f t="shared" si="1"/>
        <v>1</v>
      </c>
      <c r="N106" s="1" t="s">
        <v>14</v>
      </c>
      <c r="O106" s="4">
        <f t="shared" ref="O106:T106" si="636">IF(ISNUMBER(SEARCH(O$1,$N106)), 1, 0)</f>
        <v>1</v>
      </c>
      <c r="P106" s="4">
        <f t="shared" si="636"/>
        <v>0</v>
      </c>
      <c r="Q106" s="4">
        <f t="shared" si="636"/>
        <v>0</v>
      </c>
      <c r="R106" s="4">
        <f t="shared" si="636"/>
        <v>0</v>
      </c>
      <c r="S106" s="4">
        <f t="shared" si="636"/>
        <v>0</v>
      </c>
      <c r="T106" s="4">
        <f t="shared" si="636"/>
        <v>0</v>
      </c>
      <c r="W106" s="1" t="str">
        <f t="shared" si="618"/>
        <v>False</v>
      </c>
      <c r="X106" s="1" t="str">
        <f t="shared" si="618"/>
        <v>False</v>
      </c>
      <c r="Y106" s="1" t="str">
        <f t="shared" si="618"/>
        <v>False</v>
      </c>
      <c r="Z106" s="1" t="str">
        <f t="shared" si="618"/>
        <v>False</v>
      </c>
      <c r="AA106" s="1" t="str">
        <f t="shared" si="618"/>
        <v>False</v>
      </c>
      <c r="AB106" s="1" t="s">
        <v>29</v>
      </c>
      <c r="AC106" s="4">
        <f t="shared" ref="AC106:AH106" si="637">IF(ISNUMBER(SEARCH(AC$1,$AB106)), 1, 0)</f>
        <v>0</v>
      </c>
      <c r="AD106" s="4">
        <f t="shared" si="637"/>
        <v>1</v>
      </c>
      <c r="AE106" s="4">
        <f t="shared" si="637"/>
        <v>0</v>
      </c>
      <c r="AF106" s="4">
        <f t="shared" si="637"/>
        <v>0</v>
      </c>
      <c r="AG106" s="4">
        <f t="shared" si="637"/>
        <v>0</v>
      </c>
      <c r="AH106" s="4">
        <f t="shared" si="637"/>
        <v>0</v>
      </c>
      <c r="AI106" s="1">
        <f t="shared" si="5"/>
        <v>1</v>
      </c>
      <c r="AK106" s="1" t="s">
        <v>580</v>
      </c>
      <c r="AL106" s="4">
        <f t="shared" ref="AL106:AS106" si="638">IF(ISNUMBER(SEARCH(AL$1,$AK106)), 1, 0)</f>
        <v>0</v>
      </c>
      <c r="AM106" s="4">
        <f t="shared" si="638"/>
        <v>0</v>
      </c>
      <c r="AN106" s="4">
        <f t="shared" si="638"/>
        <v>1</v>
      </c>
      <c r="AO106" s="4">
        <f t="shared" si="638"/>
        <v>0</v>
      </c>
      <c r="AP106" s="4">
        <f t="shared" si="638"/>
        <v>0</v>
      </c>
      <c r="AQ106" s="4">
        <f t="shared" si="638"/>
        <v>0</v>
      </c>
      <c r="AR106" s="4">
        <f t="shared" si="638"/>
        <v>0</v>
      </c>
      <c r="AS106" s="4">
        <f t="shared" si="638"/>
        <v>1</v>
      </c>
      <c r="AU106" s="1" t="s">
        <v>47</v>
      </c>
      <c r="AV106" s="1">
        <f t="shared" si="7"/>
        <v>1</v>
      </c>
      <c r="AW106" s="1">
        <f t="shared" si="8"/>
        <v>0</v>
      </c>
      <c r="AX106" s="1">
        <f t="shared" si="9"/>
        <v>0</v>
      </c>
      <c r="AY106" s="1" t="s">
        <v>48</v>
      </c>
      <c r="BA106" s="1" t="s">
        <v>581</v>
      </c>
      <c r="BB106" s="4">
        <f t="shared" ref="BB106:BJ106" si="639">IF(ISNUMBER(SEARCH(BB$1,$BA106)), 1, 0)</f>
        <v>0</v>
      </c>
      <c r="BC106" s="4">
        <f t="shared" si="639"/>
        <v>0</v>
      </c>
      <c r="BD106" s="4">
        <f t="shared" si="639"/>
        <v>0</v>
      </c>
      <c r="BE106" s="4">
        <f t="shared" si="639"/>
        <v>0</v>
      </c>
      <c r="BF106" s="4">
        <f t="shared" si="639"/>
        <v>0</v>
      </c>
      <c r="BG106" s="4">
        <f t="shared" si="639"/>
        <v>1</v>
      </c>
      <c r="BH106" s="4">
        <f t="shared" si="639"/>
        <v>0</v>
      </c>
      <c r="BI106" s="4">
        <f t="shared" si="639"/>
        <v>1</v>
      </c>
      <c r="BJ106" s="4">
        <f t="shared" si="639"/>
        <v>1</v>
      </c>
      <c r="BK106" s="4">
        <f t="shared" si="11"/>
        <v>3</v>
      </c>
      <c r="BM106" s="1" t="s">
        <v>232</v>
      </c>
      <c r="BN106" s="1" t="s">
        <v>386</v>
      </c>
      <c r="BO106" s="4">
        <f t="shared" ref="BO106:BU106" si="640">IF(ISNUMBER(SEARCH(BO$1,$BN106)), 1, 0)</f>
        <v>0</v>
      </c>
      <c r="BP106" s="4">
        <f t="shared" si="640"/>
        <v>1</v>
      </c>
      <c r="BQ106" s="4">
        <f t="shared" si="640"/>
        <v>0</v>
      </c>
      <c r="BR106" s="4">
        <f t="shared" si="640"/>
        <v>0</v>
      </c>
      <c r="BS106" s="4">
        <f t="shared" si="640"/>
        <v>0</v>
      </c>
      <c r="BT106" s="4">
        <f t="shared" si="640"/>
        <v>1</v>
      </c>
      <c r="BU106" s="4">
        <f t="shared" si="640"/>
        <v>0</v>
      </c>
      <c r="DC106" s="1" t="s">
        <v>238</v>
      </c>
    </row>
    <row r="107" spans="1:107" ht="15.75" customHeight="1" x14ac:dyDescent="0.25">
      <c r="A107" s="1" t="b">
        <v>1</v>
      </c>
      <c r="B107" s="3">
        <v>46164.450462962966</v>
      </c>
      <c r="C107" s="1" t="s">
        <v>473</v>
      </c>
      <c r="D107" s="1" t="s">
        <v>4</v>
      </c>
      <c r="E107" s="4">
        <f t="shared" ref="E107:K107" si="641">IF(ISNUMBER(SEARCH(E$1,$D107)), SEARCH(E$1,$D107), 0)</f>
        <v>1</v>
      </c>
      <c r="F107" s="4">
        <f t="shared" si="641"/>
        <v>0</v>
      </c>
      <c r="G107" s="4">
        <f t="shared" si="641"/>
        <v>0</v>
      </c>
      <c r="H107" s="4">
        <f t="shared" si="641"/>
        <v>0</v>
      </c>
      <c r="I107" s="4">
        <f t="shared" si="641"/>
        <v>0</v>
      </c>
      <c r="J107" s="4">
        <f t="shared" si="641"/>
        <v>0</v>
      </c>
      <c r="K107" s="4">
        <f t="shared" si="641"/>
        <v>0</v>
      </c>
      <c r="L107" s="4">
        <f t="shared" si="1"/>
        <v>1</v>
      </c>
      <c r="N107" s="1" t="s">
        <v>272</v>
      </c>
      <c r="O107" s="4">
        <f t="shared" ref="O107:T107" si="642">IF(ISNUMBER(SEARCH(O$1,$N107)), 1, 0)</f>
        <v>1</v>
      </c>
      <c r="P107" s="4">
        <f t="shared" si="642"/>
        <v>1</v>
      </c>
      <c r="Q107" s="4">
        <f t="shared" si="642"/>
        <v>1</v>
      </c>
      <c r="R107" s="4">
        <f t="shared" si="642"/>
        <v>1</v>
      </c>
      <c r="S107" s="4">
        <f t="shared" si="642"/>
        <v>1</v>
      </c>
      <c r="T107" s="4">
        <f t="shared" si="642"/>
        <v>0</v>
      </c>
      <c r="W107" s="1" t="str">
        <f t="shared" si="618"/>
        <v>False</v>
      </c>
      <c r="X107" s="1" t="str">
        <f t="shared" si="618"/>
        <v>False</v>
      </c>
      <c r="Y107" s="1" t="str">
        <f t="shared" si="618"/>
        <v>False</v>
      </c>
      <c r="Z107" s="1" t="str">
        <f t="shared" si="618"/>
        <v>False</v>
      </c>
      <c r="AA107" s="1" t="str">
        <f t="shared" si="618"/>
        <v>False</v>
      </c>
      <c r="AB107" s="1" t="s">
        <v>357</v>
      </c>
      <c r="AC107" s="4">
        <f t="shared" ref="AC107:AH107" si="643">IF(ISNUMBER(SEARCH(AC$1,$AB107)), 1, 0)</f>
        <v>1</v>
      </c>
      <c r="AD107" s="4">
        <f t="shared" si="643"/>
        <v>0</v>
      </c>
      <c r="AE107" s="4">
        <f t="shared" si="643"/>
        <v>0</v>
      </c>
      <c r="AF107" s="4">
        <f t="shared" si="643"/>
        <v>0</v>
      </c>
      <c r="AG107" s="4">
        <f t="shared" si="643"/>
        <v>0</v>
      </c>
      <c r="AH107" s="4">
        <f t="shared" si="643"/>
        <v>1</v>
      </c>
      <c r="AI107" s="1">
        <f t="shared" si="5"/>
        <v>2</v>
      </c>
      <c r="AK107" s="1" t="s">
        <v>474</v>
      </c>
      <c r="AL107" s="4">
        <f t="shared" ref="AL107:AS107" si="644">IF(ISNUMBER(SEARCH(AL$1,$AK107)), 1, 0)</f>
        <v>0</v>
      </c>
      <c r="AM107" s="4">
        <f t="shared" si="644"/>
        <v>0</v>
      </c>
      <c r="AN107" s="4">
        <f t="shared" si="644"/>
        <v>0</v>
      </c>
      <c r="AO107" s="4">
        <f t="shared" si="644"/>
        <v>1</v>
      </c>
      <c r="AP107" s="4">
        <f t="shared" si="644"/>
        <v>1</v>
      </c>
      <c r="AQ107" s="4">
        <f t="shared" si="644"/>
        <v>0</v>
      </c>
      <c r="AR107" s="4">
        <f t="shared" si="644"/>
        <v>1</v>
      </c>
      <c r="AS107" s="4">
        <f t="shared" si="644"/>
        <v>0</v>
      </c>
      <c r="AU107" s="1" t="s">
        <v>47</v>
      </c>
      <c r="AV107" s="1">
        <f t="shared" si="7"/>
        <v>1</v>
      </c>
      <c r="AW107" s="1">
        <f t="shared" si="8"/>
        <v>0</v>
      </c>
      <c r="AX107" s="1">
        <f t="shared" si="9"/>
        <v>0</v>
      </c>
      <c r="AY107" s="1" t="s">
        <v>48</v>
      </c>
      <c r="BA107" s="1" t="s">
        <v>61</v>
      </c>
      <c r="BB107" s="4">
        <f t="shared" ref="BB107:BJ107" si="645">IF(ISNUMBER(SEARCH(BB$1,$BA107)), 1, 0)</f>
        <v>0</v>
      </c>
      <c r="BC107" s="4">
        <f t="shared" si="645"/>
        <v>0</v>
      </c>
      <c r="BD107" s="4">
        <f t="shared" si="645"/>
        <v>0</v>
      </c>
      <c r="BE107" s="4">
        <f t="shared" si="645"/>
        <v>0</v>
      </c>
      <c r="BF107" s="4">
        <f t="shared" si="645"/>
        <v>0</v>
      </c>
      <c r="BG107" s="4">
        <f t="shared" si="645"/>
        <v>0</v>
      </c>
      <c r="BH107" s="4">
        <f t="shared" si="645"/>
        <v>0</v>
      </c>
      <c r="BI107" s="4">
        <f t="shared" si="645"/>
        <v>0</v>
      </c>
      <c r="BJ107" s="4">
        <f t="shared" si="645"/>
        <v>1</v>
      </c>
      <c r="BK107" s="4">
        <f t="shared" si="11"/>
        <v>1</v>
      </c>
      <c r="BM107" s="1" t="s">
        <v>232</v>
      </c>
      <c r="BN107" s="1" t="s">
        <v>475</v>
      </c>
      <c r="BO107" s="4">
        <f t="shared" ref="BO107:BU107" si="646">IF(ISNUMBER(SEARCH(BO$1,$BN107)), 1, 0)</f>
        <v>0</v>
      </c>
      <c r="BP107" s="4">
        <f t="shared" si="646"/>
        <v>0</v>
      </c>
      <c r="BQ107" s="4">
        <f t="shared" si="646"/>
        <v>0</v>
      </c>
      <c r="BR107" s="4">
        <f t="shared" si="646"/>
        <v>1</v>
      </c>
      <c r="BS107" s="4">
        <f t="shared" si="646"/>
        <v>1</v>
      </c>
      <c r="BT107" s="4">
        <f t="shared" si="646"/>
        <v>1</v>
      </c>
      <c r="BU107" s="4">
        <f t="shared" si="646"/>
        <v>1</v>
      </c>
      <c r="DC107" s="1" t="s">
        <v>180</v>
      </c>
    </row>
    <row r="108" spans="1:107" ht="15.75" customHeight="1" x14ac:dyDescent="0.25">
      <c r="A108" s="1" t="b">
        <v>1</v>
      </c>
      <c r="B108" s="3">
        <v>46166.881261574075</v>
      </c>
      <c r="C108" s="1" t="s">
        <v>654</v>
      </c>
      <c r="D108" s="1" t="s">
        <v>4</v>
      </c>
      <c r="E108" s="4">
        <f t="shared" ref="E108:K108" si="647">IF(ISNUMBER(SEARCH(E$1,$D108)), SEARCH(E$1,$D108), 0)</f>
        <v>1</v>
      </c>
      <c r="F108" s="4">
        <f t="shared" si="647"/>
        <v>0</v>
      </c>
      <c r="G108" s="4">
        <f t="shared" si="647"/>
        <v>0</v>
      </c>
      <c r="H108" s="4">
        <f t="shared" si="647"/>
        <v>0</v>
      </c>
      <c r="I108" s="4">
        <f t="shared" si="647"/>
        <v>0</v>
      </c>
      <c r="J108" s="4">
        <f t="shared" si="647"/>
        <v>0</v>
      </c>
      <c r="K108" s="4">
        <f t="shared" si="647"/>
        <v>0</v>
      </c>
      <c r="L108" s="4">
        <f t="shared" si="1"/>
        <v>1</v>
      </c>
      <c r="N108" s="1" t="s">
        <v>328</v>
      </c>
      <c r="O108" s="4">
        <f t="shared" ref="O108:T108" si="648">IF(ISNUMBER(SEARCH(O$1,$N108)), 1, 0)</f>
        <v>1</v>
      </c>
      <c r="P108" s="4">
        <f t="shared" si="648"/>
        <v>1</v>
      </c>
      <c r="Q108" s="4">
        <f t="shared" si="648"/>
        <v>1</v>
      </c>
      <c r="R108" s="4">
        <f t="shared" si="648"/>
        <v>0</v>
      </c>
      <c r="S108" s="4">
        <f t="shared" si="648"/>
        <v>0</v>
      </c>
      <c r="T108" s="4">
        <f t="shared" si="648"/>
        <v>0</v>
      </c>
      <c r="V108" s="1" t="s">
        <v>22</v>
      </c>
      <c r="W108" s="1" t="str">
        <f t="shared" si="618"/>
        <v>True</v>
      </c>
      <c r="X108" s="1" t="str">
        <f t="shared" si="618"/>
        <v>False</v>
      </c>
      <c r="Y108" s="1" t="str">
        <f t="shared" si="618"/>
        <v>False</v>
      </c>
      <c r="Z108" s="1" t="str">
        <f t="shared" si="618"/>
        <v>False</v>
      </c>
      <c r="AA108" s="1" t="str">
        <f t="shared" si="618"/>
        <v>False</v>
      </c>
      <c r="AB108" s="1" t="s">
        <v>28</v>
      </c>
      <c r="AC108" s="4">
        <f t="shared" ref="AC108:AH108" si="649">IF(ISNUMBER(SEARCH(AC$1,$AB108)), 1, 0)</f>
        <v>1</v>
      </c>
      <c r="AD108" s="4">
        <f t="shared" si="649"/>
        <v>0</v>
      </c>
      <c r="AE108" s="4">
        <f t="shared" si="649"/>
        <v>0</v>
      </c>
      <c r="AF108" s="4">
        <f t="shared" si="649"/>
        <v>0</v>
      </c>
      <c r="AG108" s="4">
        <f t="shared" si="649"/>
        <v>0</v>
      </c>
      <c r="AH108" s="4">
        <f t="shared" si="649"/>
        <v>0</v>
      </c>
      <c r="AI108" s="1">
        <f t="shared" si="5"/>
        <v>1</v>
      </c>
      <c r="AK108" s="1" t="s">
        <v>655</v>
      </c>
      <c r="AL108" s="4">
        <f t="shared" ref="AL108:AS108" si="650">IF(ISNUMBER(SEARCH(AL$1,$AK108)), 1, 0)</f>
        <v>0</v>
      </c>
      <c r="AM108" s="4">
        <f t="shared" si="650"/>
        <v>1</v>
      </c>
      <c r="AN108" s="4">
        <f t="shared" si="650"/>
        <v>1</v>
      </c>
      <c r="AO108" s="4">
        <f t="shared" si="650"/>
        <v>0</v>
      </c>
      <c r="AP108" s="4">
        <f t="shared" si="650"/>
        <v>0</v>
      </c>
      <c r="AQ108" s="4">
        <f t="shared" si="650"/>
        <v>0</v>
      </c>
      <c r="AR108" s="4">
        <f t="shared" si="650"/>
        <v>1</v>
      </c>
      <c r="AS108" s="4">
        <f t="shared" si="650"/>
        <v>0</v>
      </c>
      <c r="AU108" s="1" t="s">
        <v>47</v>
      </c>
      <c r="AV108" s="1">
        <f t="shared" si="7"/>
        <v>1</v>
      </c>
      <c r="AW108" s="1">
        <f t="shared" si="8"/>
        <v>0</v>
      </c>
      <c r="AX108" s="1">
        <f t="shared" si="9"/>
        <v>0</v>
      </c>
      <c r="AY108" s="1" t="s">
        <v>48</v>
      </c>
      <c r="BA108" s="1" t="s">
        <v>656</v>
      </c>
      <c r="BB108" s="4">
        <f t="shared" ref="BB108:BJ108" si="651">IF(ISNUMBER(SEARCH(BB$1,$BA108)), 1, 0)</f>
        <v>0</v>
      </c>
      <c r="BC108" s="4">
        <f t="shared" si="651"/>
        <v>1</v>
      </c>
      <c r="BD108" s="4">
        <f t="shared" si="651"/>
        <v>0</v>
      </c>
      <c r="BE108" s="4">
        <f t="shared" si="651"/>
        <v>0</v>
      </c>
      <c r="BF108" s="4">
        <f t="shared" si="651"/>
        <v>1</v>
      </c>
      <c r="BG108" s="4">
        <f t="shared" si="651"/>
        <v>1</v>
      </c>
      <c r="BH108" s="4">
        <f t="shared" si="651"/>
        <v>0</v>
      </c>
      <c r="BI108" s="4">
        <f t="shared" si="651"/>
        <v>0</v>
      </c>
      <c r="BJ108" s="4">
        <f t="shared" si="651"/>
        <v>1</v>
      </c>
      <c r="BK108" s="4">
        <f t="shared" si="11"/>
        <v>4</v>
      </c>
      <c r="BM108" s="1" t="s">
        <v>166</v>
      </c>
      <c r="BN108" s="1" t="s">
        <v>657</v>
      </c>
      <c r="BO108" s="4">
        <f t="shared" ref="BO108:BU108" si="652">IF(ISNUMBER(SEARCH(BO$1,$BN108)), 1, 0)</f>
        <v>1</v>
      </c>
      <c r="BP108" s="4">
        <f t="shared" si="652"/>
        <v>1</v>
      </c>
      <c r="BQ108" s="4">
        <f t="shared" si="652"/>
        <v>1</v>
      </c>
      <c r="BR108" s="4">
        <f t="shared" si="652"/>
        <v>1</v>
      </c>
      <c r="BS108" s="4">
        <f t="shared" si="652"/>
        <v>0</v>
      </c>
      <c r="BT108" s="4">
        <f t="shared" si="652"/>
        <v>0</v>
      </c>
      <c r="BU108" s="4">
        <f t="shared" si="652"/>
        <v>0</v>
      </c>
      <c r="DC108" s="1" t="s">
        <v>180</v>
      </c>
    </row>
    <row r="109" spans="1:107" ht="15.75" customHeight="1" x14ac:dyDescent="0.25">
      <c r="A109" s="1" t="b">
        <v>1</v>
      </c>
      <c r="B109" s="3">
        <v>46164.650601851848</v>
      </c>
      <c r="C109" s="1" t="s">
        <v>511</v>
      </c>
      <c r="D109" s="1" t="s">
        <v>4</v>
      </c>
      <c r="E109" s="4">
        <f t="shared" ref="E109:K109" si="653">IF(ISNUMBER(SEARCH(E$1,$D109)), SEARCH(E$1,$D109), 0)</f>
        <v>1</v>
      </c>
      <c r="F109" s="4">
        <f t="shared" si="653"/>
        <v>0</v>
      </c>
      <c r="G109" s="4">
        <f t="shared" si="653"/>
        <v>0</v>
      </c>
      <c r="H109" s="4">
        <f t="shared" si="653"/>
        <v>0</v>
      </c>
      <c r="I109" s="4">
        <f t="shared" si="653"/>
        <v>0</v>
      </c>
      <c r="J109" s="4">
        <f t="shared" si="653"/>
        <v>0</v>
      </c>
      <c r="K109" s="4">
        <f t="shared" si="653"/>
        <v>0</v>
      </c>
      <c r="L109" s="4">
        <f t="shared" si="1"/>
        <v>1</v>
      </c>
      <c r="N109" s="1" t="s">
        <v>240</v>
      </c>
      <c r="O109" s="4">
        <f t="shared" ref="O109:T109" si="654">IF(ISNUMBER(SEARCH(O$1,$N109)), 1, 0)</f>
        <v>1</v>
      </c>
      <c r="P109" s="4">
        <f t="shared" si="654"/>
        <v>1</v>
      </c>
      <c r="Q109" s="4">
        <f t="shared" si="654"/>
        <v>1</v>
      </c>
      <c r="R109" s="4">
        <f t="shared" si="654"/>
        <v>1</v>
      </c>
      <c r="S109" s="4">
        <f t="shared" si="654"/>
        <v>0</v>
      </c>
      <c r="T109" s="4">
        <f t="shared" si="654"/>
        <v>0</v>
      </c>
      <c r="W109" s="1" t="str">
        <f t="shared" si="618"/>
        <v>False</v>
      </c>
      <c r="X109" s="1" t="str">
        <f t="shared" si="618"/>
        <v>False</v>
      </c>
      <c r="Y109" s="1" t="str">
        <f t="shared" si="618"/>
        <v>False</v>
      </c>
      <c r="Z109" s="1" t="str">
        <f t="shared" si="618"/>
        <v>False</v>
      </c>
      <c r="AA109" s="1" t="str">
        <f t="shared" si="618"/>
        <v>False</v>
      </c>
      <c r="AB109" s="1" t="s">
        <v>33</v>
      </c>
      <c r="AC109" s="4">
        <f t="shared" ref="AC109:AH109" si="655">IF(ISNUMBER(SEARCH(AC$1,$AB109)), 1, 0)</f>
        <v>0</v>
      </c>
      <c r="AD109" s="4">
        <f t="shared" si="655"/>
        <v>0</v>
      </c>
      <c r="AE109" s="4">
        <f t="shared" si="655"/>
        <v>0</v>
      </c>
      <c r="AF109" s="4">
        <f t="shared" si="655"/>
        <v>0</v>
      </c>
      <c r="AG109" s="4">
        <f t="shared" si="655"/>
        <v>0</v>
      </c>
      <c r="AH109" s="4">
        <f t="shared" si="655"/>
        <v>1</v>
      </c>
      <c r="AI109" s="1">
        <f t="shared" si="5"/>
        <v>1</v>
      </c>
      <c r="AK109" s="1" t="s">
        <v>410</v>
      </c>
      <c r="AL109" s="4">
        <f t="shared" ref="AL109:AS109" si="656">IF(ISNUMBER(SEARCH(AL$1,$AK109)), 1, 0)</f>
        <v>1</v>
      </c>
      <c r="AM109" s="4">
        <f t="shared" si="656"/>
        <v>0</v>
      </c>
      <c r="AN109" s="4">
        <f t="shared" si="656"/>
        <v>1</v>
      </c>
      <c r="AO109" s="4">
        <f t="shared" si="656"/>
        <v>1</v>
      </c>
      <c r="AP109" s="4">
        <f t="shared" si="656"/>
        <v>0</v>
      </c>
      <c r="AQ109" s="4">
        <f t="shared" si="656"/>
        <v>0</v>
      </c>
      <c r="AR109" s="4">
        <f t="shared" si="656"/>
        <v>0</v>
      </c>
      <c r="AS109" s="4">
        <f t="shared" si="656"/>
        <v>0</v>
      </c>
      <c r="AU109" s="1" t="s">
        <v>47</v>
      </c>
      <c r="AV109" s="1">
        <f t="shared" si="7"/>
        <v>1</v>
      </c>
      <c r="AW109" s="1">
        <f t="shared" si="8"/>
        <v>0</v>
      </c>
      <c r="AX109" s="1">
        <f t="shared" si="9"/>
        <v>0</v>
      </c>
      <c r="AY109" s="1" t="s">
        <v>48</v>
      </c>
      <c r="BA109" s="1" t="s">
        <v>231</v>
      </c>
      <c r="BB109" s="4">
        <f t="shared" ref="BB109:BJ109" si="657">IF(ISNUMBER(SEARCH(BB$1,$BA109)), 1, 0)</f>
        <v>1</v>
      </c>
      <c r="BC109" s="4">
        <f t="shared" si="657"/>
        <v>1</v>
      </c>
      <c r="BD109" s="4">
        <f t="shared" si="657"/>
        <v>1</v>
      </c>
      <c r="BE109" s="4">
        <f t="shared" si="657"/>
        <v>1</v>
      </c>
      <c r="BF109" s="4">
        <f t="shared" si="657"/>
        <v>1</v>
      </c>
      <c r="BG109" s="4">
        <f t="shared" si="657"/>
        <v>1</v>
      </c>
      <c r="BH109" s="4">
        <f t="shared" si="657"/>
        <v>0</v>
      </c>
      <c r="BI109" s="4">
        <f t="shared" si="657"/>
        <v>0</v>
      </c>
      <c r="BJ109" s="4">
        <f t="shared" si="657"/>
        <v>1</v>
      </c>
      <c r="BK109" s="4">
        <f t="shared" si="11"/>
        <v>7</v>
      </c>
      <c r="BM109" s="1" t="s">
        <v>166</v>
      </c>
      <c r="BN109" s="1" t="s">
        <v>72</v>
      </c>
      <c r="BO109" s="4">
        <f t="shared" ref="BO109:BU109" si="658">IF(ISNUMBER(SEARCH(BO$1,$BN109)), 1, 0)</f>
        <v>0</v>
      </c>
      <c r="BP109" s="4">
        <f t="shared" si="658"/>
        <v>0</v>
      </c>
      <c r="BQ109" s="4">
        <f t="shared" si="658"/>
        <v>0</v>
      </c>
      <c r="BR109" s="4">
        <f t="shared" si="658"/>
        <v>0</v>
      </c>
      <c r="BS109" s="4">
        <f t="shared" si="658"/>
        <v>0</v>
      </c>
      <c r="BT109" s="4">
        <f t="shared" si="658"/>
        <v>0</v>
      </c>
      <c r="BU109" s="4">
        <f t="shared" si="658"/>
        <v>1</v>
      </c>
      <c r="DC109" s="1" t="s">
        <v>180</v>
      </c>
    </row>
    <row r="110" spans="1:107" ht="15.75" customHeight="1" x14ac:dyDescent="0.25">
      <c r="A110" s="1" t="b">
        <v>1</v>
      </c>
      <c r="B110" s="3">
        <v>46151.224618055552</v>
      </c>
      <c r="C110" s="1" t="s">
        <v>239</v>
      </c>
      <c r="D110" s="1" t="s">
        <v>4</v>
      </c>
      <c r="E110" s="4">
        <f t="shared" ref="E110:K110" si="659">IF(ISNUMBER(SEARCH(E$1,$D110)), SEARCH(E$1,$D110), 0)</f>
        <v>1</v>
      </c>
      <c r="F110" s="4">
        <f t="shared" si="659"/>
        <v>0</v>
      </c>
      <c r="G110" s="4">
        <f t="shared" si="659"/>
        <v>0</v>
      </c>
      <c r="H110" s="4">
        <f t="shared" si="659"/>
        <v>0</v>
      </c>
      <c r="I110" s="4">
        <f t="shared" si="659"/>
        <v>0</v>
      </c>
      <c r="J110" s="4">
        <f t="shared" si="659"/>
        <v>0</v>
      </c>
      <c r="K110" s="4">
        <f t="shared" si="659"/>
        <v>0</v>
      </c>
      <c r="L110" s="4">
        <f t="shared" si="1"/>
        <v>1</v>
      </c>
      <c r="N110" s="1" t="s">
        <v>240</v>
      </c>
      <c r="O110" s="4">
        <f t="shared" ref="O110:T110" si="660">IF(ISNUMBER(SEARCH(O$1,$N110)), 1, 0)</f>
        <v>1</v>
      </c>
      <c r="P110" s="4">
        <f t="shared" si="660"/>
        <v>1</v>
      </c>
      <c r="Q110" s="4">
        <f t="shared" si="660"/>
        <v>1</v>
      </c>
      <c r="R110" s="4">
        <f t="shared" si="660"/>
        <v>1</v>
      </c>
      <c r="S110" s="4">
        <f t="shared" si="660"/>
        <v>0</v>
      </c>
      <c r="T110" s="4">
        <f t="shared" si="660"/>
        <v>0</v>
      </c>
      <c r="W110" s="1" t="str">
        <f t="shared" si="618"/>
        <v>False</v>
      </c>
      <c r="X110" s="1" t="str">
        <f t="shared" si="618"/>
        <v>False</v>
      </c>
      <c r="Y110" s="1" t="str">
        <f t="shared" si="618"/>
        <v>False</v>
      </c>
      <c r="Z110" s="1" t="str">
        <f t="shared" si="618"/>
        <v>False</v>
      </c>
      <c r="AA110" s="1" t="str">
        <f t="shared" si="618"/>
        <v>False</v>
      </c>
      <c r="AB110" s="1" t="s">
        <v>28</v>
      </c>
      <c r="AC110" s="4">
        <f t="shared" ref="AC110:AH110" si="661">IF(ISNUMBER(SEARCH(AC$1,$AB110)), 1, 0)</f>
        <v>1</v>
      </c>
      <c r="AD110" s="4">
        <f t="shared" si="661"/>
        <v>0</v>
      </c>
      <c r="AE110" s="4">
        <f t="shared" si="661"/>
        <v>0</v>
      </c>
      <c r="AF110" s="4">
        <f t="shared" si="661"/>
        <v>0</v>
      </c>
      <c r="AG110" s="4">
        <f t="shared" si="661"/>
        <v>0</v>
      </c>
      <c r="AH110" s="4">
        <f t="shared" si="661"/>
        <v>0</v>
      </c>
      <c r="AI110" s="1">
        <f t="shared" si="5"/>
        <v>1</v>
      </c>
      <c r="AK110" s="1" t="s">
        <v>241</v>
      </c>
      <c r="AL110" s="4">
        <f t="shared" ref="AL110:AS110" si="662">IF(ISNUMBER(SEARCH(AL$1,$AK110)), 1, 0)</f>
        <v>1</v>
      </c>
      <c r="AM110" s="4">
        <f t="shared" si="662"/>
        <v>1</v>
      </c>
      <c r="AN110" s="4">
        <f t="shared" si="662"/>
        <v>0</v>
      </c>
      <c r="AO110" s="4">
        <f t="shared" si="662"/>
        <v>1</v>
      </c>
      <c r="AP110" s="4">
        <f t="shared" si="662"/>
        <v>1</v>
      </c>
      <c r="AQ110" s="4">
        <f t="shared" si="662"/>
        <v>0</v>
      </c>
      <c r="AR110" s="4">
        <f t="shared" si="662"/>
        <v>0</v>
      </c>
      <c r="AS110" s="4">
        <f t="shared" si="662"/>
        <v>0</v>
      </c>
      <c r="AU110" s="1" t="s">
        <v>49</v>
      </c>
      <c r="AV110" s="1">
        <f t="shared" si="7"/>
        <v>0</v>
      </c>
      <c r="AW110" s="1">
        <f t="shared" si="8"/>
        <v>0</v>
      </c>
      <c r="AX110" s="1">
        <f t="shared" si="9"/>
        <v>1</v>
      </c>
      <c r="AY110" s="1" t="s">
        <v>48</v>
      </c>
      <c r="BA110" s="1" t="s">
        <v>61</v>
      </c>
      <c r="BB110" s="4">
        <f t="shared" ref="BB110:BJ110" si="663">IF(ISNUMBER(SEARCH(BB$1,$BA110)), 1, 0)</f>
        <v>0</v>
      </c>
      <c r="BC110" s="4">
        <f t="shared" si="663"/>
        <v>0</v>
      </c>
      <c r="BD110" s="4">
        <f t="shared" si="663"/>
        <v>0</v>
      </c>
      <c r="BE110" s="4">
        <f t="shared" si="663"/>
        <v>0</v>
      </c>
      <c r="BF110" s="4">
        <f t="shared" si="663"/>
        <v>0</v>
      </c>
      <c r="BG110" s="4">
        <f t="shared" si="663"/>
        <v>0</v>
      </c>
      <c r="BH110" s="4">
        <f t="shared" si="663"/>
        <v>0</v>
      </c>
      <c r="BI110" s="4">
        <f t="shared" si="663"/>
        <v>0</v>
      </c>
      <c r="BJ110" s="4">
        <f t="shared" si="663"/>
        <v>1</v>
      </c>
      <c r="BK110" s="4">
        <f t="shared" si="11"/>
        <v>1</v>
      </c>
      <c r="BM110" s="1" t="s">
        <v>166</v>
      </c>
      <c r="BN110" s="1" t="s">
        <v>72</v>
      </c>
      <c r="BO110" s="4">
        <f t="shared" ref="BO110:BU110" si="664">IF(ISNUMBER(SEARCH(BO$1,$BN110)), 1, 0)</f>
        <v>0</v>
      </c>
      <c r="BP110" s="4">
        <f t="shared" si="664"/>
        <v>0</v>
      </c>
      <c r="BQ110" s="4">
        <f t="shared" si="664"/>
        <v>0</v>
      </c>
      <c r="BR110" s="4">
        <f t="shared" si="664"/>
        <v>0</v>
      </c>
      <c r="BS110" s="4">
        <f t="shared" si="664"/>
        <v>0</v>
      </c>
      <c r="BT110" s="4">
        <f t="shared" si="664"/>
        <v>0</v>
      </c>
      <c r="BU110" s="4">
        <f t="shared" si="664"/>
        <v>1</v>
      </c>
    </row>
    <row r="111" spans="1:107" ht="15.75" customHeight="1" x14ac:dyDescent="0.25">
      <c r="A111" s="1" t="b">
        <v>1</v>
      </c>
      <c r="B111" s="3">
        <v>46161.002569444441</v>
      </c>
      <c r="C111" s="1" t="s">
        <v>421</v>
      </c>
      <c r="D111" s="1" t="s">
        <v>4</v>
      </c>
      <c r="E111" s="4">
        <f t="shared" ref="E111:K111" si="665">IF(ISNUMBER(SEARCH(E$1,$D111)), SEARCH(E$1,$D111), 0)</f>
        <v>1</v>
      </c>
      <c r="F111" s="4">
        <f t="shared" si="665"/>
        <v>0</v>
      </c>
      <c r="G111" s="4">
        <f t="shared" si="665"/>
        <v>0</v>
      </c>
      <c r="H111" s="4">
        <f t="shared" si="665"/>
        <v>0</v>
      </c>
      <c r="I111" s="4">
        <f t="shared" si="665"/>
        <v>0</v>
      </c>
      <c r="J111" s="4">
        <f t="shared" si="665"/>
        <v>0</v>
      </c>
      <c r="K111" s="4">
        <f t="shared" si="665"/>
        <v>0</v>
      </c>
      <c r="L111" s="4">
        <f t="shared" si="1"/>
        <v>1</v>
      </c>
      <c r="N111" s="1" t="s">
        <v>272</v>
      </c>
      <c r="O111" s="4">
        <f t="shared" ref="O111:T111" si="666">IF(ISNUMBER(SEARCH(O$1,$N111)), 1, 0)</f>
        <v>1</v>
      </c>
      <c r="P111" s="4">
        <f t="shared" si="666"/>
        <v>1</v>
      </c>
      <c r="Q111" s="4">
        <f t="shared" si="666"/>
        <v>1</v>
      </c>
      <c r="R111" s="4">
        <f t="shared" si="666"/>
        <v>1</v>
      </c>
      <c r="S111" s="4">
        <f t="shared" si="666"/>
        <v>1</v>
      </c>
      <c r="T111" s="4">
        <f t="shared" si="666"/>
        <v>0</v>
      </c>
      <c r="V111" s="1" t="s">
        <v>26</v>
      </c>
      <c r="W111" s="1" t="str">
        <f t="shared" si="618"/>
        <v>False</v>
      </c>
      <c r="X111" s="1" t="str">
        <f t="shared" si="618"/>
        <v>False</v>
      </c>
      <c r="Y111" s="1" t="str">
        <f t="shared" si="618"/>
        <v>False</v>
      </c>
      <c r="Z111" s="1" t="str">
        <f t="shared" si="618"/>
        <v>False</v>
      </c>
      <c r="AA111" s="1" t="str">
        <f t="shared" si="618"/>
        <v>True</v>
      </c>
      <c r="AB111" s="1" t="s">
        <v>28</v>
      </c>
      <c r="AC111" s="4">
        <f t="shared" ref="AC111:AH111" si="667">IF(ISNUMBER(SEARCH(AC$1,$AB111)), 1, 0)</f>
        <v>1</v>
      </c>
      <c r="AD111" s="4">
        <f t="shared" si="667"/>
        <v>0</v>
      </c>
      <c r="AE111" s="4">
        <f t="shared" si="667"/>
        <v>0</v>
      </c>
      <c r="AF111" s="4">
        <f t="shared" si="667"/>
        <v>0</v>
      </c>
      <c r="AG111" s="4">
        <f t="shared" si="667"/>
        <v>0</v>
      </c>
      <c r="AH111" s="4">
        <f t="shared" si="667"/>
        <v>0</v>
      </c>
      <c r="AI111" s="1">
        <f t="shared" si="5"/>
        <v>1</v>
      </c>
      <c r="AK111" s="1" t="s">
        <v>259</v>
      </c>
      <c r="AL111" s="4">
        <f t="shared" ref="AL111:AS111" si="668">IF(ISNUMBER(SEARCH(AL$1,$AK111)), 1, 0)</f>
        <v>1</v>
      </c>
      <c r="AM111" s="4">
        <f t="shared" si="668"/>
        <v>1</v>
      </c>
      <c r="AN111" s="4">
        <f t="shared" si="668"/>
        <v>0</v>
      </c>
      <c r="AO111" s="4">
        <f t="shared" si="668"/>
        <v>1</v>
      </c>
      <c r="AP111" s="4">
        <f t="shared" si="668"/>
        <v>0</v>
      </c>
      <c r="AQ111" s="4">
        <f t="shared" si="668"/>
        <v>0</v>
      </c>
      <c r="AR111" s="4">
        <f t="shared" si="668"/>
        <v>0</v>
      </c>
      <c r="AS111" s="4">
        <f t="shared" si="668"/>
        <v>0</v>
      </c>
      <c r="AU111" s="1" t="s">
        <v>47</v>
      </c>
      <c r="AV111" s="1">
        <f t="shared" si="7"/>
        <v>1</v>
      </c>
      <c r="AW111" s="1">
        <f t="shared" si="8"/>
        <v>0</v>
      </c>
      <c r="AX111" s="1">
        <f t="shared" si="9"/>
        <v>0</v>
      </c>
      <c r="AY111" s="1" t="s">
        <v>48</v>
      </c>
      <c r="BA111" s="1" t="s">
        <v>325</v>
      </c>
      <c r="BB111" s="4">
        <f t="shared" ref="BB111:BJ111" si="669">IF(ISNUMBER(SEARCH(BB$1,$BA111)), 1, 0)</f>
        <v>1</v>
      </c>
      <c r="BC111" s="4">
        <f t="shared" si="669"/>
        <v>1</v>
      </c>
      <c r="BD111" s="4">
        <f t="shared" si="669"/>
        <v>1</v>
      </c>
      <c r="BE111" s="4">
        <f t="shared" si="669"/>
        <v>0</v>
      </c>
      <c r="BF111" s="4">
        <f t="shared" si="669"/>
        <v>1</v>
      </c>
      <c r="BG111" s="4">
        <f t="shared" si="669"/>
        <v>0</v>
      </c>
      <c r="BH111" s="4">
        <f t="shared" si="669"/>
        <v>0</v>
      </c>
      <c r="BI111" s="4">
        <f t="shared" si="669"/>
        <v>0</v>
      </c>
      <c r="BJ111" s="4">
        <f t="shared" si="669"/>
        <v>1</v>
      </c>
      <c r="BK111" s="4">
        <f t="shared" si="11"/>
        <v>5</v>
      </c>
      <c r="BM111" s="1" t="s">
        <v>190</v>
      </c>
      <c r="BN111" s="1" t="s">
        <v>72</v>
      </c>
      <c r="BO111" s="4">
        <f t="shared" ref="BO111:BU111" si="670">IF(ISNUMBER(SEARCH(BO$1,$BN111)), 1, 0)</f>
        <v>0</v>
      </c>
      <c r="BP111" s="4">
        <f t="shared" si="670"/>
        <v>0</v>
      </c>
      <c r="BQ111" s="4">
        <f t="shared" si="670"/>
        <v>0</v>
      </c>
      <c r="BR111" s="4">
        <f t="shared" si="670"/>
        <v>0</v>
      </c>
      <c r="BS111" s="4">
        <f t="shared" si="670"/>
        <v>0</v>
      </c>
      <c r="BT111" s="4">
        <f t="shared" si="670"/>
        <v>0</v>
      </c>
      <c r="BU111" s="4">
        <f t="shared" si="670"/>
        <v>1</v>
      </c>
      <c r="DC111" s="1" t="s">
        <v>180</v>
      </c>
    </row>
    <row r="112" spans="1:107" ht="15.75" customHeight="1" x14ac:dyDescent="0.25">
      <c r="A112" s="1" t="b">
        <v>1</v>
      </c>
      <c r="B112" s="3">
        <v>46162.70171296296</v>
      </c>
      <c r="C112" s="1" t="s">
        <v>452</v>
      </c>
      <c r="D112" s="1" t="s">
        <v>4</v>
      </c>
      <c r="E112" s="4">
        <f t="shared" ref="E112:K112" si="671">IF(ISNUMBER(SEARCH(E$1,$D112)), SEARCH(E$1,$D112), 0)</f>
        <v>1</v>
      </c>
      <c r="F112" s="4">
        <f t="shared" si="671"/>
        <v>0</v>
      </c>
      <c r="G112" s="4">
        <f t="shared" si="671"/>
        <v>0</v>
      </c>
      <c r="H112" s="4">
        <f t="shared" si="671"/>
        <v>0</v>
      </c>
      <c r="I112" s="4">
        <f t="shared" si="671"/>
        <v>0</v>
      </c>
      <c r="J112" s="4">
        <f t="shared" si="671"/>
        <v>0</v>
      </c>
      <c r="K112" s="4">
        <f t="shared" si="671"/>
        <v>0</v>
      </c>
      <c r="L112" s="4">
        <f t="shared" si="1"/>
        <v>1</v>
      </c>
      <c r="N112" s="1" t="s">
        <v>208</v>
      </c>
      <c r="O112" s="4">
        <f t="shared" ref="O112:T112" si="672">IF(ISNUMBER(SEARCH(O$1,$N112)), 1, 0)</f>
        <v>1</v>
      </c>
      <c r="P112" s="4">
        <f t="shared" si="672"/>
        <v>1</v>
      </c>
      <c r="Q112" s="4">
        <f t="shared" si="672"/>
        <v>0</v>
      </c>
      <c r="R112" s="4">
        <f t="shared" si="672"/>
        <v>1</v>
      </c>
      <c r="S112" s="4">
        <f t="shared" si="672"/>
        <v>0</v>
      </c>
      <c r="T112" s="4">
        <f t="shared" si="672"/>
        <v>0</v>
      </c>
      <c r="V112" s="1" t="s">
        <v>23</v>
      </c>
      <c r="W112" s="1" t="str">
        <f t="shared" si="618"/>
        <v>False</v>
      </c>
      <c r="X112" s="1" t="str">
        <f t="shared" si="618"/>
        <v>True</v>
      </c>
      <c r="Y112" s="1" t="str">
        <f t="shared" si="618"/>
        <v>False</v>
      </c>
      <c r="Z112" s="1" t="str">
        <f t="shared" si="618"/>
        <v>False</v>
      </c>
      <c r="AA112" s="1" t="str">
        <f t="shared" si="618"/>
        <v>False</v>
      </c>
      <c r="AB112" s="1" t="s">
        <v>33</v>
      </c>
      <c r="AC112" s="4">
        <f t="shared" ref="AC112:AH112" si="673">IF(ISNUMBER(SEARCH(AC$1,$AB112)), 1, 0)</f>
        <v>0</v>
      </c>
      <c r="AD112" s="4">
        <f t="shared" si="673"/>
        <v>0</v>
      </c>
      <c r="AE112" s="4">
        <f t="shared" si="673"/>
        <v>0</v>
      </c>
      <c r="AF112" s="4">
        <f t="shared" si="673"/>
        <v>0</v>
      </c>
      <c r="AG112" s="4">
        <f t="shared" si="673"/>
        <v>0</v>
      </c>
      <c r="AH112" s="4">
        <f t="shared" si="673"/>
        <v>1</v>
      </c>
      <c r="AI112" s="1">
        <f t="shared" si="5"/>
        <v>1</v>
      </c>
      <c r="AK112" s="1" t="s">
        <v>453</v>
      </c>
      <c r="AL112" s="4">
        <f t="shared" ref="AL112:AS112" si="674">IF(ISNUMBER(SEARCH(AL$1,$AK112)), 1, 0)</f>
        <v>0</v>
      </c>
      <c r="AM112" s="4">
        <f t="shared" si="674"/>
        <v>1</v>
      </c>
      <c r="AN112" s="4">
        <f t="shared" si="674"/>
        <v>1</v>
      </c>
      <c r="AO112" s="4">
        <f t="shared" si="674"/>
        <v>0</v>
      </c>
      <c r="AP112" s="4">
        <f t="shared" si="674"/>
        <v>0</v>
      </c>
      <c r="AQ112" s="4">
        <f t="shared" si="674"/>
        <v>0</v>
      </c>
      <c r="AR112" s="4">
        <f t="shared" si="674"/>
        <v>0</v>
      </c>
      <c r="AS112" s="4">
        <f t="shared" si="674"/>
        <v>0</v>
      </c>
      <c r="AU112" s="1" t="s">
        <v>47</v>
      </c>
      <c r="AV112" s="1">
        <f t="shared" si="7"/>
        <v>1</v>
      </c>
      <c r="AW112" s="1">
        <f t="shared" si="8"/>
        <v>0</v>
      </c>
      <c r="AX112" s="1">
        <f t="shared" si="9"/>
        <v>0</v>
      </c>
      <c r="AY112" s="1" t="s">
        <v>48</v>
      </c>
      <c r="BA112" s="1" t="s">
        <v>454</v>
      </c>
      <c r="BB112" s="4">
        <f t="shared" ref="BB112:BJ112" si="675">IF(ISNUMBER(SEARCH(BB$1,$BA112)), 1, 0)</f>
        <v>0</v>
      </c>
      <c r="BC112" s="4">
        <f t="shared" si="675"/>
        <v>0</v>
      </c>
      <c r="BD112" s="4">
        <f t="shared" si="675"/>
        <v>1</v>
      </c>
      <c r="BE112" s="4">
        <f t="shared" si="675"/>
        <v>0</v>
      </c>
      <c r="BF112" s="4">
        <f t="shared" si="675"/>
        <v>1</v>
      </c>
      <c r="BG112" s="4">
        <f t="shared" si="675"/>
        <v>0</v>
      </c>
      <c r="BH112" s="4">
        <f t="shared" si="675"/>
        <v>0</v>
      </c>
      <c r="BI112" s="4">
        <f t="shared" si="675"/>
        <v>0</v>
      </c>
      <c r="BJ112" s="4">
        <f t="shared" si="675"/>
        <v>1</v>
      </c>
      <c r="BK112" s="4">
        <f t="shared" si="11"/>
        <v>3</v>
      </c>
      <c r="BM112" s="1" t="s">
        <v>232</v>
      </c>
      <c r="BN112" s="1" t="s">
        <v>70</v>
      </c>
      <c r="BO112" s="4">
        <f t="shared" ref="BO112:BU112" si="676">IF(ISNUMBER(SEARCH(BO$1,$BN112)), 1, 0)</f>
        <v>0</v>
      </c>
      <c r="BP112" s="4">
        <f t="shared" si="676"/>
        <v>0</v>
      </c>
      <c r="BQ112" s="4">
        <f t="shared" si="676"/>
        <v>0</v>
      </c>
      <c r="BR112" s="4">
        <f t="shared" si="676"/>
        <v>0</v>
      </c>
      <c r="BS112" s="4">
        <f t="shared" si="676"/>
        <v>1</v>
      </c>
      <c r="BT112" s="4">
        <f t="shared" si="676"/>
        <v>0</v>
      </c>
      <c r="BU112" s="4">
        <f t="shared" si="676"/>
        <v>0</v>
      </c>
      <c r="DC112" s="1" t="s">
        <v>180</v>
      </c>
    </row>
    <row r="113" spans="1:107" ht="15.75" customHeight="1" x14ac:dyDescent="0.25">
      <c r="A113" s="1" t="b">
        <v>1</v>
      </c>
      <c r="B113" s="3">
        <v>46164.705891203703</v>
      </c>
      <c r="C113" s="1" t="s">
        <v>535</v>
      </c>
      <c r="D113" s="1" t="s">
        <v>4</v>
      </c>
      <c r="E113" s="4">
        <f t="shared" ref="E113:K113" si="677">IF(ISNUMBER(SEARCH(E$1,$D113)), SEARCH(E$1,$D113), 0)</f>
        <v>1</v>
      </c>
      <c r="F113" s="4">
        <f t="shared" si="677"/>
        <v>0</v>
      </c>
      <c r="G113" s="4">
        <f t="shared" si="677"/>
        <v>0</v>
      </c>
      <c r="H113" s="4">
        <f t="shared" si="677"/>
        <v>0</v>
      </c>
      <c r="I113" s="4">
        <f t="shared" si="677"/>
        <v>0</v>
      </c>
      <c r="J113" s="4">
        <f t="shared" si="677"/>
        <v>0</v>
      </c>
      <c r="K113" s="4">
        <f t="shared" si="677"/>
        <v>0</v>
      </c>
      <c r="L113" s="4">
        <f t="shared" si="1"/>
        <v>1</v>
      </c>
      <c r="N113" s="1" t="s">
        <v>14</v>
      </c>
      <c r="O113" s="4">
        <f t="shared" ref="O113:T113" si="678">IF(ISNUMBER(SEARCH(O$1,$N113)), 1, 0)</f>
        <v>1</v>
      </c>
      <c r="P113" s="4">
        <f t="shared" si="678"/>
        <v>0</v>
      </c>
      <c r="Q113" s="4">
        <f t="shared" si="678"/>
        <v>0</v>
      </c>
      <c r="R113" s="4">
        <f t="shared" si="678"/>
        <v>0</v>
      </c>
      <c r="S113" s="4">
        <f t="shared" si="678"/>
        <v>0</v>
      </c>
      <c r="T113" s="4">
        <f t="shared" si="678"/>
        <v>0</v>
      </c>
      <c r="W113" s="1" t="str">
        <f t="shared" ref="W113:AA122" si="679">IF(W$1=$V113, "True", "False")</f>
        <v>False</v>
      </c>
      <c r="X113" s="1" t="str">
        <f t="shared" si="679"/>
        <v>False</v>
      </c>
      <c r="Y113" s="1" t="str">
        <f t="shared" si="679"/>
        <v>False</v>
      </c>
      <c r="Z113" s="1" t="str">
        <f t="shared" si="679"/>
        <v>False</v>
      </c>
      <c r="AA113" s="1" t="str">
        <f t="shared" si="679"/>
        <v>False</v>
      </c>
      <c r="AB113" s="1" t="s">
        <v>33</v>
      </c>
      <c r="AC113" s="4">
        <f t="shared" ref="AC113:AH113" si="680">IF(ISNUMBER(SEARCH(AC$1,$AB113)), 1, 0)</f>
        <v>0</v>
      </c>
      <c r="AD113" s="4">
        <f t="shared" si="680"/>
        <v>0</v>
      </c>
      <c r="AE113" s="4">
        <f t="shared" si="680"/>
        <v>0</v>
      </c>
      <c r="AF113" s="4">
        <f t="shared" si="680"/>
        <v>0</v>
      </c>
      <c r="AG113" s="4">
        <f t="shared" si="680"/>
        <v>0</v>
      </c>
      <c r="AH113" s="4">
        <f t="shared" si="680"/>
        <v>1</v>
      </c>
      <c r="AI113" s="1">
        <f t="shared" si="5"/>
        <v>1</v>
      </c>
      <c r="AK113" s="1" t="s">
        <v>38</v>
      </c>
      <c r="AL113" s="4">
        <f t="shared" ref="AL113:AS113" si="681">IF(ISNUMBER(SEARCH(AL$1,$AK113)), 1, 0)</f>
        <v>0</v>
      </c>
      <c r="AM113" s="4">
        <f t="shared" si="681"/>
        <v>1</v>
      </c>
      <c r="AN113" s="4">
        <f t="shared" si="681"/>
        <v>0</v>
      </c>
      <c r="AO113" s="4">
        <f t="shared" si="681"/>
        <v>0</v>
      </c>
      <c r="AP113" s="4">
        <f t="shared" si="681"/>
        <v>0</v>
      </c>
      <c r="AQ113" s="4">
        <f t="shared" si="681"/>
        <v>0</v>
      </c>
      <c r="AR113" s="4">
        <f t="shared" si="681"/>
        <v>0</v>
      </c>
      <c r="AS113" s="4">
        <f t="shared" si="681"/>
        <v>0</v>
      </c>
      <c r="AU113" s="1" t="s">
        <v>47</v>
      </c>
      <c r="AV113" s="1">
        <f t="shared" si="7"/>
        <v>1</v>
      </c>
      <c r="AW113" s="1">
        <f t="shared" si="8"/>
        <v>0</v>
      </c>
      <c r="AX113" s="1">
        <f t="shared" si="9"/>
        <v>0</v>
      </c>
      <c r="AY113" s="1" t="s">
        <v>48</v>
      </c>
      <c r="BA113" s="1" t="s">
        <v>61</v>
      </c>
      <c r="BB113" s="4">
        <f t="shared" ref="BB113:BJ113" si="682">IF(ISNUMBER(SEARCH(BB$1,$BA113)), 1, 0)</f>
        <v>0</v>
      </c>
      <c r="BC113" s="4">
        <f t="shared" si="682"/>
        <v>0</v>
      </c>
      <c r="BD113" s="4">
        <f t="shared" si="682"/>
        <v>0</v>
      </c>
      <c r="BE113" s="4">
        <f t="shared" si="682"/>
        <v>0</v>
      </c>
      <c r="BF113" s="4">
        <f t="shared" si="682"/>
        <v>0</v>
      </c>
      <c r="BG113" s="4">
        <f t="shared" si="682"/>
        <v>0</v>
      </c>
      <c r="BH113" s="4">
        <f t="shared" si="682"/>
        <v>0</v>
      </c>
      <c r="BI113" s="4">
        <f t="shared" si="682"/>
        <v>0</v>
      </c>
      <c r="BJ113" s="4">
        <f t="shared" si="682"/>
        <v>1</v>
      </c>
      <c r="BK113" s="4">
        <f t="shared" si="11"/>
        <v>1</v>
      </c>
      <c r="BM113" s="1" t="s">
        <v>190</v>
      </c>
      <c r="BN113" s="1" t="s">
        <v>72</v>
      </c>
      <c r="BO113" s="4">
        <f t="shared" ref="BO113:BU113" si="683">IF(ISNUMBER(SEARCH(BO$1,$BN113)), 1, 0)</f>
        <v>0</v>
      </c>
      <c r="BP113" s="4">
        <f t="shared" si="683"/>
        <v>0</v>
      </c>
      <c r="BQ113" s="4">
        <f t="shared" si="683"/>
        <v>0</v>
      </c>
      <c r="BR113" s="4">
        <f t="shared" si="683"/>
        <v>0</v>
      </c>
      <c r="BS113" s="4">
        <f t="shared" si="683"/>
        <v>0</v>
      </c>
      <c r="BT113" s="4">
        <f t="shared" si="683"/>
        <v>0</v>
      </c>
      <c r="BU113" s="4">
        <f t="shared" si="683"/>
        <v>1</v>
      </c>
      <c r="DC113" s="1" t="s">
        <v>180</v>
      </c>
    </row>
    <row r="114" spans="1:107" ht="15.75" customHeight="1" x14ac:dyDescent="0.25">
      <c r="A114" s="1" t="b">
        <v>1</v>
      </c>
      <c r="B114" s="3">
        <v>46170.076666666668</v>
      </c>
      <c r="C114" s="1" t="s">
        <v>753</v>
      </c>
      <c r="D114" s="1" t="s">
        <v>4</v>
      </c>
      <c r="E114" s="4">
        <f t="shared" ref="E114:K114" si="684">IF(ISNUMBER(SEARCH(E$1,$D114)), SEARCH(E$1,$D114), 0)</f>
        <v>1</v>
      </c>
      <c r="F114" s="4">
        <f t="shared" si="684"/>
        <v>0</v>
      </c>
      <c r="G114" s="4">
        <f t="shared" si="684"/>
        <v>0</v>
      </c>
      <c r="H114" s="4">
        <f t="shared" si="684"/>
        <v>0</v>
      </c>
      <c r="I114" s="4">
        <f t="shared" si="684"/>
        <v>0</v>
      </c>
      <c r="J114" s="4">
        <f t="shared" si="684"/>
        <v>0</v>
      </c>
      <c r="K114" s="4">
        <f t="shared" si="684"/>
        <v>0</v>
      </c>
      <c r="L114" s="4">
        <f t="shared" si="1"/>
        <v>1</v>
      </c>
      <c r="N114" s="1" t="s">
        <v>328</v>
      </c>
      <c r="O114" s="4">
        <f t="shared" ref="O114:T114" si="685">IF(ISNUMBER(SEARCH(O$1,$N114)), 1, 0)</f>
        <v>1</v>
      </c>
      <c r="P114" s="4">
        <f t="shared" si="685"/>
        <v>1</v>
      </c>
      <c r="Q114" s="4">
        <f t="shared" si="685"/>
        <v>1</v>
      </c>
      <c r="R114" s="4">
        <f t="shared" si="685"/>
        <v>0</v>
      </c>
      <c r="S114" s="4">
        <f t="shared" si="685"/>
        <v>0</v>
      </c>
      <c r="T114" s="4">
        <f t="shared" si="685"/>
        <v>0</v>
      </c>
      <c r="W114" s="1" t="str">
        <f t="shared" si="679"/>
        <v>False</v>
      </c>
      <c r="X114" s="1" t="str">
        <f t="shared" si="679"/>
        <v>False</v>
      </c>
      <c r="Y114" s="1" t="str">
        <f t="shared" si="679"/>
        <v>False</v>
      </c>
      <c r="Z114" s="1" t="str">
        <f t="shared" si="679"/>
        <v>False</v>
      </c>
      <c r="AA114" s="1" t="str">
        <f t="shared" si="679"/>
        <v>False</v>
      </c>
      <c r="AB114" s="1" t="s">
        <v>357</v>
      </c>
      <c r="AC114" s="4">
        <f t="shared" ref="AC114:AH114" si="686">IF(ISNUMBER(SEARCH(AC$1,$AB114)), 1, 0)</f>
        <v>1</v>
      </c>
      <c r="AD114" s="4">
        <f t="shared" si="686"/>
        <v>0</v>
      </c>
      <c r="AE114" s="4">
        <f t="shared" si="686"/>
        <v>0</v>
      </c>
      <c r="AF114" s="4">
        <f t="shared" si="686"/>
        <v>0</v>
      </c>
      <c r="AG114" s="4">
        <f t="shared" si="686"/>
        <v>0</v>
      </c>
      <c r="AH114" s="4">
        <f t="shared" si="686"/>
        <v>1</v>
      </c>
      <c r="AI114" s="1">
        <f t="shared" si="5"/>
        <v>2</v>
      </c>
      <c r="AK114" s="1" t="s">
        <v>38</v>
      </c>
      <c r="AL114" s="4">
        <f t="shared" ref="AL114:AS114" si="687">IF(ISNUMBER(SEARCH(AL$1,$AK114)), 1, 0)</f>
        <v>0</v>
      </c>
      <c r="AM114" s="4">
        <f t="shared" si="687"/>
        <v>1</v>
      </c>
      <c r="AN114" s="4">
        <f t="shared" si="687"/>
        <v>0</v>
      </c>
      <c r="AO114" s="4">
        <f t="shared" si="687"/>
        <v>0</v>
      </c>
      <c r="AP114" s="4">
        <f t="shared" si="687"/>
        <v>0</v>
      </c>
      <c r="AQ114" s="4">
        <f t="shared" si="687"/>
        <v>0</v>
      </c>
      <c r="AR114" s="4">
        <f t="shared" si="687"/>
        <v>0</v>
      </c>
      <c r="AS114" s="4">
        <f t="shared" si="687"/>
        <v>0</v>
      </c>
      <c r="AU114" s="1" t="s">
        <v>47</v>
      </c>
      <c r="AV114" s="1">
        <f t="shared" si="7"/>
        <v>1</v>
      </c>
      <c r="AW114" s="1">
        <f t="shared" si="8"/>
        <v>0</v>
      </c>
      <c r="AX114" s="1">
        <f t="shared" si="9"/>
        <v>0</v>
      </c>
      <c r="AY114" s="1" t="s">
        <v>48</v>
      </c>
      <c r="BA114" s="1" t="s">
        <v>339</v>
      </c>
      <c r="BB114" s="4">
        <f t="shared" ref="BB114:BJ114" si="688">IF(ISNUMBER(SEARCH(BB$1,$BA114)), 1, 0)</f>
        <v>0</v>
      </c>
      <c r="BC114" s="4">
        <f t="shared" si="688"/>
        <v>1</v>
      </c>
      <c r="BD114" s="4">
        <f t="shared" si="688"/>
        <v>1</v>
      </c>
      <c r="BE114" s="4">
        <f t="shared" si="688"/>
        <v>1</v>
      </c>
      <c r="BF114" s="4">
        <f t="shared" si="688"/>
        <v>0</v>
      </c>
      <c r="BG114" s="4">
        <f t="shared" si="688"/>
        <v>1</v>
      </c>
      <c r="BH114" s="4">
        <f t="shared" si="688"/>
        <v>0</v>
      </c>
      <c r="BI114" s="4">
        <f t="shared" si="688"/>
        <v>0</v>
      </c>
      <c r="BJ114" s="4">
        <f t="shared" si="688"/>
        <v>1</v>
      </c>
      <c r="BK114" s="4">
        <f t="shared" si="11"/>
        <v>5</v>
      </c>
      <c r="BM114" s="1" t="s">
        <v>232</v>
      </c>
      <c r="BN114" s="1" t="s">
        <v>72</v>
      </c>
      <c r="BO114" s="4">
        <f t="shared" ref="BO114:BU114" si="689">IF(ISNUMBER(SEARCH(BO$1,$BN114)), 1, 0)</f>
        <v>0</v>
      </c>
      <c r="BP114" s="4">
        <f t="shared" si="689"/>
        <v>0</v>
      </c>
      <c r="BQ114" s="4">
        <f t="shared" si="689"/>
        <v>0</v>
      </c>
      <c r="BR114" s="4">
        <f t="shared" si="689"/>
        <v>0</v>
      </c>
      <c r="BS114" s="4">
        <f t="shared" si="689"/>
        <v>0</v>
      </c>
      <c r="BT114" s="4">
        <f t="shared" si="689"/>
        <v>0</v>
      </c>
      <c r="BU114" s="4">
        <f t="shared" si="689"/>
        <v>1</v>
      </c>
      <c r="DC114" s="1" t="s">
        <v>238</v>
      </c>
    </row>
    <row r="115" spans="1:107" ht="15.75" customHeight="1" x14ac:dyDescent="0.25">
      <c r="A115" s="1" t="b">
        <v>1</v>
      </c>
      <c r="B115" s="3">
        <v>46149.844108796293</v>
      </c>
      <c r="C115" s="1" t="s">
        <v>181</v>
      </c>
      <c r="D115" s="1" t="s">
        <v>4</v>
      </c>
      <c r="E115" s="4">
        <f t="shared" ref="E115:K115" si="690">IF(ISNUMBER(SEARCH(E$1,$D115)), SEARCH(E$1,$D115), 0)</f>
        <v>1</v>
      </c>
      <c r="F115" s="4">
        <f t="shared" si="690"/>
        <v>0</v>
      </c>
      <c r="G115" s="4">
        <f t="shared" si="690"/>
        <v>0</v>
      </c>
      <c r="H115" s="4">
        <f t="shared" si="690"/>
        <v>0</v>
      </c>
      <c r="I115" s="4">
        <f t="shared" si="690"/>
        <v>0</v>
      </c>
      <c r="J115" s="4">
        <f t="shared" si="690"/>
        <v>0</v>
      </c>
      <c r="K115" s="4">
        <f t="shared" si="690"/>
        <v>0</v>
      </c>
      <c r="L115" s="4">
        <f t="shared" si="1"/>
        <v>1</v>
      </c>
      <c r="N115" s="1" t="s">
        <v>182</v>
      </c>
      <c r="O115" s="4">
        <f t="shared" ref="O115:T115" si="691">IF(ISNUMBER(SEARCH(O$1,$N115)), 1, 0)</f>
        <v>1</v>
      </c>
      <c r="P115" s="4">
        <f t="shared" si="691"/>
        <v>0</v>
      </c>
      <c r="Q115" s="4">
        <f t="shared" si="691"/>
        <v>0</v>
      </c>
      <c r="R115" s="4">
        <f t="shared" si="691"/>
        <v>0</v>
      </c>
      <c r="S115" s="4">
        <f t="shared" si="691"/>
        <v>1</v>
      </c>
      <c r="T115" s="4">
        <f t="shared" si="691"/>
        <v>0</v>
      </c>
      <c r="V115" s="1" t="s">
        <v>22</v>
      </c>
      <c r="W115" s="1" t="str">
        <f t="shared" si="679"/>
        <v>True</v>
      </c>
      <c r="X115" s="1" t="str">
        <f t="shared" si="679"/>
        <v>False</v>
      </c>
      <c r="Y115" s="1" t="str">
        <f t="shared" si="679"/>
        <v>False</v>
      </c>
      <c r="Z115" s="1" t="str">
        <f t="shared" si="679"/>
        <v>False</v>
      </c>
      <c r="AA115" s="1" t="str">
        <f t="shared" si="679"/>
        <v>False</v>
      </c>
      <c r="AB115" s="1" t="s">
        <v>183</v>
      </c>
      <c r="AC115" s="4">
        <f t="shared" ref="AC115:AH115" si="692">IF(ISNUMBER(SEARCH(AC$1,$AB115)), 1, 0)</f>
        <v>0</v>
      </c>
      <c r="AD115" s="4">
        <f t="shared" si="692"/>
        <v>0</v>
      </c>
      <c r="AE115" s="4">
        <f t="shared" si="692"/>
        <v>0</v>
      </c>
      <c r="AF115" s="4">
        <f t="shared" si="692"/>
        <v>0</v>
      </c>
      <c r="AG115" s="4">
        <f t="shared" si="692"/>
        <v>0</v>
      </c>
      <c r="AH115" s="4">
        <f t="shared" si="692"/>
        <v>0</v>
      </c>
      <c r="AI115" s="1">
        <f t="shared" si="5"/>
        <v>0</v>
      </c>
      <c r="AJ115" s="1" t="s">
        <v>184</v>
      </c>
      <c r="AK115" s="1" t="s">
        <v>38</v>
      </c>
      <c r="AL115" s="4">
        <f t="shared" ref="AL115:AS115" si="693">IF(ISNUMBER(SEARCH(AL$1,$AK115)), 1, 0)</f>
        <v>0</v>
      </c>
      <c r="AM115" s="4">
        <f t="shared" si="693"/>
        <v>1</v>
      </c>
      <c r="AN115" s="4">
        <f t="shared" si="693"/>
        <v>0</v>
      </c>
      <c r="AO115" s="4">
        <f t="shared" si="693"/>
        <v>0</v>
      </c>
      <c r="AP115" s="4">
        <f t="shared" si="693"/>
        <v>0</v>
      </c>
      <c r="AQ115" s="4">
        <f t="shared" si="693"/>
        <v>0</v>
      </c>
      <c r="AR115" s="4">
        <f t="shared" si="693"/>
        <v>0</v>
      </c>
      <c r="AS115" s="4">
        <f t="shared" si="693"/>
        <v>0</v>
      </c>
      <c r="AU115" s="1" t="s">
        <v>47</v>
      </c>
      <c r="AV115" s="1">
        <f t="shared" si="7"/>
        <v>1</v>
      </c>
      <c r="AW115" s="1">
        <f t="shared" si="8"/>
        <v>0</v>
      </c>
      <c r="AX115" s="1">
        <f t="shared" si="9"/>
        <v>0</v>
      </c>
      <c r="AY115" s="1" t="s">
        <v>48</v>
      </c>
      <c r="BA115" s="1" t="s">
        <v>185</v>
      </c>
      <c r="BB115" s="4">
        <f t="shared" ref="BB115:BJ115" si="694">IF(ISNUMBER(SEARCH(BB$1,$BA115)), 1, 0)</f>
        <v>0</v>
      </c>
      <c r="BC115" s="4">
        <f t="shared" si="694"/>
        <v>1</v>
      </c>
      <c r="BD115" s="4">
        <f t="shared" si="694"/>
        <v>0</v>
      </c>
      <c r="BE115" s="4">
        <f t="shared" si="694"/>
        <v>1</v>
      </c>
      <c r="BF115" s="4">
        <f t="shared" si="694"/>
        <v>0</v>
      </c>
      <c r="BG115" s="4">
        <f t="shared" si="694"/>
        <v>0</v>
      </c>
      <c r="BH115" s="4">
        <f t="shared" si="694"/>
        <v>0</v>
      </c>
      <c r="BI115" s="4">
        <f t="shared" si="694"/>
        <v>0</v>
      </c>
      <c r="BJ115" s="4">
        <f t="shared" si="694"/>
        <v>1</v>
      </c>
      <c r="BK115" s="4">
        <f t="shared" si="11"/>
        <v>3</v>
      </c>
      <c r="BM115" s="1" t="s">
        <v>166</v>
      </c>
      <c r="BN115" s="1" t="s">
        <v>71</v>
      </c>
      <c r="BO115" s="4">
        <f t="shared" ref="BO115:BU115" si="695">IF(ISNUMBER(SEARCH(BO$1,$BN115)), 1, 0)</f>
        <v>0</v>
      </c>
      <c r="BP115" s="4">
        <f t="shared" si="695"/>
        <v>0</v>
      </c>
      <c r="BQ115" s="4">
        <f t="shared" si="695"/>
        <v>0</v>
      </c>
      <c r="BR115" s="4">
        <f t="shared" si="695"/>
        <v>0</v>
      </c>
      <c r="BS115" s="4">
        <f t="shared" si="695"/>
        <v>0</v>
      </c>
      <c r="BT115" s="4">
        <f t="shared" si="695"/>
        <v>1</v>
      </c>
      <c r="BU115" s="4">
        <f t="shared" si="695"/>
        <v>0</v>
      </c>
      <c r="DC115" s="1" t="s">
        <v>180</v>
      </c>
    </row>
    <row r="116" spans="1:107" ht="15.75" customHeight="1" x14ac:dyDescent="0.25">
      <c r="A116" s="1" t="b">
        <v>1</v>
      </c>
      <c r="B116" s="3">
        <v>46152.914687500001</v>
      </c>
      <c r="C116" s="1" t="s">
        <v>303</v>
      </c>
      <c r="D116" s="1" t="s">
        <v>4</v>
      </c>
      <c r="E116" s="4">
        <f t="shared" ref="E116:K116" si="696">IF(ISNUMBER(SEARCH(E$1,$D116)), SEARCH(E$1,$D116), 0)</f>
        <v>1</v>
      </c>
      <c r="F116" s="4">
        <f t="shared" si="696"/>
        <v>0</v>
      </c>
      <c r="G116" s="4">
        <f t="shared" si="696"/>
        <v>0</v>
      </c>
      <c r="H116" s="4">
        <f t="shared" si="696"/>
        <v>0</v>
      </c>
      <c r="I116" s="4">
        <f t="shared" si="696"/>
        <v>0</v>
      </c>
      <c r="J116" s="4">
        <f t="shared" si="696"/>
        <v>0</v>
      </c>
      <c r="K116" s="4">
        <f t="shared" si="696"/>
        <v>0</v>
      </c>
      <c r="L116" s="4">
        <f t="shared" si="1"/>
        <v>1</v>
      </c>
      <c r="N116" s="1" t="s">
        <v>294</v>
      </c>
      <c r="O116" s="4">
        <f t="shared" ref="O116:T116" si="697">IF(ISNUMBER(SEARCH(O$1,$N116)), 1, 0)</f>
        <v>1</v>
      </c>
      <c r="P116" s="4">
        <f t="shared" si="697"/>
        <v>1</v>
      </c>
      <c r="Q116" s="4">
        <f t="shared" si="697"/>
        <v>0</v>
      </c>
      <c r="R116" s="4">
        <f t="shared" si="697"/>
        <v>0</v>
      </c>
      <c r="S116" s="4">
        <f t="shared" si="697"/>
        <v>0</v>
      </c>
      <c r="T116" s="4">
        <f t="shared" si="697"/>
        <v>0</v>
      </c>
      <c r="V116" s="1" t="s">
        <v>22</v>
      </c>
      <c r="W116" s="1" t="str">
        <f t="shared" si="679"/>
        <v>True</v>
      </c>
      <c r="X116" s="1" t="str">
        <f t="shared" si="679"/>
        <v>False</v>
      </c>
      <c r="Y116" s="1" t="str">
        <f t="shared" si="679"/>
        <v>False</v>
      </c>
      <c r="Z116" s="1" t="str">
        <f t="shared" si="679"/>
        <v>False</v>
      </c>
      <c r="AA116" s="1" t="str">
        <f t="shared" si="679"/>
        <v>False</v>
      </c>
      <c r="AC116" s="4">
        <f t="shared" ref="AC116:AH116" si="698">IF(ISNUMBER(SEARCH(AC$1,$AB116)), 1, 0)</f>
        <v>0</v>
      </c>
      <c r="AD116" s="4">
        <f t="shared" si="698"/>
        <v>0</v>
      </c>
      <c r="AE116" s="4">
        <f t="shared" si="698"/>
        <v>0</v>
      </c>
      <c r="AF116" s="4">
        <f t="shared" si="698"/>
        <v>0</v>
      </c>
      <c r="AG116" s="4">
        <f t="shared" si="698"/>
        <v>0</v>
      </c>
      <c r="AH116" s="4">
        <f t="shared" si="698"/>
        <v>0</v>
      </c>
      <c r="AI116" s="1">
        <f t="shared" si="5"/>
        <v>0</v>
      </c>
      <c r="AK116" s="1" t="s">
        <v>38</v>
      </c>
      <c r="AL116" s="4">
        <f t="shared" ref="AL116:AS116" si="699">IF(ISNUMBER(SEARCH(AL$1,$AK116)), 1, 0)</f>
        <v>0</v>
      </c>
      <c r="AM116" s="4">
        <f t="shared" si="699"/>
        <v>1</v>
      </c>
      <c r="AN116" s="4">
        <f t="shared" si="699"/>
        <v>0</v>
      </c>
      <c r="AO116" s="4">
        <f t="shared" si="699"/>
        <v>0</v>
      </c>
      <c r="AP116" s="4">
        <f t="shared" si="699"/>
        <v>0</v>
      </c>
      <c r="AQ116" s="4">
        <f t="shared" si="699"/>
        <v>0</v>
      </c>
      <c r="AR116" s="4">
        <f t="shared" si="699"/>
        <v>0</v>
      </c>
      <c r="AS116" s="4">
        <f t="shared" si="699"/>
        <v>0</v>
      </c>
      <c r="AU116" s="1" t="s">
        <v>47</v>
      </c>
      <c r="AV116" s="1">
        <f t="shared" si="7"/>
        <v>1</v>
      </c>
      <c r="AW116" s="1">
        <f t="shared" si="8"/>
        <v>0</v>
      </c>
      <c r="AX116" s="1">
        <f t="shared" si="9"/>
        <v>0</v>
      </c>
      <c r="AY116" s="1" t="s">
        <v>47</v>
      </c>
      <c r="AZ116" s="1" t="s">
        <v>47</v>
      </c>
      <c r="BA116" s="1" t="s">
        <v>61</v>
      </c>
      <c r="BB116" s="4">
        <f t="shared" ref="BB116:BJ116" si="700">IF(ISNUMBER(SEARCH(BB$1,$BA116)), 1, 0)</f>
        <v>0</v>
      </c>
      <c r="BC116" s="4">
        <f t="shared" si="700"/>
        <v>0</v>
      </c>
      <c r="BD116" s="4">
        <f t="shared" si="700"/>
        <v>0</v>
      </c>
      <c r="BE116" s="4">
        <f t="shared" si="700"/>
        <v>0</v>
      </c>
      <c r="BF116" s="4">
        <f t="shared" si="700"/>
        <v>0</v>
      </c>
      <c r="BG116" s="4">
        <f t="shared" si="700"/>
        <v>0</v>
      </c>
      <c r="BH116" s="4">
        <f t="shared" si="700"/>
        <v>0</v>
      </c>
      <c r="BI116" s="4">
        <f t="shared" si="700"/>
        <v>0</v>
      </c>
      <c r="BJ116" s="4">
        <f t="shared" si="700"/>
        <v>1</v>
      </c>
      <c r="BK116" s="4">
        <f t="shared" si="11"/>
        <v>1</v>
      </c>
      <c r="BO116" s="4">
        <f t="shared" ref="BO116:BU116" si="701">IF(ISNUMBER(SEARCH(BO$1,$BN116)), 1, 0)</f>
        <v>0</v>
      </c>
      <c r="BP116" s="4">
        <f t="shared" si="701"/>
        <v>0</v>
      </c>
      <c r="BQ116" s="4">
        <f t="shared" si="701"/>
        <v>0</v>
      </c>
      <c r="BR116" s="4">
        <f t="shared" si="701"/>
        <v>0</v>
      </c>
      <c r="BS116" s="4">
        <f t="shared" si="701"/>
        <v>0</v>
      </c>
      <c r="BT116" s="4">
        <f t="shared" si="701"/>
        <v>0</v>
      </c>
      <c r="BU116" s="4">
        <f t="shared" si="701"/>
        <v>0</v>
      </c>
    </row>
    <row r="117" spans="1:107" ht="15.75" customHeight="1" x14ac:dyDescent="0.25">
      <c r="A117" s="1" t="b">
        <v>1</v>
      </c>
      <c r="B117" s="3">
        <v>46165.503668981481</v>
      </c>
      <c r="C117" s="1" t="s">
        <v>621</v>
      </c>
      <c r="D117" s="1" t="s">
        <v>4</v>
      </c>
      <c r="E117" s="4">
        <f t="shared" ref="E117:K117" si="702">IF(ISNUMBER(SEARCH(E$1,$D117)), SEARCH(E$1,$D117), 0)</f>
        <v>1</v>
      </c>
      <c r="F117" s="4">
        <f t="shared" si="702"/>
        <v>0</v>
      </c>
      <c r="G117" s="4">
        <f t="shared" si="702"/>
        <v>0</v>
      </c>
      <c r="H117" s="4">
        <f t="shared" si="702"/>
        <v>0</v>
      </c>
      <c r="I117" s="4">
        <f t="shared" si="702"/>
        <v>0</v>
      </c>
      <c r="J117" s="4">
        <f t="shared" si="702"/>
        <v>0</v>
      </c>
      <c r="K117" s="4">
        <f t="shared" si="702"/>
        <v>0</v>
      </c>
      <c r="L117" s="4">
        <f t="shared" si="1"/>
        <v>1</v>
      </c>
      <c r="N117" s="1" t="s">
        <v>17</v>
      </c>
      <c r="O117" s="4">
        <f t="shared" ref="O117:T117" si="703">IF(ISNUMBER(SEARCH(O$1,$N117)), 1, 0)</f>
        <v>0</v>
      </c>
      <c r="P117" s="4">
        <f t="shared" si="703"/>
        <v>0</v>
      </c>
      <c r="Q117" s="4">
        <f t="shared" si="703"/>
        <v>0</v>
      </c>
      <c r="R117" s="4">
        <f t="shared" si="703"/>
        <v>1</v>
      </c>
      <c r="S117" s="4">
        <f t="shared" si="703"/>
        <v>0</v>
      </c>
      <c r="T117" s="4">
        <f t="shared" si="703"/>
        <v>0</v>
      </c>
      <c r="V117" s="1" t="s">
        <v>23</v>
      </c>
      <c r="W117" s="1" t="str">
        <f t="shared" si="679"/>
        <v>False</v>
      </c>
      <c r="X117" s="1" t="str">
        <f t="shared" si="679"/>
        <v>True</v>
      </c>
      <c r="Y117" s="1" t="str">
        <f t="shared" si="679"/>
        <v>False</v>
      </c>
      <c r="Z117" s="1" t="str">
        <f t="shared" si="679"/>
        <v>False</v>
      </c>
      <c r="AA117" s="1" t="str">
        <f t="shared" si="679"/>
        <v>False</v>
      </c>
      <c r="AB117" s="1" t="s">
        <v>183</v>
      </c>
      <c r="AC117" s="4">
        <f t="shared" ref="AC117:AH117" si="704">IF(ISNUMBER(SEARCH(AC$1,$AB117)), 1, 0)</f>
        <v>0</v>
      </c>
      <c r="AD117" s="4">
        <f t="shared" si="704"/>
        <v>0</v>
      </c>
      <c r="AE117" s="4">
        <f t="shared" si="704"/>
        <v>0</v>
      </c>
      <c r="AF117" s="4">
        <f t="shared" si="704"/>
        <v>0</v>
      </c>
      <c r="AG117" s="4">
        <f t="shared" si="704"/>
        <v>0</v>
      </c>
      <c r="AH117" s="4">
        <f t="shared" si="704"/>
        <v>0</v>
      </c>
      <c r="AI117" s="1">
        <f t="shared" si="5"/>
        <v>0</v>
      </c>
      <c r="AJ117" s="1" t="s">
        <v>402</v>
      </c>
      <c r="AK117" s="1" t="s">
        <v>38</v>
      </c>
      <c r="AL117" s="4">
        <f t="shared" ref="AL117:AS117" si="705">IF(ISNUMBER(SEARCH(AL$1,$AK117)), 1, 0)</f>
        <v>0</v>
      </c>
      <c r="AM117" s="4">
        <f t="shared" si="705"/>
        <v>1</v>
      </c>
      <c r="AN117" s="4">
        <f t="shared" si="705"/>
        <v>0</v>
      </c>
      <c r="AO117" s="4">
        <f t="shared" si="705"/>
        <v>0</v>
      </c>
      <c r="AP117" s="4">
        <f t="shared" si="705"/>
        <v>0</v>
      </c>
      <c r="AQ117" s="4">
        <f t="shared" si="705"/>
        <v>0</v>
      </c>
      <c r="AR117" s="4">
        <f t="shared" si="705"/>
        <v>0</v>
      </c>
      <c r="AS117" s="4">
        <f t="shared" si="705"/>
        <v>0</v>
      </c>
      <c r="AU117" s="1" t="s">
        <v>49</v>
      </c>
      <c r="AV117" s="1">
        <f t="shared" si="7"/>
        <v>0</v>
      </c>
      <c r="AW117" s="1">
        <f t="shared" si="8"/>
        <v>0</v>
      </c>
      <c r="AX117" s="1">
        <f t="shared" si="9"/>
        <v>1</v>
      </c>
      <c r="AY117" s="1" t="s">
        <v>48</v>
      </c>
      <c r="BA117" s="1" t="s">
        <v>61</v>
      </c>
      <c r="BB117" s="4">
        <f t="shared" ref="BB117:BJ117" si="706">IF(ISNUMBER(SEARCH(BB$1,$BA117)), 1, 0)</f>
        <v>0</v>
      </c>
      <c r="BC117" s="4">
        <f t="shared" si="706"/>
        <v>0</v>
      </c>
      <c r="BD117" s="4">
        <f t="shared" si="706"/>
        <v>0</v>
      </c>
      <c r="BE117" s="4">
        <f t="shared" si="706"/>
        <v>0</v>
      </c>
      <c r="BF117" s="4">
        <f t="shared" si="706"/>
        <v>0</v>
      </c>
      <c r="BG117" s="4">
        <f t="shared" si="706"/>
        <v>0</v>
      </c>
      <c r="BH117" s="4">
        <f t="shared" si="706"/>
        <v>0</v>
      </c>
      <c r="BI117" s="4">
        <f t="shared" si="706"/>
        <v>0</v>
      </c>
      <c r="BJ117" s="4">
        <f t="shared" si="706"/>
        <v>1</v>
      </c>
      <c r="BK117" s="4">
        <f t="shared" si="11"/>
        <v>1</v>
      </c>
      <c r="BM117" s="1" t="s">
        <v>232</v>
      </c>
      <c r="BN117" s="1" t="s">
        <v>70</v>
      </c>
      <c r="BO117" s="4">
        <f t="shared" ref="BO117:BU117" si="707">IF(ISNUMBER(SEARCH(BO$1,$BN117)), 1, 0)</f>
        <v>0</v>
      </c>
      <c r="BP117" s="4">
        <f t="shared" si="707"/>
        <v>0</v>
      </c>
      <c r="BQ117" s="4">
        <f t="shared" si="707"/>
        <v>0</v>
      </c>
      <c r="BR117" s="4">
        <f t="shared" si="707"/>
        <v>0</v>
      </c>
      <c r="BS117" s="4">
        <f t="shared" si="707"/>
        <v>1</v>
      </c>
      <c r="BT117" s="4">
        <f t="shared" si="707"/>
        <v>0</v>
      </c>
      <c r="BU117" s="4">
        <f t="shared" si="707"/>
        <v>0</v>
      </c>
      <c r="DC117" s="1" t="s">
        <v>180</v>
      </c>
    </row>
    <row r="118" spans="1:107" ht="15.75" customHeight="1" x14ac:dyDescent="0.25">
      <c r="A118" s="1" t="b">
        <v>1</v>
      </c>
      <c r="B118" s="3">
        <v>46167.119490740741</v>
      </c>
      <c r="C118" s="1" t="s">
        <v>674</v>
      </c>
      <c r="D118" s="1" t="s">
        <v>4</v>
      </c>
      <c r="E118" s="4">
        <f t="shared" ref="E118:K118" si="708">IF(ISNUMBER(SEARCH(E$1,$D118)), SEARCH(E$1,$D118), 0)</f>
        <v>1</v>
      </c>
      <c r="F118" s="4">
        <f t="shared" si="708"/>
        <v>0</v>
      </c>
      <c r="G118" s="4">
        <f t="shared" si="708"/>
        <v>0</v>
      </c>
      <c r="H118" s="4">
        <f t="shared" si="708"/>
        <v>0</v>
      </c>
      <c r="I118" s="4">
        <f t="shared" si="708"/>
        <v>0</v>
      </c>
      <c r="J118" s="4">
        <f t="shared" si="708"/>
        <v>0</v>
      </c>
      <c r="K118" s="4">
        <f t="shared" si="708"/>
        <v>0</v>
      </c>
      <c r="L118" s="4">
        <f t="shared" si="1"/>
        <v>1</v>
      </c>
      <c r="N118" s="1" t="s">
        <v>14</v>
      </c>
      <c r="O118" s="4">
        <f t="shared" ref="O118:T118" si="709">IF(ISNUMBER(SEARCH(O$1,$N118)), 1, 0)</f>
        <v>1</v>
      </c>
      <c r="P118" s="4">
        <f t="shared" si="709"/>
        <v>0</v>
      </c>
      <c r="Q118" s="4">
        <f t="shared" si="709"/>
        <v>0</v>
      </c>
      <c r="R118" s="4">
        <f t="shared" si="709"/>
        <v>0</v>
      </c>
      <c r="S118" s="4">
        <f t="shared" si="709"/>
        <v>0</v>
      </c>
      <c r="T118" s="4">
        <f t="shared" si="709"/>
        <v>0</v>
      </c>
      <c r="W118" s="1" t="str">
        <f t="shared" si="679"/>
        <v>False</v>
      </c>
      <c r="X118" s="1" t="str">
        <f t="shared" si="679"/>
        <v>False</v>
      </c>
      <c r="Y118" s="1" t="str">
        <f t="shared" si="679"/>
        <v>False</v>
      </c>
      <c r="Z118" s="1" t="str">
        <f t="shared" si="679"/>
        <v>False</v>
      </c>
      <c r="AA118" s="1" t="str">
        <f t="shared" si="679"/>
        <v>False</v>
      </c>
      <c r="AB118" s="1" t="s">
        <v>31</v>
      </c>
      <c r="AC118" s="4">
        <f t="shared" ref="AC118:AH118" si="710">IF(ISNUMBER(SEARCH(AC$1,$AB118)), 1, 0)</f>
        <v>0</v>
      </c>
      <c r="AD118" s="4">
        <f t="shared" si="710"/>
        <v>0</v>
      </c>
      <c r="AE118" s="4">
        <f t="shared" si="710"/>
        <v>0</v>
      </c>
      <c r="AF118" s="4">
        <f t="shared" si="710"/>
        <v>1</v>
      </c>
      <c r="AG118" s="4">
        <f t="shared" si="710"/>
        <v>0</v>
      </c>
      <c r="AH118" s="4">
        <f t="shared" si="710"/>
        <v>0</v>
      </c>
      <c r="AI118" s="1">
        <f t="shared" si="5"/>
        <v>1</v>
      </c>
      <c r="AK118" s="1" t="s">
        <v>38</v>
      </c>
      <c r="AL118" s="4">
        <f t="shared" ref="AL118:AS118" si="711">IF(ISNUMBER(SEARCH(AL$1,$AK118)), 1, 0)</f>
        <v>0</v>
      </c>
      <c r="AM118" s="4">
        <f t="shared" si="711"/>
        <v>1</v>
      </c>
      <c r="AN118" s="4">
        <f t="shared" si="711"/>
        <v>0</v>
      </c>
      <c r="AO118" s="4">
        <f t="shared" si="711"/>
        <v>0</v>
      </c>
      <c r="AP118" s="4">
        <f t="shared" si="711"/>
        <v>0</v>
      </c>
      <c r="AQ118" s="4">
        <f t="shared" si="711"/>
        <v>0</v>
      </c>
      <c r="AR118" s="4">
        <f t="shared" si="711"/>
        <v>0</v>
      </c>
      <c r="AS118" s="4">
        <f t="shared" si="711"/>
        <v>0</v>
      </c>
      <c r="AU118" s="1" t="s">
        <v>47</v>
      </c>
      <c r="AV118" s="1">
        <f t="shared" si="7"/>
        <v>1</v>
      </c>
      <c r="AW118" s="1">
        <f t="shared" si="8"/>
        <v>0</v>
      </c>
      <c r="AX118" s="1">
        <f t="shared" si="9"/>
        <v>0</v>
      </c>
      <c r="AY118" s="1" t="s">
        <v>48</v>
      </c>
      <c r="BA118" s="1" t="s">
        <v>61</v>
      </c>
      <c r="BB118" s="4">
        <f t="shared" ref="BB118:BJ118" si="712">IF(ISNUMBER(SEARCH(BB$1,$BA118)), 1, 0)</f>
        <v>0</v>
      </c>
      <c r="BC118" s="4">
        <f t="shared" si="712"/>
        <v>0</v>
      </c>
      <c r="BD118" s="4">
        <f t="shared" si="712"/>
        <v>0</v>
      </c>
      <c r="BE118" s="4">
        <f t="shared" si="712"/>
        <v>0</v>
      </c>
      <c r="BF118" s="4">
        <f t="shared" si="712"/>
        <v>0</v>
      </c>
      <c r="BG118" s="4">
        <f t="shared" si="712"/>
        <v>0</v>
      </c>
      <c r="BH118" s="4">
        <f t="shared" si="712"/>
        <v>0</v>
      </c>
      <c r="BI118" s="4">
        <f t="shared" si="712"/>
        <v>0</v>
      </c>
      <c r="BJ118" s="4">
        <f t="shared" si="712"/>
        <v>1</v>
      </c>
      <c r="BK118" s="4">
        <f t="shared" si="11"/>
        <v>1</v>
      </c>
      <c r="BM118" s="1" t="s">
        <v>232</v>
      </c>
      <c r="BN118" s="1" t="s">
        <v>72</v>
      </c>
      <c r="BO118" s="4">
        <f t="shared" ref="BO118:BU118" si="713">IF(ISNUMBER(SEARCH(BO$1,$BN118)), 1, 0)</f>
        <v>0</v>
      </c>
      <c r="BP118" s="4">
        <f t="shared" si="713"/>
        <v>0</v>
      </c>
      <c r="BQ118" s="4">
        <f t="shared" si="713"/>
        <v>0</v>
      </c>
      <c r="BR118" s="4">
        <f t="shared" si="713"/>
        <v>0</v>
      </c>
      <c r="BS118" s="4">
        <f t="shared" si="713"/>
        <v>0</v>
      </c>
      <c r="BT118" s="4">
        <f t="shared" si="713"/>
        <v>0</v>
      </c>
      <c r="BU118" s="4">
        <f t="shared" si="713"/>
        <v>1</v>
      </c>
      <c r="DC118" s="1" t="s">
        <v>180</v>
      </c>
    </row>
    <row r="119" spans="1:107" ht="15.75" customHeight="1" x14ac:dyDescent="0.25">
      <c r="A119" s="1" t="b">
        <v>1</v>
      </c>
      <c r="B119" s="3">
        <v>46168.539039351854</v>
      </c>
      <c r="C119" s="1" t="s">
        <v>709</v>
      </c>
      <c r="D119" s="1" t="s">
        <v>4</v>
      </c>
      <c r="E119" s="4">
        <f t="shared" ref="E119:K119" si="714">IF(ISNUMBER(SEARCH(E$1,$D119)), SEARCH(E$1,$D119), 0)</f>
        <v>1</v>
      </c>
      <c r="F119" s="4">
        <f t="shared" si="714"/>
        <v>0</v>
      </c>
      <c r="G119" s="4">
        <f t="shared" si="714"/>
        <v>0</v>
      </c>
      <c r="H119" s="4">
        <f t="shared" si="714"/>
        <v>0</v>
      </c>
      <c r="I119" s="4">
        <f t="shared" si="714"/>
        <v>0</v>
      </c>
      <c r="J119" s="4">
        <f t="shared" si="714"/>
        <v>0</v>
      </c>
      <c r="K119" s="4">
        <f t="shared" si="714"/>
        <v>0</v>
      </c>
      <c r="L119" s="4">
        <f t="shared" si="1"/>
        <v>1</v>
      </c>
      <c r="N119" s="1" t="s">
        <v>294</v>
      </c>
      <c r="O119" s="4">
        <f t="shared" ref="O119:T119" si="715">IF(ISNUMBER(SEARCH(O$1,$N119)), 1, 0)</f>
        <v>1</v>
      </c>
      <c r="P119" s="4">
        <f t="shared" si="715"/>
        <v>1</v>
      </c>
      <c r="Q119" s="4">
        <f t="shared" si="715"/>
        <v>0</v>
      </c>
      <c r="R119" s="4">
        <f t="shared" si="715"/>
        <v>0</v>
      </c>
      <c r="S119" s="4">
        <f t="shared" si="715"/>
        <v>0</v>
      </c>
      <c r="T119" s="4">
        <f t="shared" si="715"/>
        <v>0</v>
      </c>
      <c r="W119" s="1" t="str">
        <f t="shared" si="679"/>
        <v>False</v>
      </c>
      <c r="X119" s="1" t="str">
        <f t="shared" si="679"/>
        <v>False</v>
      </c>
      <c r="Y119" s="1" t="str">
        <f t="shared" si="679"/>
        <v>False</v>
      </c>
      <c r="Z119" s="1" t="str">
        <f t="shared" si="679"/>
        <v>False</v>
      </c>
      <c r="AA119" s="1" t="str">
        <f t="shared" si="679"/>
        <v>False</v>
      </c>
      <c r="AB119" s="1" t="s">
        <v>710</v>
      </c>
      <c r="AC119" s="4">
        <f t="shared" ref="AC119:AH119" si="716">IF(ISNUMBER(SEARCH(AC$1,$AB119)), 1, 0)</f>
        <v>0</v>
      </c>
      <c r="AD119" s="4">
        <f t="shared" si="716"/>
        <v>1</v>
      </c>
      <c r="AE119" s="4">
        <f t="shared" si="716"/>
        <v>0</v>
      </c>
      <c r="AF119" s="4">
        <f t="shared" si="716"/>
        <v>0</v>
      </c>
      <c r="AG119" s="4">
        <f t="shared" si="716"/>
        <v>0</v>
      </c>
      <c r="AH119" s="4">
        <f t="shared" si="716"/>
        <v>0</v>
      </c>
      <c r="AI119" s="1">
        <f t="shared" si="5"/>
        <v>1</v>
      </c>
      <c r="AJ119" s="1" t="s">
        <v>711</v>
      </c>
      <c r="AK119" s="1" t="s">
        <v>288</v>
      </c>
      <c r="AL119" s="4">
        <f t="shared" ref="AL119:AS119" si="717">IF(ISNUMBER(SEARCH(AL$1,$AK119)), 1, 0)</f>
        <v>0</v>
      </c>
      <c r="AM119" s="4">
        <f t="shared" si="717"/>
        <v>1</v>
      </c>
      <c r="AN119" s="4">
        <f t="shared" si="717"/>
        <v>0</v>
      </c>
      <c r="AO119" s="4">
        <f t="shared" si="717"/>
        <v>1</v>
      </c>
      <c r="AP119" s="4">
        <f t="shared" si="717"/>
        <v>0</v>
      </c>
      <c r="AQ119" s="4">
        <f t="shared" si="717"/>
        <v>0</v>
      </c>
      <c r="AR119" s="4">
        <f t="shared" si="717"/>
        <v>0</v>
      </c>
      <c r="AS119" s="4">
        <f t="shared" si="717"/>
        <v>0</v>
      </c>
      <c r="AU119" s="1" t="s">
        <v>47</v>
      </c>
      <c r="AV119" s="1">
        <f t="shared" si="7"/>
        <v>1</v>
      </c>
      <c r="AW119" s="1">
        <f t="shared" si="8"/>
        <v>0</v>
      </c>
      <c r="AX119" s="1">
        <f t="shared" si="9"/>
        <v>0</v>
      </c>
      <c r="AY119" s="1" t="s">
        <v>48</v>
      </c>
      <c r="BA119" s="1" t="s">
        <v>624</v>
      </c>
      <c r="BB119" s="4">
        <f t="shared" ref="BB119:BJ119" si="718">IF(ISNUMBER(SEARCH(BB$1,$BA119)), 1, 0)</f>
        <v>0</v>
      </c>
      <c r="BC119" s="4">
        <f t="shared" si="718"/>
        <v>0</v>
      </c>
      <c r="BD119" s="4">
        <f t="shared" si="718"/>
        <v>0</v>
      </c>
      <c r="BE119" s="4">
        <f t="shared" si="718"/>
        <v>1</v>
      </c>
      <c r="BF119" s="4">
        <f t="shared" si="718"/>
        <v>0</v>
      </c>
      <c r="BG119" s="4">
        <f t="shared" si="718"/>
        <v>1</v>
      </c>
      <c r="BH119" s="4">
        <f t="shared" si="718"/>
        <v>0</v>
      </c>
      <c r="BI119" s="4">
        <f t="shared" si="718"/>
        <v>0</v>
      </c>
      <c r="BJ119" s="4">
        <f t="shared" si="718"/>
        <v>1</v>
      </c>
      <c r="BK119" s="4">
        <f t="shared" si="11"/>
        <v>3</v>
      </c>
      <c r="BM119" s="1" t="s">
        <v>232</v>
      </c>
      <c r="BN119" s="1" t="s">
        <v>712</v>
      </c>
      <c r="BO119" s="4">
        <f t="shared" ref="BO119:BU119" si="719">IF(ISNUMBER(SEARCH(BO$1,$BN119)), 1, 0)</f>
        <v>0</v>
      </c>
      <c r="BP119" s="4">
        <f t="shared" si="719"/>
        <v>1</v>
      </c>
      <c r="BQ119" s="4">
        <f t="shared" si="719"/>
        <v>0</v>
      </c>
      <c r="BR119" s="4">
        <f t="shared" si="719"/>
        <v>0</v>
      </c>
      <c r="BS119" s="4">
        <f t="shared" si="719"/>
        <v>0</v>
      </c>
      <c r="BT119" s="4">
        <f t="shared" si="719"/>
        <v>0</v>
      </c>
      <c r="BU119" s="4">
        <f t="shared" si="719"/>
        <v>0</v>
      </c>
      <c r="BV119" s="1" t="s">
        <v>713</v>
      </c>
      <c r="DC119" s="1" t="s">
        <v>238</v>
      </c>
    </row>
    <row r="120" spans="1:107" ht="15.75" customHeight="1" x14ac:dyDescent="0.25">
      <c r="A120" s="1" t="b">
        <v>1</v>
      </c>
      <c r="B120" s="3">
        <v>46169.466898148145</v>
      </c>
      <c r="C120" s="1" t="s">
        <v>743</v>
      </c>
      <c r="D120" s="1" t="s">
        <v>4</v>
      </c>
      <c r="E120" s="4">
        <f t="shared" ref="E120:K120" si="720">IF(ISNUMBER(SEARCH(E$1,$D120)), SEARCH(E$1,$D120), 0)</f>
        <v>1</v>
      </c>
      <c r="F120" s="4">
        <f t="shared" si="720"/>
        <v>0</v>
      </c>
      <c r="G120" s="4">
        <f t="shared" si="720"/>
        <v>0</v>
      </c>
      <c r="H120" s="4">
        <f t="shared" si="720"/>
        <v>0</v>
      </c>
      <c r="I120" s="4">
        <f t="shared" si="720"/>
        <v>0</v>
      </c>
      <c r="J120" s="4">
        <f t="shared" si="720"/>
        <v>0</v>
      </c>
      <c r="K120" s="4">
        <f t="shared" si="720"/>
        <v>0</v>
      </c>
      <c r="L120" s="4">
        <f t="shared" si="1"/>
        <v>1</v>
      </c>
      <c r="N120" s="1" t="s">
        <v>469</v>
      </c>
      <c r="O120" s="4">
        <f t="shared" ref="O120:T120" si="721">IF(ISNUMBER(SEARCH(O$1,$N120)), 1, 0)</f>
        <v>1</v>
      </c>
      <c r="P120" s="4">
        <f t="shared" si="721"/>
        <v>0</v>
      </c>
      <c r="Q120" s="4">
        <f t="shared" si="721"/>
        <v>0</v>
      </c>
      <c r="R120" s="4">
        <f t="shared" si="721"/>
        <v>1</v>
      </c>
      <c r="S120" s="4">
        <f t="shared" si="721"/>
        <v>0</v>
      </c>
      <c r="T120" s="4">
        <f t="shared" si="721"/>
        <v>0</v>
      </c>
      <c r="V120" s="1" t="s">
        <v>24</v>
      </c>
      <c r="W120" s="1" t="str">
        <f t="shared" si="679"/>
        <v>False</v>
      </c>
      <c r="X120" s="1" t="str">
        <f t="shared" si="679"/>
        <v>False</v>
      </c>
      <c r="Y120" s="1" t="str">
        <f t="shared" si="679"/>
        <v>True</v>
      </c>
      <c r="Z120" s="1" t="str">
        <f t="shared" si="679"/>
        <v>False</v>
      </c>
      <c r="AA120" s="1" t="str">
        <f t="shared" si="679"/>
        <v>False</v>
      </c>
      <c r="AB120" s="1" t="s">
        <v>28</v>
      </c>
      <c r="AC120" s="4">
        <f t="shared" ref="AC120:AH120" si="722">IF(ISNUMBER(SEARCH(AC$1,$AB120)), 1, 0)</f>
        <v>1</v>
      </c>
      <c r="AD120" s="4">
        <f t="shared" si="722"/>
        <v>0</v>
      </c>
      <c r="AE120" s="4">
        <f t="shared" si="722"/>
        <v>0</v>
      </c>
      <c r="AF120" s="4">
        <f t="shared" si="722"/>
        <v>0</v>
      </c>
      <c r="AG120" s="4">
        <f t="shared" si="722"/>
        <v>0</v>
      </c>
      <c r="AH120" s="4">
        <f t="shared" si="722"/>
        <v>0</v>
      </c>
      <c r="AI120" s="1">
        <f t="shared" si="5"/>
        <v>1</v>
      </c>
      <c r="AK120" s="1" t="s">
        <v>346</v>
      </c>
      <c r="AL120" s="4">
        <f t="shared" ref="AL120:AS120" si="723">IF(ISNUMBER(SEARCH(AL$1,$AK120)), 1, 0)</f>
        <v>0</v>
      </c>
      <c r="AM120" s="4">
        <f t="shared" si="723"/>
        <v>1</v>
      </c>
      <c r="AN120" s="4">
        <f t="shared" si="723"/>
        <v>1</v>
      </c>
      <c r="AO120" s="4">
        <f t="shared" si="723"/>
        <v>1</v>
      </c>
      <c r="AP120" s="4">
        <f t="shared" si="723"/>
        <v>0</v>
      </c>
      <c r="AQ120" s="4">
        <f t="shared" si="723"/>
        <v>0</v>
      </c>
      <c r="AR120" s="4">
        <f t="shared" si="723"/>
        <v>0</v>
      </c>
      <c r="AS120" s="4">
        <f t="shared" si="723"/>
        <v>0</v>
      </c>
      <c r="AU120" s="1" t="s">
        <v>47</v>
      </c>
      <c r="AV120" s="1">
        <f t="shared" si="7"/>
        <v>1</v>
      </c>
      <c r="AW120" s="1">
        <f t="shared" si="8"/>
        <v>0</v>
      </c>
      <c r="AX120" s="1">
        <f t="shared" si="9"/>
        <v>0</v>
      </c>
      <c r="AY120" s="1" t="s">
        <v>48</v>
      </c>
      <c r="BA120" s="1" t="s">
        <v>457</v>
      </c>
      <c r="BB120" s="4">
        <f t="shared" ref="BB120:BJ120" si="724">IF(ISNUMBER(SEARCH(BB$1,$BA120)), 1, 0)</f>
        <v>0</v>
      </c>
      <c r="BC120" s="4">
        <f t="shared" si="724"/>
        <v>0</v>
      </c>
      <c r="BD120" s="4">
        <f t="shared" si="724"/>
        <v>0</v>
      </c>
      <c r="BE120" s="4">
        <f t="shared" si="724"/>
        <v>0</v>
      </c>
      <c r="BF120" s="4">
        <f t="shared" si="724"/>
        <v>1</v>
      </c>
      <c r="BG120" s="4">
        <f t="shared" si="724"/>
        <v>1</v>
      </c>
      <c r="BH120" s="4">
        <f t="shared" si="724"/>
        <v>0</v>
      </c>
      <c r="BI120" s="4">
        <f t="shared" si="724"/>
        <v>0</v>
      </c>
      <c r="BJ120" s="4">
        <f t="shared" si="724"/>
        <v>1</v>
      </c>
      <c r="BK120" s="4">
        <f t="shared" si="11"/>
        <v>3</v>
      </c>
      <c r="BM120" s="1" t="s">
        <v>232</v>
      </c>
      <c r="BN120" s="1" t="s">
        <v>744</v>
      </c>
      <c r="BO120" s="4">
        <f t="shared" ref="BO120:BU120" si="725">IF(ISNUMBER(SEARCH(BO$1,$BN120)), 1, 0)</f>
        <v>0</v>
      </c>
      <c r="BP120" s="4">
        <f t="shared" si="725"/>
        <v>0</v>
      </c>
      <c r="BQ120" s="4">
        <f t="shared" si="725"/>
        <v>0</v>
      </c>
      <c r="BR120" s="4">
        <f t="shared" si="725"/>
        <v>1</v>
      </c>
      <c r="BS120" s="4">
        <f t="shared" si="725"/>
        <v>0</v>
      </c>
      <c r="BT120" s="4">
        <f t="shared" si="725"/>
        <v>0</v>
      </c>
      <c r="BU120" s="4">
        <f t="shared" si="725"/>
        <v>1</v>
      </c>
      <c r="DC120" s="1" t="s">
        <v>180</v>
      </c>
    </row>
    <row r="121" spans="1:107" ht="15.75" customHeight="1" x14ac:dyDescent="0.25">
      <c r="A121" s="1" t="b">
        <v>1</v>
      </c>
      <c r="B121" s="3">
        <v>46169.784131944441</v>
      </c>
      <c r="C121" s="1" t="s">
        <v>752</v>
      </c>
      <c r="D121" s="1" t="s">
        <v>4</v>
      </c>
      <c r="E121" s="4">
        <f t="shared" ref="E121:K121" si="726">IF(ISNUMBER(SEARCH(E$1,$D121)), SEARCH(E$1,$D121), 0)</f>
        <v>1</v>
      </c>
      <c r="F121" s="4">
        <f t="shared" si="726"/>
        <v>0</v>
      </c>
      <c r="G121" s="4">
        <f t="shared" si="726"/>
        <v>0</v>
      </c>
      <c r="H121" s="4">
        <f t="shared" si="726"/>
        <v>0</v>
      </c>
      <c r="I121" s="4">
        <f t="shared" si="726"/>
        <v>0</v>
      </c>
      <c r="J121" s="4">
        <f t="shared" si="726"/>
        <v>0</v>
      </c>
      <c r="K121" s="4">
        <f t="shared" si="726"/>
        <v>0</v>
      </c>
      <c r="L121" s="4">
        <f t="shared" si="1"/>
        <v>1</v>
      </c>
      <c r="N121" s="1" t="s">
        <v>328</v>
      </c>
      <c r="O121" s="4">
        <f t="shared" ref="O121:T121" si="727">IF(ISNUMBER(SEARCH(O$1,$N121)), 1, 0)</f>
        <v>1</v>
      </c>
      <c r="P121" s="4">
        <f t="shared" si="727"/>
        <v>1</v>
      </c>
      <c r="Q121" s="4">
        <f t="shared" si="727"/>
        <v>1</v>
      </c>
      <c r="R121" s="4">
        <f t="shared" si="727"/>
        <v>0</v>
      </c>
      <c r="S121" s="4">
        <f t="shared" si="727"/>
        <v>0</v>
      </c>
      <c r="T121" s="4">
        <f t="shared" si="727"/>
        <v>0</v>
      </c>
      <c r="W121" s="1" t="str">
        <f t="shared" si="679"/>
        <v>False</v>
      </c>
      <c r="X121" s="1" t="str">
        <f t="shared" si="679"/>
        <v>False</v>
      </c>
      <c r="Y121" s="1" t="str">
        <f t="shared" si="679"/>
        <v>False</v>
      </c>
      <c r="Z121" s="1" t="str">
        <f t="shared" si="679"/>
        <v>False</v>
      </c>
      <c r="AA121" s="1" t="str">
        <f t="shared" si="679"/>
        <v>False</v>
      </c>
      <c r="AB121" s="1" t="s">
        <v>28</v>
      </c>
      <c r="AC121" s="4">
        <f t="shared" ref="AC121:AH121" si="728">IF(ISNUMBER(SEARCH(AC$1,$AB121)), 1, 0)</f>
        <v>1</v>
      </c>
      <c r="AD121" s="4">
        <f t="shared" si="728"/>
        <v>0</v>
      </c>
      <c r="AE121" s="4">
        <f t="shared" si="728"/>
        <v>0</v>
      </c>
      <c r="AF121" s="4">
        <f t="shared" si="728"/>
        <v>0</v>
      </c>
      <c r="AG121" s="4">
        <f t="shared" si="728"/>
        <v>0</v>
      </c>
      <c r="AH121" s="4">
        <f t="shared" si="728"/>
        <v>0</v>
      </c>
      <c r="AI121" s="1">
        <f t="shared" si="5"/>
        <v>1</v>
      </c>
      <c r="AK121" s="1" t="s">
        <v>38</v>
      </c>
      <c r="AL121" s="4">
        <f t="shared" ref="AL121:AS121" si="729">IF(ISNUMBER(SEARCH(AL$1,$AK121)), 1, 0)</f>
        <v>0</v>
      </c>
      <c r="AM121" s="4">
        <f t="shared" si="729"/>
        <v>1</v>
      </c>
      <c r="AN121" s="4">
        <f t="shared" si="729"/>
        <v>0</v>
      </c>
      <c r="AO121" s="4">
        <f t="shared" si="729"/>
        <v>0</v>
      </c>
      <c r="AP121" s="4">
        <f t="shared" si="729"/>
        <v>0</v>
      </c>
      <c r="AQ121" s="4">
        <f t="shared" si="729"/>
        <v>0</v>
      </c>
      <c r="AR121" s="4">
        <f t="shared" si="729"/>
        <v>0</v>
      </c>
      <c r="AS121" s="4">
        <f t="shared" si="729"/>
        <v>0</v>
      </c>
      <c r="AU121" s="1" t="s">
        <v>49</v>
      </c>
      <c r="AV121" s="1">
        <f t="shared" si="7"/>
        <v>0</v>
      </c>
      <c r="AW121" s="1">
        <f t="shared" si="8"/>
        <v>0</v>
      </c>
      <c r="AX121" s="1">
        <f t="shared" si="9"/>
        <v>1</v>
      </c>
      <c r="AY121" s="1" t="s">
        <v>48</v>
      </c>
      <c r="BA121" s="1" t="s">
        <v>61</v>
      </c>
      <c r="BB121" s="4">
        <f t="shared" ref="BB121:BJ121" si="730">IF(ISNUMBER(SEARCH(BB$1,$BA121)), 1, 0)</f>
        <v>0</v>
      </c>
      <c r="BC121" s="4">
        <f t="shared" si="730"/>
        <v>0</v>
      </c>
      <c r="BD121" s="4">
        <f t="shared" si="730"/>
        <v>0</v>
      </c>
      <c r="BE121" s="4">
        <f t="shared" si="730"/>
        <v>0</v>
      </c>
      <c r="BF121" s="4">
        <f t="shared" si="730"/>
        <v>0</v>
      </c>
      <c r="BG121" s="4">
        <f t="shared" si="730"/>
        <v>0</v>
      </c>
      <c r="BH121" s="4">
        <f t="shared" si="730"/>
        <v>0</v>
      </c>
      <c r="BI121" s="4">
        <f t="shared" si="730"/>
        <v>0</v>
      </c>
      <c r="BJ121" s="4">
        <f t="shared" si="730"/>
        <v>1</v>
      </c>
      <c r="BK121" s="4">
        <f t="shared" si="11"/>
        <v>1</v>
      </c>
      <c r="BM121" s="1" t="s">
        <v>232</v>
      </c>
      <c r="BN121" s="1" t="s">
        <v>475</v>
      </c>
      <c r="BO121" s="4">
        <f t="shared" ref="BO121:BU121" si="731">IF(ISNUMBER(SEARCH(BO$1,$BN121)), 1, 0)</f>
        <v>0</v>
      </c>
      <c r="BP121" s="4">
        <f t="shared" si="731"/>
        <v>0</v>
      </c>
      <c r="BQ121" s="4">
        <f t="shared" si="731"/>
        <v>0</v>
      </c>
      <c r="BR121" s="4">
        <f t="shared" si="731"/>
        <v>1</v>
      </c>
      <c r="BS121" s="4">
        <f t="shared" si="731"/>
        <v>1</v>
      </c>
      <c r="BT121" s="4">
        <f t="shared" si="731"/>
        <v>1</v>
      </c>
      <c r="BU121" s="4">
        <f t="shared" si="731"/>
        <v>1</v>
      </c>
      <c r="DC121" s="1" t="s">
        <v>180</v>
      </c>
    </row>
    <row r="122" spans="1:107" ht="15.75" customHeight="1" x14ac:dyDescent="0.25">
      <c r="A122" s="1" t="b">
        <v>1</v>
      </c>
      <c r="B122" s="3">
        <v>46172.71056712963</v>
      </c>
      <c r="C122" s="1" t="s">
        <v>786</v>
      </c>
      <c r="D122" s="1" t="s">
        <v>4</v>
      </c>
      <c r="E122" s="4">
        <f t="shared" ref="E122:K122" si="732">IF(ISNUMBER(SEARCH(E$1,$D122)), SEARCH(E$1,$D122), 0)</f>
        <v>1</v>
      </c>
      <c r="F122" s="4">
        <f t="shared" si="732"/>
        <v>0</v>
      </c>
      <c r="G122" s="4">
        <f t="shared" si="732"/>
        <v>0</v>
      </c>
      <c r="H122" s="4">
        <f t="shared" si="732"/>
        <v>0</v>
      </c>
      <c r="I122" s="4">
        <f t="shared" si="732"/>
        <v>0</v>
      </c>
      <c r="J122" s="4">
        <f t="shared" si="732"/>
        <v>0</v>
      </c>
      <c r="K122" s="4">
        <f t="shared" si="732"/>
        <v>0</v>
      </c>
      <c r="L122" s="4">
        <f t="shared" si="1"/>
        <v>1</v>
      </c>
      <c r="N122" s="1" t="s">
        <v>272</v>
      </c>
      <c r="O122" s="4">
        <f t="shared" ref="O122:T122" si="733">IF(ISNUMBER(SEARCH(O$1,$N122)), 1, 0)</f>
        <v>1</v>
      </c>
      <c r="P122" s="4">
        <f t="shared" si="733"/>
        <v>1</v>
      </c>
      <c r="Q122" s="4">
        <f t="shared" si="733"/>
        <v>1</v>
      </c>
      <c r="R122" s="4">
        <f t="shared" si="733"/>
        <v>1</v>
      </c>
      <c r="S122" s="4">
        <f t="shared" si="733"/>
        <v>1</v>
      </c>
      <c r="T122" s="4">
        <f t="shared" si="733"/>
        <v>0</v>
      </c>
      <c r="W122" s="1" t="str">
        <f t="shared" si="679"/>
        <v>False</v>
      </c>
      <c r="X122" s="1" t="str">
        <f t="shared" si="679"/>
        <v>False</v>
      </c>
      <c r="Y122" s="1" t="str">
        <f t="shared" si="679"/>
        <v>False</v>
      </c>
      <c r="Z122" s="1" t="str">
        <f t="shared" si="679"/>
        <v>False</v>
      </c>
      <c r="AA122" s="1" t="str">
        <f t="shared" si="679"/>
        <v>False</v>
      </c>
      <c r="AB122" s="1" t="s">
        <v>28</v>
      </c>
      <c r="AC122" s="4">
        <f t="shared" ref="AC122:AH122" si="734">IF(ISNUMBER(SEARCH(AC$1,$AB122)), 1, 0)</f>
        <v>1</v>
      </c>
      <c r="AD122" s="4">
        <f t="shared" si="734"/>
        <v>0</v>
      </c>
      <c r="AE122" s="4">
        <f t="shared" si="734"/>
        <v>0</v>
      </c>
      <c r="AF122" s="4">
        <f t="shared" si="734"/>
        <v>0</v>
      </c>
      <c r="AG122" s="4">
        <f t="shared" si="734"/>
        <v>0</v>
      </c>
      <c r="AH122" s="4">
        <f t="shared" si="734"/>
        <v>0</v>
      </c>
      <c r="AI122" s="1">
        <f t="shared" si="5"/>
        <v>1</v>
      </c>
      <c r="AK122" s="1" t="s">
        <v>38</v>
      </c>
      <c r="AL122" s="4">
        <f t="shared" ref="AL122:AS122" si="735">IF(ISNUMBER(SEARCH(AL$1,$AK122)), 1, 0)</f>
        <v>0</v>
      </c>
      <c r="AM122" s="4">
        <f t="shared" si="735"/>
        <v>1</v>
      </c>
      <c r="AN122" s="4">
        <f t="shared" si="735"/>
        <v>0</v>
      </c>
      <c r="AO122" s="4">
        <f t="shared" si="735"/>
        <v>0</v>
      </c>
      <c r="AP122" s="4">
        <f t="shared" si="735"/>
        <v>0</v>
      </c>
      <c r="AQ122" s="4">
        <f t="shared" si="735"/>
        <v>0</v>
      </c>
      <c r="AR122" s="4">
        <f t="shared" si="735"/>
        <v>0</v>
      </c>
      <c r="AS122" s="4">
        <f t="shared" si="735"/>
        <v>0</v>
      </c>
      <c r="AU122" s="1" t="s">
        <v>47</v>
      </c>
      <c r="AV122" s="1">
        <f t="shared" si="7"/>
        <v>1</v>
      </c>
      <c r="AW122" s="1">
        <f t="shared" si="8"/>
        <v>0</v>
      </c>
      <c r="AX122" s="1">
        <f t="shared" si="9"/>
        <v>0</v>
      </c>
      <c r="AY122" s="1" t="s">
        <v>48</v>
      </c>
      <c r="BA122" s="1" t="s">
        <v>231</v>
      </c>
      <c r="BB122" s="4">
        <f t="shared" ref="BB122:BJ122" si="736">IF(ISNUMBER(SEARCH(BB$1,$BA122)), 1, 0)</f>
        <v>1</v>
      </c>
      <c r="BC122" s="4">
        <f t="shared" si="736"/>
        <v>1</v>
      </c>
      <c r="BD122" s="4">
        <f t="shared" si="736"/>
        <v>1</v>
      </c>
      <c r="BE122" s="4">
        <f t="shared" si="736"/>
        <v>1</v>
      </c>
      <c r="BF122" s="4">
        <f t="shared" si="736"/>
        <v>1</v>
      </c>
      <c r="BG122" s="4">
        <f t="shared" si="736"/>
        <v>1</v>
      </c>
      <c r="BH122" s="4">
        <f t="shared" si="736"/>
        <v>0</v>
      </c>
      <c r="BI122" s="4">
        <f t="shared" si="736"/>
        <v>0</v>
      </c>
      <c r="BJ122" s="4">
        <f t="shared" si="736"/>
        <v>1</v>
      </c>
      <c r="BK122" s="4">
        <f t="shared" si="11"/>
        <v>7</v>
      </c>
      <c r="BM122" s="1" t="s">
        <v>166</v>
      </c>
      <c r="BN122" s="1" t="s">
        <v>787</v>
      </c>
      <c r="BO122" s="4">
        <f t="shared" ref="BO122:BU122" si="737">IF(ISNUMBER(SEARCH(BO$1,$BN122)), 1, 0)</f>
        <v>1</v>
      </c>
      <c r="BP122" s="4">
        <f t="shared" si="737"/>
        <v>1</v>
      </c>
      <c r="BQ122" s="4">
        <f t="shared" si="737"/>
        <v>1</v>
      </c>
      <c r="BR122" s="4">
        <f t="shared" si="737"/>
        <v>0</v>
      </c>
      <c r="BS122" s="4">
        <f t="shared" si="737"/>
        <v>1</v>
      </c>
      <c r="BT122" s="4">
        <f t="shared" si="737"/>
        <v>1</v>
      </c>
      <c r="BU122" s="4">
        <f t="shared" si="737"/>
        <v>0</v>
      </c>
      <c r="DC122" s="1" t="s">
        <v>180</v>
      </c>
    </row>
    <row r="123" spans="1:107" ht="15.75" customHeight="1" x14ac:dyDescent="0.25">
      <c r="A123" s="1" t="b">
        <v>1</v>
      </c>
      <c r="B123" s="3">
        <v>46152.990335648145</v>
      </c>
      <c r="C123" s="1" t="s">
        <v>304</v>
      </c>
      <c r="D123" s="1" t="s">
        <v>305</v>
      </c>
      <c r="E123" s="4">
        <f t="shared" ref="E123:K123" si="738">IF(ISNUMBER(SEARCH(E$1,$D123)), SEARCH(E$1,$D123), 0)</f>
        <v>1</v>
      </c>
      <c r="F123" s="4">
        <f t="shared" si="738"/>
        <v>0</v>
      </c>
      <c r="G123" s="4">
        <f t="shared" si="738"/>
        <v>0</v>
      </c>
      <c r="H123" s="4">
        <f t="shared" si="738"/>
        <v>0</v>
      </c>
      <c r="I123" s="4">
        <f t="shared" si="738"/>
        <v>0</v>
      </c>
      <c r="J123" s="4">
        <f t="shared" si="738"/>
        <v>0</v>
      </c>
      <c r="K123" s="4">
        <f t="shared" si="738"/>
        <v>30</v>
      </c>
      <c r="L123" s="4">
        <f t="shared" si="1"/>
        <v>30</v>
      </c>
      <c r="N123" s="1" t="s">
        <v>306</v>
      </c>
      <c r="O123" s="4">
        <f t="shared" ref="O123:T123" si="739">IF(ISNUMBER(SEARCH(O$1,$N123)), 1, 0)</f>
        <v>1</v>
      </c>
      <c r="P123" s="4">
        <f t="shared" si="739"/>
        <v>1</v>
      </c>
      <c r="Q123" s="4">
        <f t="shared" si="739"/>
        <v>0</v>
      </c>
      <c r="R123" s="4">
        <f t="shared" si="739"/>
        <v>0</v>
      </c>
      <c r="S123" s="4">
        <f t="shared" si="739"/>
        <v>1</v>
      </c>
      <c r="T123" s="4">
        <f t="shared" si="739"/>
        <v>0</v>
      </c>
      <c r="V123" s="1" t="s">
        <v>22</v>
      </c>
      <c r="W123" s="1" t="str">
        <f t="shared" ref="W123:AA135" si="740">IF(W$1=$V123, "True", "False")</f>
        <v>True</v>
      </c>
      <c r="X123" s="1" t="str">
        <f t="shared" si="740"/>
        <v>False</v>
      </c>
      <c r="Y123" s="1" t="str">
        <f t="shared" si="740"/>
        <v>False</v>
      </c>
      <c r="Z123" s="1" t="str">
        <f t="shared" si="740"/>
        <v>False</v>
      </c>
      <c r="AA123" s="1" t="str">
        <f t="shared" si="740"/>
        <v>False</v>
      </c>
      <c r="AB123" s="1" t="s">
        <v>183</v>
      </c>
      <c r="AC123" s="4">
        <f t="shared" ref="AC123:AH123" si="741">IF(ISNUMBER(SEARCH(AC$1,$AB123)), 1, 0)</f>
        <v>0</v>
      </c>
      <c r="AD123" s="4">
        <f t="shared" si="741"/>
        <v>0</v>
      </c>
      <c r="AE123" s="4">
        <f t="shared" si="741"/>
        <v>0</v>
      </c>
      <c r="AF123" s="4">
        <f t="shared" si="741"/>
        <v>0</v>
      </c>
      <c r="AG123" s="4">
        <f t="shared" si="741"/>
        <v>0</v>
      </c>
      <c r="AH123" s="4">
        <f t="shared" si="741"/>
        <v>0</v>
      </c>
      <c r="AI123" s="1">
        <f t="shared" si="5"/>
        <v>0</v>
      </c>
      <c r="AJ123" s="1" t="s">
        <v>184</v>
      </c>
      <c r="AK123" s="1" t="s">
        <v>307</v>
      </c>
      <c r="AL123" s="4">
        <f t="shared" ref="AL123:AS123" si="742">IF(ISNUMBER(SEARCH(AL$1,$AK123)), 1, 0)</f>
        <v>1</v>
      </c>
      <c r="AM123" s="4">
        <f t="shared" si="742"/>
        <v>0</v>
      </c>
      <c r="AN123" s="4">
        <f t="shared" si="742"/>
        <v>1</v>
      </c>
      <c r="AO123" s="4">
        <f t="shared" si="742"/>
        <v>0</v>
      </c>
      <c r="AP123" s="4">
        <f t="shared" si="742"/>
        <v>0</v>
      </c>
      <c r="AQ123" s="4">
        <f t="shared" si="742"/>
        <v>0</v>
      </c>
      <c r="AR123" s="4">
        <f t="shared" si="742"/>
        <v>0</v>
      </c>
      <c r="AS123" s="4">
        <f t="shared" si="742"/>
        <v>0</v>
      </c>
      <c r="AU123" s="1" t="s">
        <v>47</v>
      </c>
      <c r="AV123" s="1">
        <f t="shared" si="7"/>
        <v>1</v>
      </c>
      <c r="AW123" s="1">
        <f t="shared" si="8"/>
        <v>0</v>
      </c>
      <c r="AX123" s="1">
        <f t="shared" si="9"/>
        <v>0</v>
      </c>
      <c r="AY123" s="1" t="s">
        <v>47</v>
      </c>
      <c r="AZ123" s="1" t="s">
        <v>47</v>
      </c>
      <c r="BA123" s="1" t="s">
        <v>308</v>
      </c>
      <c r="BB123" s="4">
        <f t="shared" ref="BB123:BJ123" si="743">IF(ISNUMBER(SEARCH(BB$1,$BA123)), 1, 0)</f>
        <v>1</v>
      </c>
      <c r="BC123" s="4">
        <f t="shared" si="743"/>
        <v>1</v>
      </c>
      <c r="BD123" s="4">
        <f t="shared" si="743"/>
        <v>0</v>
      </c>
      <c r="BE123" s="4">
        <f t="shared" si="743"/>
        <v>1</v>
      </c>
      <c r="BF123" s="4">
        <f t="shared" si="743"/>
        <v>1</v>
      </c>
      <c r="BG123" s="4">
        <f t="shared" si="743"/>
        <v>1</v>
      </c>
      <c r="BH123" s="4">
        <f t="shared" si="743"/>
        <v>0</v>
      </c>
      <c r="BI123" s="4">
        <f t="shared" si="743"/>
        <v>0</v>
      </c>
      <c r="BJ123" s="4">
        <f t="shared" si="743"/>
        <v>1</v>
      </c>
      <c r="BK123" s="4">
        <f t="shared" si="11"/>
        <v>6</v>
      </c>
      <c r="BO123" s="4">
        <f t="shared" ref="BO123:BU123" si="744">IF(ISNUMBER(SEARCH(BO$1,$BN123)), 1, 0)</f>
        <v>0</v>
      </c>
      <c r="BP123" s="4">
        <f t="shared" si="744"/>
        <v>0</v>
      </c>
      <c r="BQ123" s="4">
        <f t="shared" si="744"/>
        <v>0</v>
      </c>
      <c r="BR123" s="4">
        <f t="shared" si="744"/>
        <v>0</v>
      </c>
      <c r="BS123" s="4">
        <f t="shared" si="744"/>
        <v>0</v>
      </c>
      <c r="BT123" s="4">
        <f t="shared" si="744"/>
        <v>0</v>
      </c>
      <c r="BU123" s="4">
        <f t="shared" si="744"/>
        <v>0</v>
      </c>
      <c r="DC123" s="1" t="s">
        <v>180</v>
      </c>
    </row>
    <row r="124" spans="1:107" ht="15.75" customHeight="1" x14ac:dyDescent="0.25">
      <c r="A124" s="1" t="b">
        <v>1</v>
      </c>
      <c r="B124" s="3">
        <v>46154.725532407407</v>
      </c>
      <c r="C124" s="1" t="s">
        <v>337</v>
      </c>
      <c r="D124" s="1" t="s">
        <v>338</v>
      </c>
      <c r="E124" s="4">
        <f t="shared" ref="E124:K124" si="745">IF(ISNUMBER(SEARCH(E$1,$D124)), SEARCH(E$1,$D124), 0)</f>
        <v>1</v>
      </c>
      <c r="F124" s="4">
        <f t="shared" si="745"/>
        <v>0</v>
      </c>
      <c r="G124" s="4">
        <f t="shared" si="745"/>
        <v>0</v>
      </c>
      <c r="H124" s="4">
        <f t="shared" si="745"/>
        <v>0</v>
      </c>
      <c r="I124" s="4">
        <f t="shared" si="745"/>
        <v>30</v>
      </c>
      <c r="J124" s="4">
        <f t="shared" si="745"/>
        <v>0</v>
      </c>
      <c r="K124" s="4">
        <f t="shared" si="745"/>
        <v>0</v>
      </c>
      <c r="L124" s="4">
        <f t="shared" si="1"/>
        <v>30</v>
      </c>
      <c r="N124" s="1" t="s">
        <v>328</v>
      </c>
      <c r="O124" s="4">
        <f t="shared" ref="O124:T124" si="746">IF(ISNUMBER(SEARCH(O$1,$N124)), 1, 0)</f>
        <v>1</v>
      </c>
      <c r="P124" s="4">
        <f t="shared" si="746"/>
        <v>1</v>
      </c>
      <c r="Q124" s="4">
        <f t="shared" si="746"/>
        <v>1</v>
      </c>
      <c r="R124" s="4">
        <f t="shared" si="746"/>
        <v>0</v>
      </c>
      <c r="S124" s="4">
        <f t="shared" si="746"/>
        <v>0</v>
      </c>
      <c r="T124" s="4">
        <f t="shared" si="746"/>
        <v>0</v>
      </c>
      <c r="V124" s="1" t="s">
        <v>22</v>
      </c>
      <c r="W124" s="1" t="str">
        <f t="shared" si="740"/>
        <v>True</v>
      </c>
      <c r="X124" s="1" t="str">
        <f t="shared" si="740"/>
        <v>False</v>
      </c>
      <c r="Y124" s="1" t="str">
        <f t="shared" si="740"/>
        <v>False</v>
      </c>
      <c r="Z124" s="1" t="str">
        <f t="shared" si="740"/>
        <v>False</v>
      </c>
      <c r="AA124" s="1" t="str">
        <f t="shared" si="740"/>
        <v>False</v>
      </c>
      <c r="AB124" s="1" t="s">
        <v>33</v>
      </c>
      <c r="AC124" s="4">
        <f t="shared" ref="AC124:AH124" si="747">IF(ISNUMBER(SEARCH(AC$1,$AB124)), 1, 0)</f>
        <v>0</v>
      </c>
      <c r="AD124" s="4">
        <f t="shared" si="747"/>
        <v>0</v>
      </c>
      <c r="AE124" s="4">
        <f t="shared" si="747"/>
        <v>0</v>
      </c>
      <c r="AF124" s="4">
        <f t="shared" si="747"/>
        <v>0</v>
      </c>
      <c r="AG124" s="4">
        <f t="shared" si="747"/>
        <v>0</v>
      </c>
      <c r="AH124" s="4">
        <f t="shared" si="747"/>
        <v>1</v>
      </c>
      <c r="AI124" s="1">
        <f t="shared" si="5"/>
        <v>1</v>
      </c>
      <c r="AK124" s="1" t="s">
        <v>288</v>
      </c>
      <c r="AL124" s="4">
        <f t="shared" ref="AL124:AS124" si="748">IF(ISNUMBER(SEARCH(AL$1,$AK124)), 1, 0)</f>
        <v>0</v>
      </c>
      <c r="AM124" s="4">
        <f t="shared" si="748"/>
        <v>1</v>
      </c>
      <c r="AN124" s="4">
        <f t="shared" si="748"/>
        <v>0</v>
      </c>
      <c r="AO124" s="4">
        <f t="shared" si="748"/>
        <v>1</v>
      </c>
      <c r="AP124" s="4">
        <f t="shared" si="748"/>
        <v>0</v>
      </c>
      <c r="AQ124" s="4">
        <f t="shared" si="748"/>
        <v>0</v>
      </c>
      <c r="AR124" s="4">
        <f t="shared" si="748"/>
        <v>0</v>
      </c>
      <c r="AS124" s="4">
        <f t="shared" si="748"/>
        <v>0</v>
      </c>
      <c r="AU124" s="1" t="s">
        <v>49</v>
      </c>
      <c r="AV124" s="1">
        <f t="shared" si="7"/>
        <v>0</v>
      </c>
      <c r="AW124" s="1">
        <f t="shared" si="8"/>
        <v>0</v>
      </c>
      <c r="AX124" s="1">
        <f t="shared" si="9"/>
        <v>1</v>
      </c>
      <c r="AY124" s="1" t="s">
        <v>48</v>
      </c>
      <c r="BA124" s="1" t="s">
        <v>339</v>
      </c>
      <c r="BB124" s="4">
        <f t="shared" ref="BB124:BJ124" si="749">IF(ISNUMBER(SEARCH(BB$1,$BA124)), 1, 0)</f>
        <v>0</v>
      </c>
      <c r="BC124" s="4">
        <f t="shared" si="749"/>
        <v>1</v>
      </c>
      <c r="BD124" s="4">
        <f t="shared" si="749"/>
        <v>1</v>
      </c>
      <c r="BE124" s="4">
        <f t="shared" si="749"/>
        <v>1</v>
      </c>
      <c r="BF124" s="4">
        <f t="shared" si="749"/>
        <v>0</v>
      </c>
      <c r="BG124" s="4">
        <f t="shared" si="749"/>
        <v>1</v>
      </c>
      <c r="BH124" s="4">
        <f t="shared" si="749"/>
        <v>0</v>
      </c>
      <c r="BI124" s="4">
        <f t="shared" si="749"/>
        <v>0</v>
      </c>
      <c r="BJ124" s="4">
        <f t="shared" si="749"/>
        <v>1</v>
      </c>
      <c r="BK124" s="4">
        <f t="shared" si="11"/>
        <v>5</v>
      </c>
      <c r="BM124" s="1" t="s">
        <v>166</v>
      </c>
      <c r="BN124" s="1" t="s">
        <v>340</v>
      </c>
      <c r="BO124" s="4">
        <f t="shared" ref="BO124:BU124" si="750">IF(ISNUMBER(SEARCH(BO$1,$BN124)), 1, 0)</f>
        <v>1</v>
      </c>
      <c r="BP124" s="4">
        <f t="shared" si="750"/>
        <v>1</v>
      </c>
      <c r="BQ124" s="4">
        <f t="shared" si="750"/>
        <v>0</v>
      </c>
      <c r="BR124" s="4">
        <f t="shared" si="750"/>
        <v>0</v>
      </c>
      <c r="BS124" s="4">
        <f t="shared" si="750"/>
        <v>0</v>
      </c>
      <c r="BT124" s="4">
        <f t="shared" si="750"/>
        <v>0</v>
      </c>
      <c r="BU124" s="4">
        <f t="shared" si="750"/>
        <v>0</v>
      </c>
      <c r="CH124" s="1" t="s">
        <v>341</v>
      </c>
      <c r="CJ124" s="1" t="s">
        <v>342</v>
      </c>
      <c r="CL124" s="1" t="s">
        <v>177</v>
      </c>
      <c r="DC124" s="1" t="s">
        <v>238</v>
      </c>
    </row>
    <row r="125" spans="1:107" ht="15.75" customHeight="1" x14ac:dyDescent="0.25">
      <c r="A125" s="1" t="b">
        <v>0</v>
      </c>
      <c r="B125" s="3">
        <v>46169.651643518519</v>
      </c>
      <c r="C125" s="1" t="s">
        <v>750</v>
      </c>
      <c r="D125" s="1" t="s">
        <v>751</v>
      </c>
      <c r="E125" s="4">
        <f t="shared" ref="E125:K125" si="751">IF(ISNUMBER(SEARCH(E$1,$D125)), SEARCH(E$1,$D125), 0)</f>
        <v>1</v>
      </c>
      <c r="F125" s="4">
        <f t="shared" si="751"/>
        <v>0</v>
      </c>
      <c r="G125" s="4">
        <f t="shared" si="751"/>
        <v>0</v>
      </c>
      <c r="H125" s="4">
        <f t="shared" si="751"/>
        <v>30</v>
      </c>
      <c r="I125" s="4">
        <f t="shared" si="751"/>
        <v>0</v>
      </c>
      <c r="J125" s="4">
        <f t="shared" si="751"/>
        <v>0</v>
      </c>
      <c r="K125" s="4">
        <f t="shared" si="751"/>
        <v>0</v>
      </c>
      <c r="L125" s="4">
        <f t="shared" si="1"/>
        <v>30</v>
      </c>
      <c r="N125" s="1" t="s">
        <v>323</v>
      </c>
      <c r="O125" s="4">
        <f t="shared" ref="O125:T125" si="752">IF(ISNUMBER(SEARCH(O$1,$N125)), 1, 0)</f>
        <v>1</v>
      </c>
      <c r="P125" s="4">
        <f t="shared" si="752"/>
        <v>1</v>
      </c>
      <c r="Q125" s="4">
        <f t="shared" si="752"/>
        <v>1</v>
      </c>
      <c r="R125" s="4">
        <f t="shared" si="752"/>
        <v>1</v>
      </c>
      <c r="S125" s="4">
        <f t="shared" si="752"/>
        <v>0</v>
      </c>
      <c r="T125" s="4">
        <f t="shared" si="752"/>
        <v>1</v>
      </c>
      <c r="W125" s="1" t="str">
        <f t="shared" si="740"/>
        <v>False</v>
      </c>
      <c r="X125" s="1" t="str">
        <f t="shared" si="740"/>
        <v>False</v>
      </c>
      <c r="Y125" s="1" t="str">
        <f t="shared" si="740"/>
        <v>False</v>
      </c>
      <c r="Z125" s="1" t="str">
        <f t="shared" si="740"/>
        <v>False</v>
      </c>
      <c r="AA125" s="1" t="str">
        <f t="shared" si="740"/>
        <v>False</v>
      </c>
      <c r="AC125" s="4">
        <f t="shared" ref="AC125:AH125" si="753">IF(ISNUMBER(SEARCH(AC$1,$AB125)), 1, 0)</f>
        <v>0</v>
      </c>
      <c r="AD125" s="4">
        <f t="shared" si="753"/>
        <v>0</v>
      </c>
      <c r="AE125" s="4">
        <f t="shared" si="753"/>
        <v>0</v>
      </c>
      <c r="AF125" s="4">
        <f t="shared" si="753"/>
        <v>0</v>
      </c>
      <c r="AG125" s="4">
        <f t="shared" si="753"/>
        <v>0</v>
      </c>
      <c r="AH125" s="4">
        <f t="shared" si="753"/>
        <v>0</v>
      </c>
      <c r="AI125" s="1">
        <f t="shared" si="5"/>
        <v>0</v>
      </c>
      <c r="AL125" s="4">
        <f t="shared" ref="AL125:AS125" si="754">IF(ISNUMBER(SEARCH(AL$1,$AK125)), 1, 0)</f>
        <v>0</v>
      </c>
      <c r="AM125" s="4">
        <f t="shared" si="754"/>
        <v>0</v>
      </c>
      <c r="AN125" s="4">
        <f t="shared" si="754"/>
        <v>0</v>
      </c>
      <c r="AO125" s="4">
        <f t="shared" si="754"/>
        <v>0</v>
      </c>
      <c r="AP125" s="4">
        <f t="shared" si="754"/>
        <v>0</v>
      </c>
      <c r="AQ125" s="4">
        <f t="shared" si="754"/>
        <v>0</v>
      </c>
      <c r="AR125" s="4">
        <f t="shared" si="754"/>
        <v>0</v>
      </c>
      <c r="AS125" s="4">
        <f t="shared" si="754"/>
        <v>0</v>
      </c>
      <c r="AV125" s="1">
        <f t="shared" si="7"/>
        <v>0</v>
      </c>
      <c r="AW125" s="1">
        <f t="shared" si="8"/>
        <v>0</v>
      </c>
      <c r="AX125" s="1">
        <f t="shared" si="9"/>
        <v>0</v>
      </c>
      <c r="BB125" s="4">
        <f t="shared" ref="BB125:BJ125" si="755">IF(ISNUMBER(SEARCH(BB$1,$BA125)), 1, 0)</f>
        <v>0</v>
      </c>
      <c r="BC125" s="4">
        <f t="shared" si="755"/>
        <v>0</v>
      </c>
      <c r="BD125" s="4">
        <f t="shared" si="755"/>
        <v>0</v>
      </c>
      <c r="BE125" s="4">
        <f t="shared" si="755"/>
        <v>0</v>
      </c>
      <c r="BF125" s="4">
        <f t="shared" si="755"/>
        <v>0</v>
      </c>
      <c r="BG125" s="4">
        <f t="shared" si="755"/>
        <v>0</v>
      </c>
      <c r="BH125" s="4">
        <f t="shared" si="755"/>
        <v>0</v>
      </c>
      <c r="BI125" s="4">
        <f t="shared" si="755"/>
        <v>0</v>
      </c>
      <c r="BJ125" s="4">
        <f t="shared" si="755"/>
        <v>0</v>
      </c>
      <c r="BK125" s="4">
        <f t="shared" si="11"/>
        <v>0</v>
      </c>
      <c r="BO125" s="4">
        <f t="shared" ref="BO125:BU125" si="756">IF(ISNUMBER(SEARCH(BO$1,$BN125)), 1, 0)</f>
        <v>0</v>
      </c>
      <c r="BP125" s="4">
        <f t="shared" si="756"/>
        <v>0</v>
      </c>
      <c r="BQ125" s="4">
        <f t="shared" si="756"/>
        <v>0</v>
      </c>
      <c r="BR125" s="4">
        <f t="shared" si="756"/>
        <v>0</v>
      </c>
      <c r="BS125" s="4">
        <f t="shared" si="756"/>
        <v>0</v>
      </c>
      <c r="BT125" s="4">
        <f t="shared" si="756"/>
        <v>0</v>
      </c>
      <c r="BU125" s="4">
        <f t="shared" si="756"/>
        <v>0</v>
      </c>
    </row>
    <row r="126" spans="1:107" ht="15.75" customHeight="1" x14ac:dyDescent="0.25">
      <c r="A126" s="1" t="b">
        <v>0</v>
      </c>
      <c r="B126" s="3">
        <v>46170.276365740741</v>
      </c>
      <c r="C126" s="1" t="s">
        <v>757</v>
      </c>
      <c r="D126" s="1" t="s">
        <v>338</v>
      </c>
      <c r="E126" s="4">
        <f t="shared" ref="E126:K126" si="757">IF(ISNUMBER(SEARCH(E$1,$D126)), SEARCH(E$1,$D126), 0)</f>
        <v>1</v>
      </c>
      <c r="F126" s="4">
        <f t="shared" si="757"/>
        <v>0</v>
      </c>
      <c r="G126" s="4">
        <f t="shared" si="757"/>
        <v>0</v>
      </c>
      <c r="H126" s="4">
        <f t="shared" si="757"/>
        <v>0</v>
      </c>
      <c r="I126" s="4">
        <f t="shared" si="757"/>
        <v>30</v>
      </c>
      <c r="J126" s="4">
        <f t="shared" si="757"/>
        <v>0</v>
      </c>
      <c r="K126" s="4">
        <f t="shared" si="757"/>
        <v>0</v>
      </c>
      <c r="L126" s="4">
        <f t="shared" si="1"/>
        <v>30</v>
      </c>
      <c r="N126" s="1" t="s">
        <v>244</v>
      </c>
      <c r="O126" s="4">
        <f t="shared" ref="O126:T126" si="758">IF(ISNUMBER(SEARCH(O$1,$N126)), 1, 0)</f>
        <v>1</v>
      </c>
      <c r="P126" s="4">
        <f t="shared" si="758"/>
        <v>0</v>
      </c>
      <c r="Q126" s="4">
        <f t="shared" si="758"/>
        <v>1</v>
      </c>
      <c r="R126" s="4">
        <f t="shared" si="758"/>
        <v>1</v>
      </c>
      <c r="S126" s="4">
        <f t="shared" si="758"/>
        <v>0</v>
      </c>
      <c r="T126" s="4">
        <f t="shared" si="758"/>
        <v>0</v>
      </c>
      <c r="W126" s="1" t="str">
        <f t="shared" si="740"/>
        <v>False</v>
      </c>
      <c r="X126" s="1" t="str">
        <f t="shared" si="740"/>
        <v>False</v>
      </c>
      <c r="Y126" s="1" t="str">
        <f t="shared" si="740"/>
        <v>False</v>
      </c>
      <c r="Z126" s="1" t="str">
        <f t="shared" si="740"/>
        <v>False</v>
      </c>
      <c r="AA126" s="1" t="str">
        <f t="shared" si="740"/>
        <v>False</v>
      </c>
      <c r="AC126" s="4">
        <f t="shared" ref="AC126:AH126" si="759">IF(ISNUMBER(SEARCH(AC$1,$AB126)), 1, 0)</f>
        <v>0</v>
      </c>
      <c r="AD126" s="4">
        <f t="shared" si="759"/>
        <v>0</v>
      </c>
      <c r="AE126" s="4">
        <f t="shared" si="759"/>
        <v>0</v>
      </c>
      <c r="AF126" s="4">
        <f t="shared" si="759"/>
        <v>0</v>
      </c>
      <c r="AG126" s="4">
        <f t="shared" si="759"/>
        <v>0</v>
      </c>
      <c r="AH126" s="4">
        <f t="shared" si="759"/>
        <v>0</v>
      </c>
      <c r="AI126" s="1">
        <f t="shared" si="5"/>
        <v>0</v>
      </c>
      <c r="AL126" s="4">
        <f t="shared" ref="AL126:AS126" si="760">IF(ISNUMBER(SEARCH(AL$1,$AK126)), 1, 0)</f>
        <v>0</v>
      </c>
      <c r="AM126" s="4">
        <f t="shared" si="760"/>
        <v>0</v>
      </c>
      <c r="AN126" s="4">
        <f t="shared" si="760"/>
        <v>0</v>
      </c>
      <c r="AO126" s="4">
        <f t="shared" si="760"/>
        <v>0</v>
      </c>
      <c r="AP126" s="4">
        <f t="shared" si="760"/>
        <v>0</v>
      </c>
      <c r="AQ126" s="4">
        <f t="shared" si="760"/>
        <v>0</v>
      </c>
      <c r="AR126" s="4">
        <f t="shared" si="760"/>
        <v>0</v>
      </c>
      <c r="AS126" s="4">
        <f t="shared" si="760"/>
        <v>0</v>
      </c>
      <c r="AV126" s="1">
        <f t="shared" si="7"/>
        <v>0</v>
      </c>
      <c r="AW126" s="1">
        <f t="shared" si="8"/>
        <v>0</v>
      </c>
      <c r="AX126" s="1">
        <f t="shared" si="9"/>
        <v>0</v>
      </c>
      <c r="BB126" s="4">
        <f t="shared" ref="BB126:BJ126" si="761">IF(ISNUMBER(SEARCH(BB$1,$BA126)), 1, 0)</f>
        <v>0</v>
      </c>
      <c r="BC126" s="4">
        <f t="shared" si="761"/>
        <v>0</v>
      </c>
      <c r="BD126" s="4">
        <f t="shared" si="761"/>
        <v>0</v>
      </c>
      <c r="BE126" s="4">
        <f t="shared" si="761"/>
        <v>0</v>
      </c>
      <c r="BF126" s="4">
        <f t="shared" si="761"/>
        <v>0</v>
      </c>
      <c r="BG126" s="4">
        <f t="shared" si="761"/>
        <v>0</v>
      </c>
      <c r="BH126" s="4">
        <f t="shared" si="761"/>
        <v>0</v>
      </c>
      <c r="BI126" s="4">
        <f t="shared" si="761"/>
        <v>0</v>
      </c>
      <c r="BJ126" s="4">
        <f t="shared" si="761"/>
        <v>0</v>
      </c>
      <c r="BK126" s="4">
        <f t="shared" si="11"/>
        <v>0</v>
      </c>
      <c r="BO126" s="4">
        <f t="shared" ref="BO126:BU126" si="762">IF(ISNUMBER(SEARCH(BO$1,$BN126)), 1, 0)</f>
        <v>0</v>
      </c>
      <c r="BP126" s="4">
        <f t="shared" si="762"/>
        <v>0</v>
      </c>
      <c r="BQ126" s="4">
        <f t="shared" si="762"/>
        <v>0</v>
      </c>
      <c r="BR126" s="4">
        <f t="shared" si="762"/>
        <v>0</v>
      </c>
      <c r="BS126" s="4">
        <f t="shared" si="762"/>
        <v>0</v>
      </c>
      <c r="BT126" s="4">
        <f t="shared" si="762"/>
        <v>0</v>
      </c>
      <c r="BU126" s="4">
        <f t="shared" si="762"/>
        <v>0</v>
      </c>
    </row>
    <row r="127" spans="1:107" ht="15.75" customHeight="1" x14ac:dyDescent="0.25">
      <c r="A127" s="1" t="b">
        <v>1</v>
      </c>
      <c r="B127" s="3">
        <v>46164.595046296294</v>
      </c>
      <c r="C127" s="1" t="s">
        <v>499</v>
      </c>
      <c r="D127" s="1" t="s">
        <v>305</v>
      </c>
      <c r="E127" s="4">
        <f t="shared" ref="E127:K127" si="763">IF(ISNUMBER(SEARCH(E$1,$D127)), SEARCH(E$1,$D127), 0)</f>
        <v>1</v>
      </c>
      <c r="F127" s="4">
        <f t="shared" si="763"/>
        <v>0</v>
      </c>
      <c r="G127" s="4">
        <f t="shared" si="763"/>
        <v>0</v>
      </c>
      <c r="H127" s="4">
        <f t="shared" si="763"/>
        <v>0</v>
      </c>
      <c r="I127" s="4">
        <f t="shared" si="763"/>
        <v>0</v>
      </c>
      <c r="J127" s="4">
        <f t="shared" si="763"/>
        <v>0</v>
      </c>
      <c r="K127" s="4">
        <f t="shared" si="763"/>
        <v>30</v>
      </c>
      <c r="L127" s="4">
        <f t="shared" si="1"/>
        <v>30</v>
      </c>
      <c r="N127" s="1" t="s">
        <v>385</v>
      </c>
      <c r="O127" s="4">
        <f t="shared" ref="O127:T127" si="764">IF(ISNUMBER(SEARCH(O$1,$N127)), 1, 0)</f>
        <v>1</v>
      </c>
      <c r="P127" s="4">
        <f t="shared" si="764"/>
        <v>1</v>
      </c>
      <c r="Q127" s="4">
        <f t="shared" si="764"/>
        <v>0</v>
      </c>
      <c r="R127" s="4">
        <f t="shared" si="764"/>
        <v>1</v>
      </c>
      <c r="S127" s="4">
        <f t="shared" si="764"/>
        <v>1</v>
      </c>
      <c r="T127" s="4">
        <f t="shared" si="764"/>
        <v>0</v>
      </c>
      <c r="V127" s="1" t="s">
        <v>24</v>
      </c>
      <c r="W127" s="1" t="str">
        <f t="shared" si="740"/>
        <v>False</v>
      </c>
      <c r="X127" s="1" t="str">
        <f t="shared" si="740"/>
        <v>False</v>
      </c>
      <c r="Y127" s="1" t="str">
        <f t="shared" si="740"/>
        <v>True</v>
      </c>
      <c r="Z127" s="1" t="str">
        <f t="shared" si="740"/>
        <v>False</v>
      </c>
      <c r="AA127" s="1" t="str">
        <f t="shared" si="740"/>
        <v>False</v>
      </c>
      <c r="AB127" s="1" t="s">
        <v>31</v>
      </c>
      <c r="AC127" s="4">
        <f t="shared" ref="AC127:AH127" si="765">IF(ISNUMBER(SEARCH(AC$1,$AB127)), 1, 0)</f>
        <v>0</v>
      </c>
      <c r="AD127" s="4">
        <f t="shared" si="765"/>
        <v>0</v>
      </c>
      <c r="AE127" s="4">
        <f t="shared" si="765"/>
        <v>0</v>
      </c>
      <c r="AF127" s="4">
        <f t="shared" si="765"/>
        <v>1</v>
      </c>
      <c r="AG127" s="4">
        <f t="shared" si="765"/>
        <v>0</v>
      </c>
      <c r="AH127" s="4">
        <f t="shared" si="765"/>
        <v>0</v>
      </c>
      <c r="AI127" s="1">
        <f t="shared" si="5"/>
        <v>1</v>
      </c>
      <c r="AK127" s="1" t="s">
        <v>346</v>
      </c>
      <c r="AL127" s="4">
        <f t="shared" ref="AL127:AS127" si="766">IF(ISNUMBER(SEARCH(AL$1,$AK127)), 1, 0)</f>
        <v>0</v>
      </c>
      <c r="AM127" s="4">
        <f t="shared" si="766"/>
        <v>1</v>
      </c>
      <c r="AN127" s="4">
        <f t="shared" si="766"/>
        <v>1</v>
      </c>
      <c r="AO127" s="4">
        <f t="shared" si="766"/>
        <v>1</v>
      </c>
      <c r="AP127" s="4">
        <f t="shared" si="766"/>
        <v>0</v>
      </c>
      <c r="AQ127" s="4">
        <f t="shared" si="766"/>
        <v>0</v>
      </c>
      <c r="AR127" s="4">
        <f t="shared" si="766"/>
        <v>0</v>
      </c>
      <c r="AS127" s="4">
        <f t="shared" si="766"/>
        <v>0</v>
      </c>
      <c r="AU127" s="1" t="s">
        <v>48</v>
      </c>
      <c r="AV127" s="1">
        <f t="shared" si="7"/>
        <v>0</v>
      </c>
      <c r="AW127" s="1">
        <f t="shared" si="8"/>
        <v>1</v>
      </c>
      <c r="AX127" s="1">
        <f t="shared" si="9"/>
        <v>0</v>
      </c>
      <c r="AY127" s="1" t="s">
        <v>48</v>
      </c>
      <c r="BA127" s="1" t="s">
        <v>500</v>
      </c>
      <c r="BB127" s="4">
        <f t="shared" ref="BB127:BJ127" si="767">IF(ISNUMBER(SEARCH(BB$1,$BA127)), 1, 0)</f>
        <v>0</v>
      </c>
      <c r="BC127" s="4">
        <f t="shared" si="767"/>
        <v>1</v>
      </c>
      <c r="BD127" s="4">
        <f t="shared" si="767"/>
        <v>0</v>
      </c>
      <c r="BE127" s="4">
        <f t="shared" si="767"/>
        <v>0</v>
      </c>
      <c r="BF127" s="4">
        <f t="shared" si="767"/>
        <v>0</v>
      </c>
      <c r="BG127" s="4">
        <f t="shared" si="767"/>
        <v>0</v>
      </c>
      <c r="BH127" s="4">
        <f t="shared" si="767"/>
        <v>0</v>
      </c>
      <c r="BI127" s="4">
        <f t="shared" si="767"/>
        <v>0</v>
      </c>
      <c r="BJ127" s="4">
        <f t="shared" si="767"/>
        <v>1</v>
      </c>
      <c r="BK127" s="4">
        <f t="shared" si="11"/>
        <v>2</v>
      </c>
      <c r="BM127" s="1" t="s">
        <v>218</v>
      </c>
      <c r="BN127" s="1" t="s">
        <v>501</v>
      </c>
      <c r="BO127" s="4">
        <f t="shared" ref="BO127:BU127" si="768">IF(ISNUMBER(SEARCH(BO$1,$BN127)), 1, 0)</f>
        <v>1</v>
      </c>
      <c r="BP127" s="4">
        <f t="shared" si="768"/>
        <v>1</v>
      </c>
      <c r="BQ127" s="4">
        <f t="shared" si="768"/>
        <v>1</v>
      </c>
      <c r="BR127" s="4">
        <f t="shared" si="768"/>
        <v>1</v>
      </c>
      <c r="BS127" s="4">
        <f t="shared" si="768"/>
        <v>0</v>
      </c>
      <c r="BT127" s="4">
        <f t="shared" si="768"/>
        <v>1</v>
      </c>
      <c r="BU127" s="4">
        <f t="shared" si="768"/>
        <v>0</v>
      </c>
      <c r="BY127" s="1" t="s">
        <v>502</v>
      </c>
      <c r="BZ127" s="1" t="s">
        <v>234</v>
      </c>
      <c r="CM127" s="1" t="s">
        <v>47</v>
      </c>
      <c r="CQ127" s="1" t="s">
        <v>48</v>
      </c>
      <c r="DC127" s="1" t="s">
        <v>180</v>
      </c>
    </row>
    <row r="128" spans="1:107" ht="15.75" customHeight="1" x14ac:dyDescent="0.25">
      <c r="A128" s="1" t="b">
        <v>1</v>
      </c>
      <c r="B128" s="3">
        <v>46167.016828703701</v>
      </c>
      <c r="C128" s="1" t="s">
        <v>664</v>
      </c>
      <c r="D128" s="1" t="s">
        <v>159</v>
      </c>
      <c r="E128" s="4">
        <f t="shared" ref="E128:K128" si="769">IF(ISNUMBER(SEARCH(E$1,$D128)), SEARCH(E$1,$D128), 0)</f>
        <v>1</v>
      </c>
      <c r="F128" s="4">
        <f t="shared" si="769"/>
        <v>0</v>
      </c>
      <c r="G128" s="4">
        <f t="shared" si="769"/>
        <v>0</v>
      </c>
      <c r="H128" s="4">
        <f t="shared" si="769"/>
        <v>0</v>
      </c>
      <c r="I128" s="4">
        <f t="shared" si="769"/>
        <v>30</v>
      </c>
      <c r="J128" s="4">
        <f t="shared" si="769"/>
        <v>62</v>
      </c>
      <c r="K128" s="4">
        <f t="shared" si="769"/>
        <v>0</v>
      </c>
      <c r="L128" s="4">
        <f t="shared" si="1"/>
        <v>62</v>
      </c>
      <c r="N128" s="1" t="s">
        <v>328</v>
      </c>
      <c r="O128" s="4">
        <f t="shared" ref="O128:T128" si="770">IF(ISNUMBER(SEARCH(O$1,$N128)), 1, 0)</f>
        <v>1</v>
      </c>
      <c r="P128" s="4">
        <f t="shared" si="770"/>
        <v>1</v>
      </c>
      <c r="Q128" s="4">
        <f t="shared" si="770"/>
        <v>1</v>
      </c>
      <c r="R128" s="4">
        <f t="shared" si="770"/>
        <v>0</v>
      </c>
      <c r="S128" s="4">
        <f t="shared" si="770"/>
        <v>0</v>
      </c>
      <c r="T128" s="4">
        <f t="shared" si="770"/>
        <v>0</v>
      </c>
      <c r="W128" s="1" t="str">
        <f t="shared" si="740"/>
        <v>False</v>
      </c>
      <c r="X128" s="1" t="str">
        <f t="shared" si="740"/>
        <v>False</v>
      </c>
      <c r="Y128" s="1" t="str">
        <f t="shared" si="740"/>
        <v>False</v>
      </c>
      <c r="Z128" s="1" t="str">
        <f t="shared" si="740"/>
        <v>False</v>
      </c>
      <c r="AA128" s="1" t="str">
        <f t="shared" si="740"/>
        <v>False</v>
      </c>
      <c r="AB128" s="1" t="s">
        <v>31</v>
      </c>
      <c r="AC128" s="4">
        <f t="shared" ref="AC128:AH128" si="771">IF(ISNUMBER(SEARCH(AC$1,$AB128)), 1, 0)</f>
        <v>0</v>
      </c>
      <c r="AD128" s="4">
        <f t="shared" si="771"/>
        <v>0</v>
      </c>
      <c r="AE128" s="4">
        <f t="shared" si="771"/>
        <v>0</v>
      </c>
      <c r="AF128" s="4">
        <f t="shared" si="771"/>
        <v>1</v>
      </c>
      <c r="AG128" s="4">
        <f t="shared" si="771"/>
        <v>0</v>
      </c>
      <c r="AH128" s="4">
        <f t="shared" si="771"/>
        <v>0</v>
      </c>
      <c r="AI128" s="1">
        <f t="shared" si="5"/>
        <v>1</v>
      </c>
      <c r="AK128" s="1" t="s">
        <v>288</v>
      </c>
      <c r="AL128" s="4">
        <f t="shared" ref="AL128:AS128" si="772">IF(ISNUMBER(SEARCH(AL$1,$AK128)), 1, 0)</f>
        <v>0</v>
      </c>
      <c r="AM128" s="4">
        <f t="shared" si="772"/>
        <v>1</v>
      </c>
      <c r="AN128" s="4">
        <f t="shared" si="772"/>
        <v>0</v>
      </c>
      <c r="AO128" s="4">
        <f t="shared" si="772"/>
        <v>1</v>
      </c>
      <c r="AP128" s="4">
        <f t="shared" si="772"/>
        <v>0</v>
      </c>
      <c r="AQ128" s="4">
        <f t="shared" si="772"/>
        <v>0</v>
      </c>
      <c r="AR128" s="4">
        <f t="shared" si="772"/>
        <v>0</v>
      </c>
      <c r="AS128" s="4">
        <f t="shared" si="772"/>
        <v>0</v>
      </c>
      <c r="AU128" s="1" t="s">
        <v>47</v>
      </c>
      <c r="AV128" s="1">
        <f t="shared" si="7"/>
        <v>1</v>
      </c>
      <c r="AW128" s="1">
        <f t="shared" si="8"/>
        <v>0</v>
      </c>
      <c r="AX128" s="1">
        <f t="shared" si="9"/>
        <v>0</v>
      </c>
      <c r="AY128" s="1" t="s">
        <v>48</v>
      </c>
      <c r="BA128" s="1" t="s">
        <v>665</v>
      </c>
      <c r="BB128" s="4">
        <f t="shared" ref="BB128:BJ128" si="773">IF(ISNUMBER(SEARCH(BB$1,$BA128)), 1, 0)</f>
        <v>0</v>
      </c>
      <c r="BC128" s="4">
        <f t="shared" si="773"/>
        <v>0</v>
      </c>
      <c r="BD128" s="4">
        <f t="shared" si="773"/>
        <v>0</v>
      </c>
      <c r="BE128" s="4">
        <f t="shared" si="773"/>
        <v>1</v>
      </c>
      <c r="BF128" s="4">
        <f t="shared" si="773"/>
        <v>0</v>
      </c>
      <c r="BG128" s="4">
        <f t="shared" si="773"/>
        <v>0</v>
      </c>
      <c r="BH128" s="4">
        <f t="shared" si="773"/>
        <v>0</v>
      </c>
      <c r="BI128" s="4">
        <f t="shared" si="773"/>
        <v>1</v>
      </c>
      <c r="BJ128" s="4">
        <f t="shared" si="773"/>
        <v>1</v>
      </c>
      <c r="BK128" s="4">
        <f t="shared" si="11"/>
        <v>3</v>
      </c>
      <c r="BM128" s="1" t="s">
        <v>232</v>
      </c>
      <c r="BN128" s="1" t="s">
        <v>666</v>
      </c>
      <c r="BO128" s="4">
        <f t="shared" ref="BO128:BU128" si="774">IF(ISNUMBER(SEARCH(BO$1,$BN128)), 1, 0)</f>
        <v>0</v>
      </c>
      <c r="BP128" s="4">
        <f t="shared" si="774"/>
        <v>0</v>
      </c>
      <c r="BQ128" s="4">
        <f t="shared" si="774"/>
        <v>0</v>
      </c>
      <c r="BR128" s="4">
        <f t="shared" si="774"/>
        <v>1</v>
      </c>
      <c r="BS128" s="4">
        <f t="shared" si="774"/>
        <v>1</v>
      </c>
      <c r="BT128" s="4">
        <f t="shared" si="774"/>
        <v>0</v>
      </c>
      <c r="BU128" s="4">
        <f t="shared" si="774"/>
        <v>1</v>
      </c>
      <c r="CH128" s="1" t="s">
        <v>667</v>
      </c>
      <c r="CJ128" s="1" t="s">
        <v>668</v>
      </c>
      <c r="CL128" s="1" t="s">
        <v>352</v>
      </c>
      <c r="CR128" s="1" t="s">
        <v>250</v>
      </c>
      <c r="DC128" s="1" t="s">
        <v>238</v>
      </c>
    </row>
    <row r="129" spans="1:107" ht="15.75" customHeight="1" x14ac:dyDescent="0.25">
      <c r="A129" s="1" t="b">
        <v>1</v>
      </c>
      <c r="B129" s="3">
        <v>46152.460173611114</v>
      </c>
      <c r="C129" s="1" t="s">
        <v>285</v>
      </c>
      <c r="D129" s="1" t="s">
        <v>286</v>
      </c>
      <c r="E129" s="4">
        <f t="shared" ref="E129:K129" si="775">IF(ISNUMBER(SEARCH(E$1,$D129)), SEARCH(E$1,$D129), 0)</f>
        <v>1</v>
      </c>
      <c r="F129" s="4">
        <f t="shared" si="775"/>
        <v>0</v>
      </c>
      <c r="G129" s="4">
        <f t="shared" si="775"/>
        <v>0</v>
      </c>
      <c r="H129" s="4">
        <f t="shared" si="775"/>
        <v>0</v>
      </c>
      <c r="I129" s="4">
        <f t="shared" si="775"/>
        <v>0</v>
      </c>
      <c r="J129" s="4">
        <f t="shared" si="775"/>
        <v>30</v>
      </c>
      <c r="K129" s="4">
        <f t="shared" si="775"/>
        <v>67</v>
      </c>
      <c r="L129" s="4">
        <f t="shared" si="1"/>
        <v>67</v>
      </c>
      <c r="N129" s="1" t="s">
        <v>208</v>
      </c>
      <c r="O129" s="4">
        <f t="shared" ref="O129:T129" si="776">IF(ISNUMBER(SEARCH(O$1,$N129)), 1, 0)</f>
        <v>1</v>
      </c>
      <c r="P129" s="4">
        <f t="shared" si="776"/>
        <v>1</v>
      </c>
      <c r="Q129" s="4">
        <f t="shared" si="776"/>
        <v>0</v>
      </c>
      <c r="R129" s="4">
        <f t="shared" si="776"/>
        <v>1</v>
      </c>
      <c r="S129" s="4">
        <f t="shared" si="776"/>
        <v>0</v>
      </c>
      <c r="T129" s="4">
        <f t="shared" si="776"/>
        <v>0</v>
      </c>
      <c r="V129" s="1" t="s">
        <v>25</v>
      </c>
      <c r="W129" s="1" t="str">
        <f t="shared" si="740"/>
        <v>False</v>
      </c>
      <c r="X129" s="1" t="str">
        <f t="shared" si="740"/>
        <v>False</v>
      </c>
      <c r="Y129" s="1" t="str">
        <f t="shared" si="740"/>
        <v>False</v>
      </c>
      <c r="Z129" s="1" t="str">
        <f t="shared" si="740"/>
        <v>True</v>
      </c>
      <c r="AA129" s="1" t="str">
        <f t="shared" si="740"/>
        <v>False</v>
      </c>
      <c r="AB129" s="1" t="s">
        <v>287</v>
      </c>
      <c r="AC129" s="4">
        <f t="shared" ref="AC129:AH129" si="777">IF(ISNUMBER(SEARCH(AC$1,$AB129)), 1, 0)</f>
        <v>0</v>
      </c>
      <c r="AD129" s="4">
        <f t="shared" si="777"/>
        <v>0</v>
      </c>
      <c r="AE129" s="4">
        <f t="shared" si="777"/>
        <v>0</v>
      </c>
      <c r="AF129" s="4">
        <f t="shared" si="777"/>
        <v>1</v>
      </c>
      <c r="AG129" s="4">
        <f t="shared" si="777"/>
        <v>1</v>
      </c>
      <c r="AH129" s="4">
        <f t="shared" si="777"/>
        <v>0</v>
      </c>
      <c r="AI129" s="1">
        <f t="shared" si="5"/>
        <v>2</v>
      </c>
      <c r="AK129" s="1" t="s">
        <v>288</v>
      </c>
      <c r="AL129" s="4">
        <f t="shared" ref="AL129:AS129" si="778">IF(ISNUMBER(SEARCH(AL$1,$AK129)), 1, 0)</f>
        <v>0</v>
      </c>
      <c r="AM129" s="4">
        <f t="shared" si="778"/>
        <v>1</v>
      </c>
      <c r="AN129" s="4">
        <f t="shared" si="778"/>
        <v>0</v>
      </c>
      <c r="AO129" s="4">
        <f t="shared" si="778"/>
        <v>1</v>
      </c>
      <c r="AP129" s="4">
        <f t="shared" si="778"/>
        <v>0</v>
      </c>
      <c r="AQ129" s="4">
        <f t="shared" si="778"/>
        <v>0</v>
      </c>
      <c r="AR129" s="4">
        <f t="shared" si="778"/>
        <v>0</v>
      </c>
      <c r="AS129" s="4">
        <f t="shared" si="778"/>
        <v>0</v>
      </c>
      <c r="AU129" s="1" t="s">
        <v>48</v>
      </c>
      <c r="AV129" s="1">
        <f t="shared" si="7"/>
        <v>0</v>
      </c>
      <c r="AW129" s="1">
        <f t="shared" si="8"/>
        <v>1</v>
      </c>
      <c r="AX129" s="1">
        <f t="shared" si="9"/>
        <v>0</v>
      </c>
      <c r="AY129" s="1" t="s">
        <v>48</v>
      </c>
      <c r="BA129" s="1" t="s">
        <v>289</v>
      </c>
      <c r="BB129" s="4">
        <f t="shared" ref="BB129:BJ129" si="779">IF(ISNUMBER(SEARCH(BB$1,$BA129)), 1, 0)</f>
        <v>0</v>
      </c>
      <c r="BC129" s="4">
        <f t="shared" si="779"/>
        <v>1</v>
      </c>
      <c r="BD129" s="4">
        <f t="shared" si="779"/>
        <v>1</v>
      </c>
      <c r="BE129" s="4">
        <f t="shared" si="779"/>
        <v>1</v>
      </c>
      <c r="BF129" s="4">
        <f t="shared" si="779"/>
        <v>0</v>
      </c>
      <c r="BG129" s="4">
        <f t="shared" si="779"/>
        <v>0</v>
      </c>
      <c r="BH129" s="4">
        <f t="shared" si="779"/>
        <v>1</v>
      </c>
      <c r="BI129" s="4">
        <f t="shared" si="779"/>
        <v>0</v>
      </c>
      <c r="BJ129" s="4">
        <f t="shared" si="779"/>
        <v>1</v>
      </c>
      <c r="BK129" s="4">
        <f t="shared" si="11"/>
        <v>5</v>
      </c>
      <c r="BM129" s="1" t="s">
        <v>166</v>
      </c>
      <c r="BN129" s="1" t="s">
        <v>290</v>
      </c>
      <c r="BO129" s="4">
        <f t="shared" ref="BO129:BU129" si="780">IF(ISNUMBER(SEARCH(BO$1,$BN129)), 1, 0)</f>
        <v>0</v>
      </c>
      <c r="BP129" s="4">
        <f t="shared" si="780"/>
        <v>0</v>
      </c>
      <c r="BQ129" s="4">
        <f t="shared" si="780"/>
        <v>0</v>
      </c>
      <c r="BR129" s="4">
        <f t="shared" si="780"/>
        <v>1</v>
      </c>
      <c r="BS129" s="4">
        <f t="shared" si="780"/>
        <v>0</v>
      </c>
      <c r="BT129" s="4">
        <f t="shared" si="780"/>
        <v>1</v>
      </c>
      <c r="BU129" s="4">
        <f t="shared" si="780"/>
        <v>0</v>
      </c>
      <c r="BW129" s="1" t="s">
        <v>220</v>
      </c>
      <c r="BY129" s="1" t="s">
        <v>291</v>
      </c>
      <c r="BZ129" s="1" t="s">
        <v>278</v>
      </c>
      <c r="CM129" s="1" t="s">
        <v>47</v>
      </c>
      <c r="CQ129" s="1" t="s">
        <v>48</v>
      </c>
      <c r="CR129" s="1" t="s">
        <v>214</v>
      </c>
      <c r="CT129" s="1" t="s">
        <v>292</v>
      </c>
      <c r="DC129" s="1" t="s">
        <v>238</v>
      </c>
    </row>
    <row r="130" spans="1:107" ht="15.75" customHeight="1" x14ac:dyDescent="0.25">
      <c r="A130" s="1" t="b">
        <v>1</v>
      </c>
      <c r="B130" s="3">
        <v>46165.060011574074</v>
      </c>
      <c r="C130" s="1" t="s">
        <v>574</v>
      </c>
      <c r="D130" s="1" t="s">
        <v>8</v>
      </c>
      <c r="E130" s="4">
        <f t="shared" ref="E130:K130" si="781">IF(ISNUMBER(SEARCH(E$1,$D130)), SEARCH(E$1,$D130), 0)</f>
        <v>0</v>
      </c>
      <c r="F130" s="4">
        <f t="shared" si="781"/>
        <v>0</v>
      </c>
      <c r="G130" s="4">
        <f t="shared" si="781"/>
        <v>0</v>
      </c>
      <c r="H130" s="4">
        <f t="shared" si="781"/>
        <v>0</v>
      </c>
      <c r="I130" s="4">
        <f t="shared" si="781"/>
        <v>1</v>
      </c>
      <c r="J130" s="4">
        <f t="shared" si="781"/>
        <v>0</v>
      </c>
      <c r="K130" s="4">
        <f t="shared" si="781"/>
        <v>0</v>
      </c>
      <c r="L130" s="4">
        <f t="shared" si="1"/>
        <v>1</v>
      </c>
      <c r="N130" s="1" t="s">
        <v>240</v>
      </c>
      <c r="O130" s="4">
        <f t="shared" ref="O130:T130" si="782">IF(ISNUMBER(SEARCH(O$1,$N130)), 1, 0)</f>
        <v>1</v>
      </c>
      <c r="P130" s="4">
        <f t="shared" si="782"/>
        <v>1</v>
      </c>
      <c r="Q130" s="4">
        <f t="shared" si="782"/>
        <v>1</v>
      </c>
      <c r="R130" s="4">
        <f t="shared" si="782"/>
        <v>1</v>
      </c>
      <c r="S130" s="4">
        <f t="shared" si="782"/>
        <v>0</v>
      </c>
      <c r="T130" s="4">
        <f t="shared" si="782"/>
        <v>0</v>
      </c>
      <c r="W130" s="1" t="str">
        <f t="shared" si="740"/>
        <v>False</v>
      </c>
      <c r="X130" s="1" t="str">
        <f t="shared" si="740"/>
        <v>False</v>
      </c>
      <c r="Y130" s="1" t="str">
        <f t="shared" si="740"/>
        <v>False</v>
      </c>
      <c r="Z130" s="1" t="str">
        <f t="shared" si="740"/>
        <v>False</v>
      </c>
      <c r="AA130" s="1" t="str">
        <f t="shared" si="740"/>
        <v>False</v>
      </c>
      <c r="AB130" s="1" t="s">
        <v>357</v>
      </c>
      <c r="AC130" s="4">
        <f t="shared" ref="AC130:AH130" si="783">IF(ISNUMBER(SEARCH(AC$1,$AB130)), 1, 0)</f>
        <v>1</v>
      </c>
      <c r="AD130" s="4">
        <f t="shared" si="783"/>
        <v>0</v>
      </c>
      <c r="AE130" s="4">
        <f t="shared" si="783"/>
        <v>0</v>
      </c>
      <c r="AF130" s="4">
        <f t="shared" si="783"/>
        <v>0</v>
      </c>
      <c r="AG130" s="4">
        <f t="shared" si="783"/>
        <v>0</v>
      </c>
      <c r="AH130" s="4">
        <f t="shared" si="783"/>
        <v>1</v>
      </c>
      <c r="AI130" s="1">
        <f t="shared" si="5"/>
        <v>2</v>
      </c>
      <c r="AK130" s="1" t="s">
        <v>470</v>
      </c>
      <c r="AL130" s="4">
        <f t="shared" ref="AL130:AS130" si="784">IF(ISNUMBER(SEARCH(AL$1,$AK130)), 1, 0)</f>
        <v>0</v>
      </c>
      <c r="AM130" s="4">
        <f t="shared" si="784"/>
        <v>1</v>
      </c>
      <c r="AN130" s="4">
        <f t="shared" si="784"/>
        <v>0</v>
      </c>
      <c r="AO130" s="4">
        <f t="shared" si="784"/>
        <v>1</v>
      </c>
      <c r="AP130" s="4">
        <f t="shared" si="784"/>
        <v>0</v>
      </c>
      <c r="AQ130" s="4">
        <f t="shared" si="784"/>
        <v>1</v>
      </c>
      <c r="AR130" s="4">
        <f t="shared" si="784"/>
        <v>0</v>
      </c>
      <c r="AS130" s="4">
        <f t="shared" si="784"/>
        <v>0</v>
      </c>
      <c r="AU130" s="1" t="s">
        <v>47</v>
      </c>
      <c r="AV130" s="1">
        <f t="shared" si="7"/>
        <v>1</v>
      </c>
      <c r="AW130" s="1">
        <f t="shared" si="8"/>
        <v>0</v>
      </c>
      <c r="AX130" s="1">
        <f t="shared" si="9"/>
        <v>0</v>
      </c>
      <c r="AY130" s="1" t="s">
        <v>48</v>
      </c>
      <c r="BA130" s="1" t="s">
        <v>231</v>
      </c>
      <c r="BB130" s="4">
        <f t="shared" ref="BB130:BJ130" si="785">IF(ISNUMBER(SEARCH(BB$1,$BA130)), 1, 0)</f>
        <v>1</v>
      </c>
      <c r="BC130" s="4">
        <f t="shared" si="785"/>
        <v>1</v>
      </c>
      <c r="BD130" s="4">
        <f t="shared" si="785"/>
        <v>1</v>
      </c>
      <c r="BE130" s="4">
        <f t="shared" si="785"/>
        <v>1</v>
      </c>
      <c r="BF130" s="4">
        <f t="shared" si="785"/>
        <v>1</v>
      </c>
      <c r="BG130" s="4">
        <f t="shared" si="785"/>
        <v>1</v>
      </c>
      <c r="BH130" s="4">
        <f t="shared" si="785"/>
        <v>0</v>
      </c>
      <c r="BI130" s="4">
        <f t="shared" si="785"/>
        <v>0</v>
      </c>
      <c r="BJ130" s="4">
        <f t="shared" si="785"/>
        <v>1</v>
      </c>
      <c r="BK130" s="4">
        <f t="shared" si="11"/>
        <v>7</v>
      </c>
      <c r="BM130" s="1" t="s">
        <v>232</v>
      </c>
      <c r="BN130" s="1" t="s">
        <v>382</v>
      </c>
      <c r="BO130" s="4">
        <f t="shared" ref="BO130:BU130" si="786">IF(ISNUMBER(SEARCH(BO$1,$BN130)), 1, 0)</f>
        <v>1</v>
      </c>
      <c r="BP130" s="4">
        <f t="shared" si="786"/>
        <v>1</v>
      </c>
      <c r="BQ130" s="4">
        <f t="shared" si="786"/>
        <v>1</v>
      </c>
      <c r="BR130" s="4">
        <f t="shared" si="786"/>
        <v>1</v>
      </c>
      <c r="BS130" s="4">
        <f t="shared" si="786"/>
        <v>1</v>
      </c>
      <c r="BT130" s="4">
        <f t="shared" si="786"/>
        <v>1</v>
      </c>
      <c r="BU130" s="4">
        <f t="shared" si="786"/>
        <v>0</v>
      </c>
      <c r="CH130" s="1" t="s">
        <v>575</v>
      </c>
      <c r="CI130" s="1" t="s">
        <v>576</v>
      </c>
      <c r="CJ130" s="1" t="s">
        <v>175</v>
      </c>
      <c r="CK130" s="1" t="s">
        <v>577</v>
      </c>
      <c r="CL130" s="1" t="s">
        <v>578</v>
      </c>
      <c r="DC130" s="1" t="s">
        <v>180</v>
      </c>
    </row>
    <row r="131" spans="1:107" ht="15.75" customHeight="1" x14ac:dyDescent="0.25">
      <c r="A131" s="1" t="b">
        <v>1</v>
      </c>
      <c r="B131" s="3">
        <v>46166.618159722224</v>
      </c>
      <c r="C131" s="1" t="s">
        <v>647</v>
      </c>
      <c r="D131" s="1" t="s">
        <v>9</v>
      </c>
      <c r="E131" s="4">
        <f t="shared" ref="E131:K131" si="787">IF(ISNUMBER(SEARCH(E$1,$D131)), SEARCH(E$1,$D131), 0)</f>
        <v>0</v>
      </c>
      <c r="F131" s="4">
        <f t="shared" si="787"/>
        <v>0</v>
      </c>
      <c r="G131" s="4">
        <f t="shared" si="787"/>
        <v>0</v>
      </c>
      <c r="H131" s="4">
        <f t="shared" si="787"/>
        <v>0</v>
      </c>
      <c r="I131" s="4">
        <f t="shared" si="787"/>
        <v>0</v>
      </c>
      <c r="J131" s="4">
        <f t="shared" si="787"/>
        <v>1</v>
      </c>
      <c r="K131" s="4">
        <f t="shared" si="787"/>
        <v>0</v>
      </c>
      <c r="L131" s="4">
        <f t="shared" si="1"/>
        <v>1</v>
      </c>
      <c r="N131" s="1" t="s">
        <v>18</v>
      </c>
      <c r="O131" s="4">
        <f t="shared" ref="O131:T131" si="788">IF(ISNUMBER(SEARCH(O$1,$N131)), 1, 0)</f>
        <v>0</v>
      </c>
      <c r="P131" s="4">
        <f t="shared" si="788"/>
        <v>0</v>
      </c>
      <c r="Q131" s="4">
        <f t="shared" si="788"/>
        <v>0</v>
      </c>
      <c r="R131" s="4">
        <f t="shared" si="788"/>
        <v>0</v>
      </c>
      <c r="S131" s="4">
        <f t="shared" si="788"/>
        <v>1</v>
      </c>
      <c r="T131" s="4">
        <f t="shared" si="788"/>
        <v>0</v>
      </c>
      <c r="W131" s="1" t="str">
        <f t="shared" si="740"/>
        <v>False</v>
      </c>
      <c r="X131" s="1" t="str">
        <f t="shared" si="740"/>
        <v>False</v>
      </c>
      <c r="Y131" s="1" t="str">
        <f t="shared" si="740"/>
        <v>False</v>
      </c>
      <c r="Z131" s="1" t="str">
        <f t="shared" si="740"/>
        <v>False</v>
      </c>
      <c r="AA131" s="1" t="str">
        <f t="shared" si="740"/>
        <v>False</v>
      </c>
      <c r="AB131" s="1" t="s">
        <v>31</v>
      </c>
      <c r="AC131" s="4">
        <f t="shared" ref="AC131:AH131" si="789">IF(ISNUMBER(SEARCH(AC$1,$AB131)), 1, 0)</f>
        <v>0</v>
      </c>
      <c r="AD131" s="4">
        <f t="shared" si="789"/>
        <v>0</v>
      </c>
      <c r="AE131" s="4">
        <f t="shared" si="789"/>
        <v>0</v>
      </c>
      <c r="AF131" s="4">
        <f t="shared" si="789"/>
        <v>1</v>
      </c>
      <c r="AG131" s="4">
        <f t="shared" si="789"/>
        <v>0</v>
      </c>
      <c r="AH131" s="4">
        <f t="shared" si="789"/>
        <v>0</v>
      </c>
      <c r="AI131" s="1">
        <f t="shared" si="5"/>
        <v>1</v>
      </c>
      <c r="AK131" s="1" t="s">
        <v>44</v>
      </c>
      <c r="AL131" s="4">
        <f t="shared" ref="AL131:AS131" si="790">IF(ISNUMBER(SEARCH(AL$1,$AK131)), 1, 0)</f>
        <v>0</v>
      </c>
      <c r="AM131" s="4">
        <f t="shared" si="790"/>
        <v>0</v>
      </c>
      <c r="AN131" s="4">
        <f t="shared" si="790"/>
        <v>0</v>
      </c>
      <c r="AO131" s="4">
        <f t="shared" si="790"/>
        <v>0</v>
      </c>
      <c r="AP131" s="4">
        <f t="shared" si="790"/>
        <v>0</v>
      </c>
      <c r="AQ131" s="4">
        <f t="shared" si="790"/>
        <v>0</v>
      </c>
      <c r="AR131" s="4">
        <f t="shared" si="790"/>
        <v>0</v>
      </c>
      <c r="AS131" s="4">
        <f t="shared" si="790"/>
        <v>1</v>
      </c>
      <c r="AU131" s="1" t="s">
        <v>47</v>
      </c>
      <c r="AV131" s="1">
        <f t="shared" si="7"/>
        <v>1</v>
      </c>
      <c r="AW131" s="1">
        <f t="shared" si="8"/>
        <v>0</v>
      </c>
      <c r="AX131" s="1">
        <f t="shared" si="9"/>
        <v>0</v>
      </c>
      <c r="AY131" s="1" t="s">
        <v>47</v>
      </c>
      <c r="AZ131" s="1" t="s">
        <v>48</v>
      </c>
      <c r="BA131" s="1" t="s">
        <v>61</v>
      </c>
      <c r="BB131" s="4">
        <f t="shared" ref="BB131:BJ131" si="791">IF(ISNUMBER(SEARCH(BB$1,$BA131)), 1, 0)</f>
        <v>0</v>
      </c>
      <c r="BC131" s="4">
        <f t="shared" si="791"/>
        <v>0</v>
      </c>
      <c r="BD131" s="4">
        <f t="shared" si="791"/>
        <v>0</v>
      </c>
      <c r="BE131" s="4">
        <f t="shared" si="791"/>
        <v>0</v>
      </c>
      <c r="BF131" s="4">
        <f t="shared" si="791"/>
        <v>0</v>
      </c>
      <c r="BG131" s="4">
        <f t="shared" si="791"/>
        <v>0</v>
      </c>
      <c r="BH131" s="4">
        <f t="shared" si="791"/>
        <v>0</v>
      </c>
      <c r="BI131" s="4">
        <f t="shared" si="791"/>
        <v>0</v>
      </c>
      <c r="BJ131" s="4">
        <f t="shared" si="791"/>
        <v>1</v>
      </c>
      <c r="BK131" s="4">
        <f t="shared" si="11"/>
        <v>1</v>
      </c>
      <c r="BO131" s="4">
        <f t="shared" ref="BO131:BU131" si="792">IF(ISNUMBER(SEARCH(BO$1,$BN131)), 1, 0)</f>
        <v>0</v>
      </c>
      <c r="BP131" s="4">
        <f t="shared" si="792"/>
        <v>0</v>
      </c>
      <c r="BQ131" s="4">
        <f t="shared" si="792"/>
        <v>0</v>
      </c>
      <c r="BR131" s="4">
        <f t="shared" si="792"/>
        <v>0</v>
      </c>
      <c r="BS131" s="4">
        <f t="shared" si="792"/>
        <v>0</v>
      </c>
      <c r="BT131" s="4">
        <f t="shared" si="792"/>
        <v>0</v>
      </c>
      <c r="BU131" s="4">
        <f t="shared" si="792"/>
        <v>0</v>
      </c>
      <c r="CR131" s="1" t="s">
        <v>648</v>
      </c>
      <c r="CT131" s="1" t="s">
        <v>649</v>
      </c>
      <c r="DC131" s="1" t="s">
        <v>180</v>
      </c>
    </row>
    <row r="132" spans="1:107" ht="15.75" customHeight="1" x14ac:dyDescent="0.25">
      <c r="A132" s="1" t="b">
        <v>1</v>
      </c>
      <c r="B132" s="3">
        <v>46164.596678240741</v>
      </c>
      <c r="C132" s="1" t="s">
        <v>503</v>
      </c>
      <c r="D132" s="1" t="s">
        <v>183</v>
      </c>
      <c r="E132" s="4">
        <f t="shared" ref="E132:K132" si="793">IF(ISNUMBER(SEARCH(E$1,$D132)), SEARCH(E$1,$D132), 0)</f>
        <v>0</v>
      </c>
      <c r="F132" s="4">
        <f t="shared" si="793"/>
        <v>0</v>
      </c>
      <c r="G132" s="4">
        <f t="shared" si="793"/>
        <v>0</v>
      </c>
      <c r="H132" s="4">
        <f t="shared" si="793"/>
        <v>0</v>
      </c>
      <c r="I132" s="4">
        <f t="shared" si="793"/>
        <v>0</v>
      </c>
      <c r="J132" s="4">
        <f t="shared" si="793"/>
        <v>0</v>
      </c>
      <c r="K132" s="4">
        <f t="shared" si="793"/>
        <v>0</v>
      </c>
      <c r="L132" s="4">
        <f t="shared" si="1"/>
        <v>0</v>
      </c>
      <c r="M132" s="1" t="s">
        <v>504</v>
      </c>
      <c r="N132" s="1" t="s">
        <v>505</v>
      </c>
      <c r="O132" s="4">
        <f t="shared" ref="O132:T132" si="794">IF(ISNUMBER(SEARCH(O$1,$N132)), 1, 0)</f>
        <v>1</v>
      </c>
      <c r="P132" s="4">
        <f t="shared" si="794"/>
        <v>1</v>
      </c>
      <c r="Q132" s="4">
        <f t="shared" si="794"/>
        <v>0</v>
      </c>
      <c r="R132" s="4">
        <f t="shared" si="794"/>
        <v>1</v>
      </c>
      <c r="S132" s="4">
        <f t="shared" si="794"/>
        <v>1</v>
      </c>
      <c r="T132" s="4">
        <f t="shared" si="794"/>
        <v>1</v>
      </c>
      <c r="V132" s="1" t="s">
        <v>24</v>
      </c>
      <c r="W132" s="1" t="str">
        <f t="shared" si="740"/>
        <v>False</v>
      </c>
      <c r="X132" s="1" t="str">
        <f t="shared" si="740"/>
        <v>False</v>
      </c>
      <c r="Y132" s="1" t="str">
        <f t="shared" si="740"/>
        <v>True</v>
      </c>
      <c r="Z132" s="1" t="str">
        <f t="shared" si="740"/>
        <v>False</v>
      </c>
      <c r="AA132" s="1" t="str">
        <f t="shared" si="740"/>
        <v>False</v>
      </c>
      <c r="AB132" s="1" t="s">
        <v>487</v>
      </c>
      <c r="AC132" s="4">
        <f t="shared" ref="AC132:AH132" si="795">IF(ISNUMBER(SEARCH(AC$1,$AB132)), 1, 0)</f>
        <v>0</v>
      </c>
      <c r="AD132" s="4">
        <f t="shared" si="795"/>
        <v>0</v>
      </c>
      <c r="AE132" s="4">
        <f t="shared" si="795"/>
        <v>0</v>
      </c>
      <c r="AF132" s="4">
        <f t="shared" si="795"/>
        <v>1</v>
      </c>
      <c r="AG132" s="4">
        <f t="shared" si="795"/>
        <v>0</v>
      </c>
      <c r="AH132" s="4">
        <f t="shared" si="795"/>
        <v>1</v>
      </c>
      <c r="AI132" s="1">
        <f t="shared" si="5"/>
        <v>2</v>
      </c>
      <c r="AK132" s="1" t="s">
        <v>506</v>
      </c>
      <c r="AL132" s="4">
        <f t="shared" ref="AL132:AS132" si="796">IF(ISNUMBER(SEARCH(AL$1,$AK132)), 1, 0)</f>
        <v>1</v>
      </c>
      <c r="AM132" s="4">
        <f t="shared" si="796"/>
        <v>1</v>
      </c>
      <c r="AN132" s="4">
        <f t="shared" si="796"/>
        <v>0</v>
      </c>
      <c r="AO132" s="4">
        <f t="shared" si="796"/>
        <v>0</v>
      </c>
      <c r="AP132" s="4">
        <f t="shared" si="796"/>
        <v>0</v>
      </c>
      <c r="AQ132" s="4">
        <f t="shared" si="796"/>
        <v>0</v>
      </c>
      <c r="AR132" s="4">
        <f t="shared" si="796"/>
        <v>0</v>
      </c>
      <c r="AS132" s="4">
        <f t="shared" si="796"/>
        <v>0</v>
      </c>
      <c r="AU132" s="1" t="s">
        <v>47</v>
      </c>
      <c r="AV132" s="1">
        <f t="shared" si="7"/>
        <v>1</v>
      </c>
      <c r="AW132" s="1">
        <f t="shared" si="8"/>
        <v>0</v>
      </c>
      <c r="AX132" s="1">
        <f t="shared" si="9"/>
        <v>0</v>
      </c>
      <c r="AY132" s="1" t="s">
        <v>48</v>
      </c>
      <c r="BA132" s="1" t="s">
        <v>507</v>
      </c>
      <c r="BB132" s="4">
        <f t="shared" ref="BB132:BJ132" si="797">IF(ISNUMBER(SEARCH(BB$1,$BA132)), 1, 0)</f>
        <v>0</v>
      </c>
      <c r="BC132" s="4">
        <f t="shared" si="797"/>
        <v>0</v>
      </c>
      <c r="BD132" s="4">
        <f t="shared" si="797"/>
        <v>1</v>
      </c>
      <c r="BE132" s="4">
        <f t="shared" si="797"/>
        <v>1</v>
      </c>
      <c r="BF132" s="4">
        <f t="shared" si="797"/>
        <v>1</v>
      </c>
      <c r="BG132" s="4">
        <f t="shared" si="797"/>
        <v>0</v>
      </c>
      <c r="BH132" s="4">
        <f t="shared" si="797"/>
        <v>1</v>
      </c>
      <c r="BI132" s="4">
        <f t="shared" si="797"/>
        <v>1</v>
      </c>
      <c r="BJ132" s="4">
        <f t="shared" si="797"/>
        <v>0</v>
      </c>
      <c r="BK132" s="4">
        <f t="shared" si="11"/>
        <v>5</v>
      </c>
      <c r="BM132" s="1" t="s">
        <v>190</v>
      </c>
      <c r="BN132" s="1" t="s">
        <v>72</v>
      </c>
      <c r="BO132" s="4">
        <f t="shared" ref="BO132:BU132" si="798">IF(ISNUMBER(SEARCH(BO$1,$BN132)), 1, 0)</f>
        <v>0</v>
      </c>
      <c r="BP132" s="4">
        <f t="shared" si="798"/>
        <v>0</v>
      </c>
      <c r="BQ132" s="4">
        <f t="shared" si="798"/>
        <v>0</v>
      </c>
      <c r="BR132" s="4">
        <f t="shared" si="798"/>
        <v>0</v>
      </c>
      <c r="BS132" s="4">
        <f t="shared" si="798"/>
        <v>0</v>
      </c>
      <c r="BT132" s="4">
        <f t="shared" si="798"/>
        <v>0</v>
      </c>
      <c r="BU132" s="4">
        <f t="shared" si="798"/>
        <v>1</v>
      </c>
      <c r="DC132" s="1" t="s">
        <v>238</v>
      </c>
    </row>
    <row r="133" spans="1:107" ht="15.75" customHeight="1" x14ac:dyDescent="0.25">
      <c r="A133" s="1" t="b">
        <v>1</v>
      </c>
      <c r="B133" s="3">
        <v>46167.369560185187</v>
      </c>
      <c r="C133" s="1" t="s">
        <v>681</v>
      </c>
      <c r="D133" s="1" t="s">
        <v>8</v>
      </c>
      <c r="E133" s="4">
        <f t="shared" ref="E133:K133" si="799">IF(ISNUMBER(SEARCH(E$1,$D133)), SEARCH(E$1,$D133), 0)</f>
        <v>0</v>
      </c>
      <c r="F133" s="4">
        <f t="shared" si="799"/>
        <v>0</v>
      </c>
      <c r="G133" s="4">
        <f t="shared" si="799"/>
        <v>0</v>
      </c>
      <c r="H133" s="4">
        <f t="shared" si="799"/>
        <v>0</v>
      </c>
      <c r="I133" s="4">
        <f t="shared" si="799"/>
        <v>1</v>
      </c>
      <c r="J133" s="4">
        <f t="shared" si="799"/>
        <v>0</v>
      </c>
      <c r="K133" s="4">
        <f t="shared" si="799"/>
        <v>0</v>
      </c>
      <c r="L133" s="4">
        <f t="shared" si="1"/>
        <v>1</v>
      </c>
      <c r="N133" s="1" t="s">
        <v>328</v>
      </c>
      <c r="O133" s="4">
        <f t="shared" ref="O133:T133" si="800">IF(ISNUMBER(SEARCH(O$1,$N133)), 1, 0)</f>
        <v>1</v>
      </c>
      <c r="P133" s="4">
        <f t="shared" si="800"/>
        <v>1</v>
      </c>
      <c r="Q133" s="4">
        <f t="shared" si="800"/>
        <v>1</v>
      </c>
      <c r="R133" s="4">
        <f t="shared" si="800"/>
        <v>0</v>
      </c>
      <c r="S133" s="4">
        <f t="shared" si="800"/>
        <v>0</v>
      </c>
      <c r="T133" s="4">
        <f t="shared" si="800"/>
        <v>0</v>
      </c>
      <c r="V133" s="1" t="s">
        <v>24</v>
      </c>
      <c r="W133" s="1" t="str">
        <f t="shared" si="740"/>
        <v>False</v>
      </c>
      <c r="X133" s="1" t="str">
        <f t="shared" si="740"/>
        <v>False</v>
      </c>
      <c r="Y133" s="1" t="str">
        <f t="shared" si="740"/>
        <v>True</v>
      </c>
      <c r="Z133" s="1" t="str">
        <f t="shared" si="740"/>
        <v>False</v>
      </c>
      <c r="AA133" s="1" t="str">
        <f t="shared" si="740"/>
        <v>False</v>
      </c>
      <c r="AB133" s="1" t="s">
        <v>357</v>
      </c>
      <c r="AC133" s="4">
        <f t="shared" ref="AC133:AH133" si="801">IF(ISNUMBER(SEARCH(AC$1,$AB133)), 1, 0)</f>
        <v>1</v>
      </c>
      <c r="AD133" s="4">
        <f t="shared" si="801"/>
        <v>0</v>
      </c>
      <c r="AE133" s="4">
        <f t="shared" si="801"/>
        <v>0</v>
      </c>
      <c r="AF133" s="4">
        <f t="shared" si="801"/>
        <v>0</v>
      </c>
      <c r="AG133" s="4">
        <f t="shared" si="801"/>
        <v>0</v>
      </c>
      <c r="AH133" s="4">
        <f t="shared" si="801"/>
        <v>1</v>
      </c>
      <c r="AI133" s="1">
        <f t="shared" si="5"/>
        <v>2</v>
      </c>
      <c r="AK133" s="1" t="s">
        <v>288</v>
      </c>
      <c r="AL133" s="4">
        <f t="shared" ref="AL133:AS133" si="802">IF(ISNUMBER(SEARCH(AL$1,$AK133)), 1, 0)</f>
        <v>0</v>
      </c>
      <c r="AM133" s="4">
        <f t="shared" si="802"/>
        <v>1</v>
      </c>
      <c r="AN133" s="4">
        <f t="shared" si="802"/>
        <v>0</v>
      </c>
      <c r="AO133" s="4">
        <f t="shared" si="802"/>
        <v>1</v>
      </c>
      <c r="AP133" s="4">
        <f t="shared" si="802"/>
        <v>0</v>
      </c>
      <c r="AQ133" s="4">
        <f t="shared" si="802"/>
        <v>0</v>
      </c>
      <c r="AR133" s="4">
        <f t="shared" si="802"/>
        <v>0</v>
      </c>
      <c r="AS133" s="4">
        <f t="shared" si="802"/>
        <v>0</v>
      </c>
      <c r="AU133" s="1" t="s">
        <v>49</v>
      </c>
      <c r="AV133" s="1">
        <f t="shared" si="7"/>
        <v>0</v>
      </c>
      <c r="AW133" s="1">
        <f t="shared" si="8"/>
        <v>0</v>
      </c>
      <c r="AX133" s="1">
        <f t="shared" si="9"/>
        <v>1</v>
      </c>
      <c r="AY133" s="1" t="s">
        <v>48</v>
      </c>
      <c r="BA133" s="1" t="s">
        <v>371</v>
      </c>
      <c r="BB133" s="4">
        <f t="shared" ref="BB133:BJ133" si="803">IF(ISNUMBER(SEARCH(BB$1,$BA133)), 1, 0)</f>
        <v>1</v>
      </c>
      <c r="BC133" s="4">
        <f t="shared" si="803"/>
        <v>1</v>
      </c>
      <c r="BD133" s="4">
        <f t="shared" si="803"/>
        <v>1</v>
      </c>
      <c r="BE133" s="4">
        <f t="shared" si="803"/>
        <v>0</v>
      </c>
      <c r="BF133" s="4">
        <f t="shared" si="803"/>
        <v>1</v>
      </c>
      <c r="BG133" s="4">
        <f t="shared" si="803"/>
        <v>1</v>
      </c>
      <c r="BH133" s="4">
        <f t="shared" si="803"/>
        <v>0</v>
      </c>
      <c r="BI133" s="4">
        <f t="shared" si="803"/>
        <v>0</v>
      </c>
      <c r="BJ133" s="4">
        <f t="shared" si="803"/>
        <v>1</v>
      </c>
      <c r="BK133" s="4">
        <f t="shared" si="11"/>
        <v>6</v>
      </c>
      <c r="BM133" s="1" t="s">
        <v>232</v>
      </c>
      <c r="BN133" s="1" t="s">
        <v>557</v>
      </c>
      <c r="BO133" s="4">
        <f t="shared" ref="BO133:BU133" si="804">IF(ISNUMBER(SEARCH(BO$1,$BN133)), 1, 0)</f>
        <v>0</v>
      </c>
      <c r="BP133" s="4">
        <f t="shared" si="804"/>
        <v>0</v>
      </c>
      <c r="BQ133" s="4">
        <f t="shared" si="804"/>
        <v>0</v>
      </c>
      <c r="BR133" s="4">
        <f t="shared" si="804"/>
        <v>1</v>
      </c>
      <c r="BS133" s="4">
        <f t="shared" si="804"/>
        <v>1</v>
      </c>
      <c r="BT133" s="4">
        <f t="shared" si="804"/>
        <v>0</v>
      </c>
      <c r="BU133" s="4">
        <f t="shared" si="804"/>
        <v>0</v>
      </c>
      <c r="CH133" s="1" t="s">
        <v>173</v>
      </c>
      <c r="CI133" s="1" t="s">
        <v>682</v>
      </c>
      <c r="CJ133" s="1" t="s">
        <v>683</v>
      </c>
      <c r="CL133" s="1" t="s">
        <v>177</v>
      </c>
      <c r="DC133" s="1" t="s">
        <v>238</v>
      </c>
    </row>
    <row r="134" spans="1:107" ht="15.75" customHeight="1" x14ac:dyDescent="0.25">
      <c r="A134" s="1" t="b">
        <v>1</v>
      </c>
      <c r="B134" s="3">
        <v>46150.921782407408</v>
      </c>
      <c r="C134" s="1" t="s">
        <v>216</v>
      </c>
      <c r="D134" s="1" t="s">
        <v>10</v>
      </c>
      <c r="E134" s="4">
        <f t="shared" ref="E134:K134" si="805">IF(ISNUMBER(SEARCH(E$1,$D134)), SEARCH(E$1,$D134), 0)</f>
        <v>0</v>
      </c>
      <c r="F134" s="4">
        <f t="shared" si="805"/>
        <v>0</v>
      </c>
      <c r="G134" s="4">
        <f t="shared" si="805"/>
        <v>0</v>
      </c>
      <c r="H134" s="4">
        <f t="shared" si="805"/>
        <v>0</v>
      </c>
      <c r="I134" s="4">
        <f t="shared" si="805"/>
        <v>0</v>
      </c>
      <c r="J134" s="4">
        <f t="shared" si="805"/>
        <v>0</v>
      </c>
      <c r="K134" s="4">
        <f t="shared" si="805"/>
        <v>1</v>
      </c>
      <c r="L134" s="4">
        <f t="shared" si="1"/>
        <v>1</v>
      </c>
      <c r="N134" s="1" t="s">
        <v>14</v>
      </c>
      <c r="O134" s="4">
        <f t="shared" ref="O134:T134" si="806">IF(ISNUMBER(SEARCH(O$1,$N134)), 1, 0)</f>
        <v>1</v>
      </c>
      <c r="P134" s="4">
        <f t="shared" si="806"/>
        <v>0</v>
      </c>
      <c r="Q134" s="4">
        <f t="shared" si="806"/>
        <v>0</v>
      </c>
      <c r="R134" s="4">
        <f t="shared" si="806"/>
        <v>0</v>
      </c>
      <c r="S134" s="4">
        <f t="shared" si="806"/>
        <v>0</v>
      </c>
      <c r="T134" s="4">
        <f t="shared" si="806"/>
        <v>0</v>
      </c>
      <c r="V134" s="1" t="s">
        <v>25</v>
      </c>
      <c r="W134" s="1" t="str">
        <f t="shared" si="740"/>
        <v>False</v>
      </c>
      <c r="X134" s="1" t="str">
        <f t="shared" si="740"/>
        <v>False</v>
      </c>
      <c r="Y134" s="1" t="str">
        <f t="shared" si="740"/>
        <v>False</v>
      </c>
      <c r="Z134" s="1" t="str">
        <f t="shared" si="740"/>
        <v>True</v>
      </c>
      <c r="AA134" s="1" t="str">
        <f t="shared" si="740"/>
        <v>False</v>
      </c>
      <c r="AB134" s="1" t="s">
        <v>28</v>
      </c>
      <c r="AC134" s="4">
        <f t="shared" ref="AC134:AH134" si="807">IF(ISNUMBER(SEARCH(AC$1,$AB134)), 1, 0)</f>
        <v>1</v>
      </c>
      <c r="AD134" s="4">
        <f t="shared" si="807"/>
        <v>0</v>
      </c>
      <c r="AE134" s="4">
        <f t="shared" si="807"/>
        <v>0</v>
      </c>
      <c r="AF134" s="4">
        <f t="shared" si="807"/>
        <v>0</v>
      </c>
      <c r="AG134" s="4">
        <f t="shared" si="807"/>
        <v>0</v>
      </c>
      <c r="AH134" s="4">
        <f t="shared" si="807"/>
        <v>0</v>
      </c>
      <c r="AI134" s="1">
        <f t="shared" si="5"/>
        <v>1</v>
      </c>
      <c r="AK134" s="1" t="s">
        <v>38</v>
      </c>
      <c r="AL134" s="4">
        <f t="shared" ref="AL134:AS134" si="808">IF(ISNUMBER(SEARCH(AL$1,$AK134)), 1, 0)</f>
        <v>0</v>
      </c>
      <c r="AM134" s="4">
        <f t="shared" si="808"/>
        <v>1</v>
      </c>
      <c r="AN134" s="4">
        <f t="shared" si="808"/>
        <v>0</v>
      </c>
      <c r="AO134" s="4">
        <f t="shared" si="808"/>
        <v>0</v>
      </c>
      <c r="AP134" s="4">
        <f t="shared" si="808"/>
        <v>0</v>
      </c>
      <c r="AQ134" s="4">
        <f t="shared" si="808"/>
        <v>0</v>
      </c>
      <c r="AR134" s="4">
        <f t="shared" si="808"/>
        <v>0</v>
      </c>
      <c r="AS134" s="4">
        <f t="shared" si="808"/>
        <v>0</v>
      </c>
      <c r="AU134" s="1" t="s">
        <v>48</v>
      </c>
      <c r="AV134" s="1">
        <f t="shared" si="7"/>
        <v>0</v>
      </c>
      <c r="AW134" s="1">
        <f t="shared" si="8"/>
        <v>1</v>
      </c>
      <c r="AX134" s="1">
        <f t="shared" si="9"/>
        <v>0</v>
      </c>
      <c r="AY134" s="1" t="s">
        <v>48</v>
      </c>
      <c r="BA134" s="1" t="s">
        <v>217</v>
      </c>
      <c r="BB134" s="4">
        <f t="shared" ref="BB134:BJ134" si="809">IF(ISNUMBER(SEARCH(BB$1,$BA134)), 1, 0)</f>
        <v>0</v>
      </c>
      <c r="BC134" s="4">
        <f t="shared" si="809"/>
        <v>0</v>
      </c>
      <c r="BD134" s="4">
        <f t="shared" si="809"/>
        <v>0</v>
      </c>
      <c r="BE134" s="4">
        <f t="shared" si="809"/>
        <v>0</v>
      </c>
      <c r="BF134" s="4">
        <f t="shared" si="809"/>
        <v>0</v>
      </c>
      <c r="BG134" s="4">
        <f t="shared" si="809"/>
        <v>0</v>
      </c>
      <c r="BH134" s="4">
        <f t="shared" si="809"/>
        <v>1</v>
      </c>
      <c r="BI134" s="4">
        <f t="shared" si="809"/>
        <v>1</v>
      </c>
      <c r="BJ134" s="4">
        <f t="shared" si="809"/>
        <v>0</v>
      </c>
      <c r="BK134" s="4">
        <f t="shared" si="11"/>
        <v>2</v>
      </c>
      <c r="BM134" s="1" t="s">
        <v>218</v>
      </c>
      <c r="BN134" s="1" t="s">
        <v>219</v>
      </c>
      <c r="BO134" s="4">
        <f t="shared" ref="BO134:BU134" si="810">IF(ISNUMBER(SEARCH(BO$1,$BN134)), 1, 0)</f>
        <v>1</v>
      </c>
      <c r="BP134" s="4">
        <f t="shared" si="810"/>
        <v>0</v>
      </c>
      <c r="BQ134" s="4">
        <f t="shared" si="810"/>
        <v>0</v>
      </c>
      <c r="BR134" s="4">
        <f t="shared" si="810"/>
        <v>0</v>
      </c>
      <c r="BS134" s="4">
        <f t="shared" si="810"/>
        <v>0</v>
      </c>
      <c r="BT134" s="4">
        <f t="shared" si="810"/>
        <v>1</v>
      </c>
      <c r="BU134" s="4">
        <f t="shared" si="810"/>
        <v>0</v>
      </c>
      <c r="BW134" s="1" t="s">
        <v>220</v>
      </c>
      <c r="CM134" s="1" t="s">
        <v>47</v>
      </c>
      <c r="CQ134" s="1" t="s">
        <v>47</v>
      </c>
      <c r="DC134" s="1" t="s">
        <v>180</v>
      </c>
    </row>
    <row r="135" spans="1:107" ht="15.75" customHeight="1" x14ac:dyDescent="0.25">
      <c r="A135" s="1" t="b">
        <v>1</v>
      </c>
      <c r="B135" s="3">
        <v>46160.127824074072</v>
      </c>
      <c r="C135" s="1" t="s">
        <v>407</v>
      </c>
      <c r="D135" s="1" t="s">
        <v>408</v>
      </c>
      <c r="E135" s="4">
        <f t="shared" ref="E135:K135" si="811">IF(ISNUMBER(SEARCH(E$1,$D135)), SEARCH(E$1,$D135), 0)</f>
        <v>0</v>
      </c>
      <c r="F135" s="4">
        <f t="shared" si="811"/>
        <v>0</v>
      </c>
      <c r="G135" s="4">
        <f t="shared" si="811"/>
        <v>0</v>
      </c>
      <c r="H135" s="4">
        <f t="shared" si="811"/>
        <v>1</v>
      </c>
      <c r="I135" s="4">
        <f t="shared" si="811"/>
        <v>39</v>
      </c>
      <c r="J135" s="4">
        <f t="shared" si="811"/>
        <v>0</v>
      </c>
      <c r="K135" s="4">
        <f t="shared" si="811"/>
        <v>0</v>
      </c>
      <c r="L135" s="4">
        <f t="shared" si="1"/>
        <v>39</v>
      </c>
      <c r="N135" s="1" t="s">
        <v>409</v>
      </c>
      <c r="O135" s="4">
        <f t="shared" ref="O135:T135" si="812">IF(ISNUMBER(SEARCH(O$1,$N135)), 1, 0)</f>
        <v>0</v>
      </c>
      <c r="P135" s="4">
        <f t="shared" si="812"/>
        <v>0</v>
      </c>
      <c r="Q135" s="4">
        <f t="shared" si="812"/>
        <v>1</v>
      </c>
      <c r="R135" s="4">
        <f t="shared" si="812"/>
        <v>0</v>
      </c>
      <c r="S135" s="4">
        <f t="shared" si="812"/>
        <v>0</v>
      </c>
      <c r="T135" s="4">
        <f t="shared" si="812"/>
        <v>1</v>
      </c>
      <c r="V135" s="1" t="s">
        <v>22</v>
      </c>
      <c r="W135" s="1" t="str">
        <f t="shared" si="740"/>
        <v>True</v>
      </c>
      <c r="X135" s="1" t="str">
        <f t="shared" si="740"/>
        <v>False</v>
      </c>
      <c r="Y135" s="1" t="str">
        <f t="shared" si="740"/>
        <v>False</v>
      </c>
      <c r="Z135" s="1" t="str">
        <f t="shared" si="740"/>
        <v>False</v>
      </c>
      <c r="AA135" s="1" t="str">
        <f t="shared" si="740"/>
        <v>False</v>
      </c>
      <c r="AB135" s="1" t="s">
        <v>230</v>
      </c>
      <c r="AC135" s="4">
        <f t="shared" ref="AC135:AH135" si="813">IF(ISNUMBER(SEARCH(AC$1,$AB135)), 1, 0)</f>
        <v>1</v>
      </c>
      <c r="AD135" s="4">
        <f t="shared" si="813"/>
        <v>1</v>
      </c>
      <c r="AE135" s="4">
        <f t="shared" si="813"/>
        <v>0</v>
      </c>
      <c r="AF135" s="4">
        <f t="shared" si="813"/>
        <v>0</v>
      </c>
      <c r="AG135" s="4">
        <f t="shared" si="813"/>
        <v>0</v>
      </c>
      <c r="AH135" s="4">
        <f t="shared" si="813"/>
        <v>0</v>
      </c>
      <c r="AI135" s="1">
        <f t="shared" si="5"/>
        <v>2</v>
      </c>
      <c r="AK135" s="1" t="s">
        <v>410</v>
      </c>
      <c r="AL135" s="4">
        <f t="shared" ref="AL135:AS135" si="814">IF(ISNUMBER(SEARCH(AL$1,$AK135)), 1, 0)</f>
        <v>1</v>
      </c>
      <c r="AM135" s="4">
        <f t="shared" si="814"/>
        <v>0</v>
      </c>
      <c r="AN135" s="4">
        <f t="shared" si="814"/>
        <v>1</v>
      </c>
      <c r="AO135" s="4">
        <f t="shared" si="814"/>
        <v>1</v>
      </c>
      <c r="AP135" s="4">
        <f t="shared" si="814"/>
        <v>0</v>
      </c>
      <c r="AQ135" s="4">
        <f t="shared" si="814"/>
        <v>0</v>
      </c>
      <c r="AR135" s="4">
        <f t="shared" si="814"/>
        <v>0</v>
      </c>
      <c r="AS135" s="4">
        <f t="shared" si="814"/>
        <v>0</v>
      </c>
      <c r="AU135" s="1" t="s">
        <v>47</v>
      </c>
      <c r="AV135" s="1">
        <f t="shared" si="7"/>
        <v>1</v>
      </c>
      <c r="AW135" s="1">
        <f t="shared" si="8"/>
        <v>0</v>
      </c>
      <c r="AX135" s="1">
        <f t="shared" si="9"/>
        <v>0</v>
      </c>
      <c r="AY135" s="1" t="s">
        <v>47</v>
      </c>
      <c r="AZ135" s="1" t="s">
        <v>47</v>
      </c>
      <c r="BA135" s="1" t="s">
        <v>411</v>
      </c>
      <c r="BB135" s="4">
        <f t="shared" ref="BB135:BJ135" si="815">IF(ISNUMBER(SEARCH(BB$1,$BA135)), 1, 0)</f>
        <v>0</v>
      </c>
      <c r="BC135" s="4">
        <f t="shared" si="815"/>
        <v>1</v>
      </c>
      <c r="BD135" s="4">
        <f t="shared" si="815"/>
        <v>0</v>
      </c>
      <c r="BE135" s="4">
        <f t="shared" si="815"/>
        <v>0</v>
      </c>
      <c r="BF135" s="4">
        <f t="shared" si="815"/>
        <v>1</v>
      </c>
      <c r="BG135" s="4">
        <f t="shared" si="815"/>
        <v>0</v>
      </c>
      <c r="BH135" s="4">
        <f t="shared" si="815"/>
        <v>0</v>
      </c>
      <c r="BI135" s="4">
        <f t="shared" si="815"/>
        <v>0</v>
      </c>
      <c r="BJ135" s="4">
        <f t="shared" si="815"/>
        <v>1</v>
      </c>
      <c r="BK135" s="4">
        <f t="shared" si="11"/>
        <v>3</v>
      </c>
      <c r="BO135" s="4">
        <f t="shared" ref="BO135:BU135" si="816">IF(ISNUMBER(SEARCH(BO$1,$BN135)), 1, 0)</f>
        <v>0</v>
      </c>
      <c r="BP135" s="4">
        <f t="shared" si="816"/>
        <v>0</v>
      </c>
      <c r="BQ135" s="4">
        <f t="shared" si="816"/>
        <v>0</v>
      </c>
      <c r="BR135" s="4">
        <f t="shared" si="816"/>
        <v>0</v>
      </c>
      <c r="BS135" s="4">
        <f t="shared" si="816"/>
        <v>0</v>
      </c>
      <c r="BT135" s="4">
        <f t="shared" si="816"/>
        <v>0</v>
      </c>
      <c r="BU135" s="4">
        <f t="shared" si="816"/>
        <v>0</v>
      </c>
      <c r="CB135" s="1" t="s">
        <v>47</v>
      </c>
      <c r="CF135" s="1" t="s">
        <v>412</v>
      </c>
      <c r="CG135" s="1" t="s">
        <v>413</v>
      </c>
      <c r="CH135" s="1" t="s">
        <v>173</v>
      </c>
      <c r="CI135" s="1" t="s">
        <v>414</v>
      </c>
      <c r="CJ135" s="1" t="s">
        <v>415</v>
      </c>
      <c r="CL135" s="1" t="s">
        <v>177</v>
      </c>
      <c r="DC135" s="1" t="s">
        <v>180</v>
      </c>
    </row>
    <row r="136" spans="1:107" ht="15.75" customHeight="1" x14ac:dyDescent="0.25">
      <c r="A136" s="1"/>
      <c r="B136" s="1"/>
      <c r="C136" s="1"/>
      <c r="D136" s="1"/>
      <c r="E136" s="1"/>
      <c r="F136" s="1"/>
      <c r="G136" s="1"/>
      <c r="H136" s="1"/>
      <c r="I136" s="1"/>
      <c r="J136" s="1"/>
      <c r="K136" s="1"/>
      <c r="L136" s="1"/>
      <c r="M136" s="1"/>
      <c r="N136" s="1"/>
      <c r="O136" s="4">
        <f>SUM(O$2:O135)</f>
        <v>121</v>
      </c>
      <c r="P136" s="4">
        <f>SUM(P$2:P135)</f>
        <v>103</v>
      </c>
      <c r="Q136" s="4">
        <f>SUM(Q$2:Q135)</f>
        <v>89</v>
      </c>
      <c r="R136" s="4">
        <f>SUM(R$2:R135)</f>
        <v>86</v>
      </c>
      <c r="S136" s="4">
        <f>SUM(S$2:S135)</f>
        <v>39</v>
      </c>
      <c r="T136" s="4">
        <f>SUM(T$2:T135)</f>
        <v>28</v>
      </c>
      <c r="U136" s="1"/>
      <c r="V136" s="1"/>
      <c r="W136" s="1"/>
      <c r="X136" s="1"/>
      <c r="Y136" s="1"/>
      <c r="Z136" s="1"/>
      <c r="AA136" s="1"/>
      <c r="AB136" s="1"/>
      <c r="AC136" s="4">
        <f>SUM(AC$2:AC135)</f>
        <v>68</v>
      </c>
      <c r="AD136" s="4">
        <f>SUM(AD$2:AD135)</f>
        <v>25</v>
      </c>
      <c r="AE136" s="4">
        <f>SUM(AE$2:AE135)</f>
        <v>13</v>
      </c>
      <c r="AF136" s="4">
        <f>SUM(AF$2:AF135)</f>
        <v>37</v>
      </c>
      <c r="AG136" s="4">
        <f>SUM(AG$2:AG135)</f>
        <v>16</v>
      </c>
      <c r="AH136" s="4">
        <f>SUM(AH$2:AH135)</f>
        <v>57</v>
      </c>
      <c r="AI136" s="1"/>
      <c r="AJ136" s="1"/>
      <c r="AK136" s="1"/>
      <c r="AL136" s="4">
        <f>SUM(AL$2:AL135)</f>
        <v>49</v>
      </c>
      <c r="AM136" s="4">
        <f>SUM(AM$2:AM135)</f>
        <v>101</v>
      </c>
      <c r="AN136" s="4">
        <f>SUM(AN$2:AN135)</f>
        <v>46</v>
      </c>
      <c r="AO136" s="4">
        <f>SUM(AO$2:AO135)</f>
        <v>88</v>
      </c>
      <c r="AP136" s="4">
        <f>SUM(AP$2:AP135)</f>
        <v>27</v>
      </c>
      <c r="AQ136" s="4">
        <f>SUM(AQ$2:AQ135)</f>
        <v>73</v>
      </c>
      <c r="AR136" s="4">
        <f>SUM(AR$2:AR135)</f>
        <v>19</v>
      </c>
      <c r="AS136" s="4">
        <f>SUM(AS$2:AS135)</f>
        <v>13</v>
      </c>
      <c r="AT136" s="1"/>
      <c r="AU136" s="1"/>
      <c r="AV136" s="4">
        <f>SUM(AV$2:AV135)</f>
        <v>76</v>
      </c>
      <c r="AW136" s="4">
        <f>SUM(AW$2:AW135)</f>
        <v>39</v>
      </c>
      <c r="AX136" s="4">
        <f>SUM(AX$2:AX135)</f>
        <v>11</v>
      </c>
      <c r="AY136" s="1"/>
      <c r="AZ136" s="1"/>
      <c r="BA136" s="1"/>
      <c r="BB136" s="4">
        <f>SUM(BB$2:BB135)</f>
        <v>42</v>
      </c>
      <c r="BC136" s="4">
        <f>SUM(BC$2:BC135)</f>
        <v>60</v>
      </c>
      <c r="BD136" s="4">
        <f>SUM(BD$2:BD135)</f>
        <v>63</v>
      </c>
      <c r="BE136" s="4">
        <f>SUM(BE$2:BE135)</f>
        <v>65</v>
      </c>
      <c r="BF136" s="4">
        <f>SUM(BF$2:BF135)</f>
        <v>73</v>
      </c>
      <c r="BG136" s="4">
        <f>SUM(BG$2:BG135)</f>
        <v>52</v>
      </c>
      <c r="BH136" s="4">
        <f>SUM(BH$2:BH135)</f>
        <v>17</v>
      </c>
      <c r="BI136" s="4">
        <f>SUM(BI$2:BI135)</f>
        <v>17</v>
      </c>
      <c r="BJ136" s="4">
        <f>SUM(BJ$2:BJ135)</f>
        <v>104</v>
      </c>
      <c r="BK136" s="1"/>
      <c r="BL136" s="1"/>
      <c r="BM136" s="1"/>
      <c r="BN136" s="1"/>
      <c r="BO136" s="4">
        <f>SUM(BO$2:BO135)</f>
        <v>40</v>
      </c>
      <c r="BP136" s="4">
        <f>SUM(BP$2:BP135)</f>
        <v>41</v>
      </c>
      <c r="BQ136" s="4">
        <f>SUM(BQ$2:BQ135)</f>
        <v>23</v>
      </c>
      <c r="BR136" s="4">
        <f>SUM(BR$2:BR135)</f>
        <v>39</v>
      </c>
      <c r="BS136" s="4">
        <f>SUM(BS$2:BS135)</f>
        <v>25</v>
      </c>
      <c r="BT136" s="4">
        <f>SUM(BT$2:BT135)</f>
        <v>38</v>
      </c>
      <c r="BU136" s="4">
        <f>SUM(BU$2:BU135)</f>
        <v>38</v>
      </c>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row>
    <row r="137" spans="1:107" ht="15.75" customHeight="1" x14ac:dyDescent="0.25">
      <c r="A137" s="1"/>
      <c r="B137" s="3"/>
      <c r="C137" s="1">
        <f>21/47</f>
        <v>0.44680851063829785</v>
      </c>
      <c r="D137" s="1"/>
      <c r="N137" s="1"/>
      <c r="O137" s="4">
        <f>(O136/COUNT(O$2:O135))*100</f>
        <v>90.977443609022558</v>
      </c>
      <c r="P137" s="4">
        <f>(P136/COUNT(P$2:P135))*100</f>
        <v>77.443609022556387</v>
      </c>
      <c r="Q137" s="4">
        <f>(Q136/COUNT(Q$2:Q135))*100</f>
        <v>66.917293233082702</v>
      </c>
      <c r="R137" s="4">
        <f>(R136/COUNT(R$2:R135))*100</f>
        <v>64.661654135338338</v>
      </c>
      <c r="S137" s="4">
        <f>(S136/COUNT(S$2:S135))*100</f>
        <v>29.323308270676691</v>
      </c>
      <c r="T137" s="4">
        <f>(T136/COUNT(T$2:T135))*100</f>
        <v>21.052631578947366</v>
      </c>
      <c r="V137" s="4">
        <f>12/30</f>
        <v>0.4</v>
      </c>
      <c r="W137" s="1"/>
      <c r="X137" s="1"/>
      <c r="Y137" s="1"/>
      <c r="Z137" s="1"/>
      <c r="AA137" s="1"/>
      <c r="AC137" s="4">
        <f>(AC136/COUNT(AC$2:AC135))*100</f>
        <v>51.127819548872175</v>
      </c>
      <c r="AD137" s="4">
        <f>(AD136/COUNT(AD$2:AD135))*100</f>
        <v>18.796992481203006</v>
      </c>
      <c r="AE137" s="4">
        <f>(AE136/COUNT(AE$2:AE135))*100</f>
        <v>9.7744360902255636</v>
      </c>
      <c r="AF137" s="4">
        <f>(AF136/COUNT(AF$2:AF135))*100</f>
        <v>27.819548872180448</v>
      </c>
      <c r="AG137" s="4">
        <f>(AG136/COUNT(AG$2:AG135))*100</f>
        <v>12.030075187969924</v>
      </c>
      <c r="AH137" s="4">
        <f>(AH136/COUNT(AH$2:AH135))*100</f>
        <v>42.857142857142854</v>
      </c>
      <c r="AI137" s="1"/>
      <c r="AL137" s="4">
        <f>(AL136/COUNT(AL$2:AL135))*100</f>
        <v>36.84210526315789</v>
      </c>
      <c r="AM137" s="4">
        <f>(AM136/COUNT(AM$2:AM135))*100</f>
        <v>75.939849624060145</v>
      </c>
      <c r="AN137" s="4">
        <f>(AN136/COUNT(AN$2:AN135))*100</f>
        <v>34.586466165413533</v>
      </c>
      <c r="AO137" s="4">
        <f>(AO136/COUNT(AO$2:AO135))*100</f>
        <v>66.165413533834581</v>
      </c>
      <c r="AP137" s="4">
        <f>(AP136/COUNT(AP$2:AP135))*100</f>
        <v>20.300751879699249</v>
      </c>
      <c r="AQ137" s="4">
        <f>(AQ136/COUNT(AQ$2:AQ135))*100</f>
        <v>54.887218045112782</v>
      </c>
      <c r="AR137" s="4">
        <f>(AR136/COUNT(AR$2:AR135))*100</f>
        <v>14.285714285714285</v>
      </c>
      <c r="AS137" s="4">
        <f>(AS136/COUNT(AS$2:AS135))*100</f>
        <v>9.7744360902255636</v>
      </c>
      <c r="AV137" s="4">
        <f>(AV136/COUNT(AV$2:AV135))*100</f>
        <v>57.142857142857139</v>
      </c>
      <c r="AW137" s="4">
        <f>(AW136/COUNT(AW$2:AW135))*100</f>
        <v>29.323308270676691</v>
      </c>
      <c r="AX137" s="4">
        <f>(AX136/COUNT(AX$2:AX135))*100</f>
        <v>8.2706766917293226</v>
      </c>
      <c r="BB137" s="4">
        <f>(BB136/COUNT(BB$2:BB135))*100</f>
        <v>31.578947368421051</v>
      </c>
      <c r="BC137" s="4">
        <f>(BC136/COUNT(BC$2:BC135))*100</f>
        <v>45.112781954887218</v>
      </c>
      <c r="BD137" s="4">
        <f>(BD136/COUNT(BD$2:BD135))*100</f>
        <v>47.368421052631575</v>
      </c>
      <c r="BE137" s="4">
        <f>(BE136/COUNT(BE$2:BE135))*100</f>
        <v>48.872180451127818</v>
      </c>
      <c r="BF137" s="4">
        <f>(BF136/COUNT(BF$2:BF135))*100</f>
        <v>54.887218045112782</v>
      </c>
      <c r="BG137" s="4">
        <f>(BG136/COUNT(BG$2:BG135))*100</f>
        <v>39.097744360902254</v>
      </c>
      <c r="BH137" s="4">
        <f>(BH136/COUNT(BH$2:BH135))*100</f>
        <v>12.781954887218044</v>
      </c>
      <c r="BI137" s="4">
        <f>(BI136/COUNT(BI$2:BI135))*100</f>
        <v>12.781954887218044</v>
      </c>
      <c r="BJ137" s="4">
        <f>(BJ136/COUNT(BJ$2:BJ135))*100</f>
        <v>78.195488721804509</v>
      </c>
      <c r="BO137" s="4">
        <f>(BO136/COUNT(BO$2:BO135))*100</f>
        <v>30.075187969924812</v>
      </c>
      <c r="BP137" s="4">
        <f>(BP136/COUNT(BP$2:BP135))*100</f>
        <v>30.82706766917293</v>
      </c>
      <c r="BQ137" s="4">
        <f>(BQ136/COUNT(BQ$2:BQ135))*100</f>
        <v>17.293233082706767</v>
      </c>
      <c r="BR137" s="4">
        <f>(BR136/COUNT(BR$2:BR135))*100</f>
        <v>29.323308270676691</v>
      </c>
      <c r="BS137" s="4">
        <f>(BS136/COUNT(BS$2:BS135))*100</f>
        <v>18.796992481203006</v>
      </c>
      <c r="BT137" s="4">
        <f>(BT136/COUNT(BT$2:BT135))*100</f>
        <v>28.571428571428569</v>
      </c>
      <c r="BU137" s="4">
        <f>(BU136/COUNT(BU$2:BU135))*100</f>
        <v>28.571428571428569</v>
      </c>
    </row>
    <row r="138" spans="1:107" ht="15.75" customHeight="1" x14ac:dyDescent="0.25">
      <c r="A138" s="1"/>
      <c r="B138" s="3"/>
      <c r="C138" s="1"/>
      <c r="D138" s="1"/>
      <c r="N138" s="1"/>
      <c r="O138" s="1"/>
      <c r="P138" s="1"/>
      <c r="Q138" s="1"/>
      <c r="R138" s="1"/>
      <c r="S138" s="1"/>
      <c r="T138" s="1"/>
      <c r="V138">
        <f>3/7</f>
        <v>0.42857142857142855</v>
      </c>
      <c r="W138" s="1"/>
      <c r="X138" s="1"/>
      <c r="Y138" s="1"/>
      <c r="Z138" s="1"/>
      <c r="AA138" s="1"/>
      <c r="AI138" s="1"/>
      <c r="AV138" s="1"/>
      <c r="AW138" s="1"/>
      <c r="AX138" s="1"/>
    </row>
    <row r="139" spans="1:107" ht="15.75" customHeight="1" x14ac:dyDescent="0.25">
      <c r="A139" s="1"/>
      <c r="B139" s="3"/>
      <c r="C139" s="1"/>
      <c r="D139" s="1"/>
      <c r="N139" s="1"/>
      <c r="O139" s="1"/>
      <c r="P139" s="1"/>
      <c r="Q139" s="1"/>
      <c r="R139" s="1"/>
      <c r="S139" s="1"/>
      <c r="T139" s="1"/>
      <c r="V139">
        <f>6/14</f>
        <v>0.42857142857142855</v>
      </c>
      <c r="W139" s="1"/>
      <c r="X139" s="1"/>
      <c r="Y139" s="1"/>
      <c r="Z139" s="1"/>
      <c r="AA139" s="1"/>
      <c r="AI139" s="1"/>
      <c r="AV139" s="1"/>
      <c r="AW139" s="1"/>
      <c r="AX139" s="1"/>
    </row>
    <row r="140" spans="1:107" ht="15.75" customHeight="1" x14ac:dyDescent="0.25">
      <c r="A140" s="1"/>
      <c r="B140" s="3"/>
      <c r="C140" s="1"/>
      <c r="D140" s="1"/>
      <c r="N140" s="1"/>
      <c r="O140" s="1"/>
      <c r="P140" s="1"/>
      <c r="Q140" s="1"/>
      <c r="R140" s="1"/>
      <c r="S140" s="1"/>
      <c r="T140" s="1"/>
      <c r="W140" s="1"/>
      <c r="X140" s="1"/>
      <c r="Y140" s="1"/>
      <c r="Z140" s="1"/>
      <c r="AA140" s="1"/>
      <c r="AI140" s="1"/>
      <c r="AV140" s="1"/>
      <c r="AW140" s="1"/>
      <c r="AX140" s="1"/>
    </row>
    <row r="141" spans="1:107" ht="15.75" customHeight="1" x14ac:dyDescent="0.25">
      <c r="A141" s="1"/>
      <c r="B141" s="3"/>
      <c r="C141" s="1"/>
      <c r="D141" s="1"/>
      <c r="N141" s="1"/>
      <c r="O141" s="1"/>
      <c r="P141" s="1"/>
      <c r="Q141" s="1"/>
      <c r="R141" s="1"/>
      <c r="S141" s="1"/>
      <c r="T141" s="1"/>
      <c r="W141" s="1"/>
      <c r="X141" s="1"/>
      <c r="Y141" s="1"/>
      <c r="Z141" s="1"/>
      <c r="AA141" s="1"/>
      <c r="AI141" s="1"/>
      <c r="AT141" t="s">
        <v>821</v>
      </c>
      <c r="AU141" s="1" t="s">
        <v>820</v>
      </c>
      <c r="AV141" s="1"/>
      <c r="AW141" s="1"/>
      <c r="AX141" s="1"/>
    </row>
    <row r="142" spans="1:107" ht="15.75" customHeight="1" x14ac:dyDescent="0.25">
      <c r="A142" s="1"/>
      <c r="B142" s="3"/>
      <c r="C142" s="1"/>
      <c r="D142" s="1"/>
      <c r="N142" s="1"/>
      <c r="O142" s="1"/>
      <c r="P142" s="1"/>
      <c r="Q142" s="1"/>
      <c r="R142" s="1"/>
      <c r="S142" s="1"/>
      <c r="T142" s="1"/>
      <c r="W142" s="1"/>
      <c r="X142" s="1"/>
      <c r="Y142" s="1"/>
      <c r="Z142" s="1"/>
      <c r="AA142" s="1"/>
      <c r="AI142" s="1"/>
      <c r="AT142" t="s">
        <v>813</v>
      </c>
      <c r="AU142">
        <v>9</v>
      </c>
      <c r="AV142" s="1"/>
      <c r="AW142" s="1"/>
      <c r="AX142" s="1"/>
    </row>
    <row r="143" spans="1:107" ht="15.75" customHeight="1" x14ac:dyDescent="0.25">
      <c r="A143" s="1"/>
      <c r="B143" s="3"/>
      <c r="C143" s="1"/>
      <c r="D143" s="1"/>
      <c r="M143" s="1"/>
      <c r="N143" s="1"/>
      <c r="O143" s="1"/>
      <c r="P143" s="1"/>
      <c r="Q143" s="1"/>
      <c r="R143" s="1"/>
      <c r="S143" s="1"/>
      <c r="T143" s="1"/>
      <c r="U143" s="1"/>
      <c r="W143" s="1"/>
      <c r="X143" s="1"/>
      <c r="Y143" s="1"/>
      <c r="Z143" s="1"/>
      <c r="AA143" s="1"/>
      <c r="AB143" s="1"/>
      <c r="AI143" s="1"/>
      <c r="AJ143" s="1"/>
      <c r="AT143" t="s">
        <v>814</v>
      </c>
      <c r="AU143">
        <v>5</v>
      </c>
      <c r="AV143" s="1"/>
      <c r="AW143" s="1"/>
      <c r="AX143" s="1"/>
      <c r="BA143" s="1"/>
      <c r="BL143" s="1"/>
      <c r="DC143" s="1"/>
    </row>
    <row r="144" spans="1:107" ht="15.75" customHeight="1" x14ac:dyDescent="0.25">
      <c r="A144" s="1"/>
      <c r="B144" s="3"/>
      <c r="C144" s="1"/>
      <c r="D144" s="1"/>
      <c r="N144" s="1"/>
      <c r="O144" s="1"/>
      <c r="P144" s="1"/>
      <c r="Q144" s="1"/>
      <c r="R144" s="1"/>
      <c r="S144" s="1"/>
      <c r="T144" s="1"/>
      <c r="V144" s="1"/>
      <c r="W144" s="1"/>
      <c r="X144" s="1"/>
      <c r="Y144" s="1"/>
      <c r="Z144" s="1"/>
      <c r="AA144" s="1"/>
      <c r="AI144" s="1"/>
      <c r="AK144" s="1"/>
      <c r="AT144" t="s">
        <v>815</v>
      </c>
      <c r="AU144">
        <v>9</v>
      </c>
      <c r="AV144" s="1"/>
      <c r="AW144" s="1"/>
      <c r="AX144" s="1"/>
      <c r="AY144" s="1"/>
      <c r="BM144" s="1"/>
      <c r="CH144" s="1"/>
      <c r="CJ144" s="1"/>
      <c r="CL144" s="1"/>
    </row>
    <row r="145" spans="46:47" ht="15.75" customHeight="1" x14ac:dyDescent="0.25">
      <c r="AT145" t="s">
        <v>816</v>
      </c>
      <c r="AU145">
        <v>6</v>
      </c>
    </row>
    <row r="146" spans="46:47" ht="15.75" customHeight="1" x14ac:dyDescent="0.25">
      <c r="AT146" t="s">
        <v>817</v>
      </c>
      <c r="AU146">
        <v>7</v>
      </c>
    </row>
    <row r="147" spans="46:47" ht="15.75" customHeight="1" x14ac:dyDescent="0.25">
      <c r="AT147" t="s">
        <v>818</v>
      </c>
      <c r="AU147">
        <v>3</v>
      </c>
    </row>
    <row r="148" spans="46:47" ht="15.75" customHeight="1" x14ac:dyDescent="0.25">
      <c r="AT148" t="s">
        <v>819</v>
      </c>
      <c r="AU148">
        <v>0</v>
      </c>
    </row>
    <row r="149" spans="46:47" ht="15.75" customHeight="1" x14ac:dyDescent="0.25"/>
    <row r="150" spans="46:47" ht="15.75" customHeight="1" x14ac:dyDescent="0.25"/>
    <row r="151" spans="46:47" ht="15.75" customHeight="1" x14ac:dyDescent="0.25"/>
    <row r="152" spans="46:47" ht="15.75" customHeight="1" x14ac:dyDescent="0.25"/>
    <row r="153" spans="46:47" ht="15.75" customHeight="1" x14ac:dyDescent="0.25"/>
    <row r="154" spans="46:47" ht="15.75" customHeight="1" x14ac:dyDescent="0.25"/>
    <row r="155" spans="46:47" ht="15.75" customHeight="1" x14ac:dyDescent="0.25"/>
    <row r="156" spans="46:47" ht="15.75" customHeight="1" x14ac:dyDescent="0.25"/>
    <row r="157" spans="46:47" ht="15.75" customHeight="1" x14ac:dyDescent="0.25"/>
    <row r="158" spans="46:47" ht="15.75" customHeight="1" x14ac:dyDescent="0.25"/>
    <row r="159" spans="46:47" ht="15.75" customHeight="1" x14ac:dyDescent="0.25"/>
    <row r="160" spans="46:47"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3:A144">
    <cfRule type="cellIs" dxfId="41" priority="1" operator="equal">
      <formula>"FALSE"</formula>
    </cfRule>
    <cfRule type="expression" dxfId="40" priority="2">
      <formula>D1:D146="Game Enthusiast or Collector"</formula>
    </cfRule>
  </conditionalFormatting>
  <conditionalFormatting sqref="W3:AA144">
    <cfRule type="cellIs" dxfId="39" priority="3" operator="equal">
      <formula>"False"</formula>
    </cfRule>
    <cfRule type="cellIs" dxfId="38" priority="4" operator="equal">
      <formula>"True"</formula>
    </cfRule>
  </conditionalFormatting>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C1001"/>
  <sheetViews>
    <sheetView topLeftCell="CN1" workbookViewId="0">
      <pane ySplit="1" topLeftCell="A2" activePane="bottomLeft" state="frozen"/>
      <selection activeCell="BB1" sqref="BB1"/>
      <selection pane="bottomLeft" activeCell="CY28" sqref="CY28"/>
    </sheetView>
  </sheetViews>
  <sheetFormatPr defaultColWidth="12.6640625" defaultRowHeight="15" customHeight="1" x14ac:dyDescent="0.25"/>
  <cols>
    <col min="1" max="4" width="12.6640625" customWidth="1"/>
    <col min="5" max="5" width="4" customWidth="1"/>
    <col min="6" max="6" width="4.6640625" customWidth="1"/>
    <col min="7" max="8" width="4.33203125" customWidth="1"/>
    <col min="9" max="9" width="3.88671875" customWidth="1"/>
    <col min="10" max="10" width="3.77734375" customWidth="1"/>
    <col min="11" max="11" width="3.6640625" customWidth="1"/>
    <col min="12" max="12" width="4.77734375" customWidth="1"/>
  </cols>
  <sheetData>
    <row r="1" spans="1:107" ht="15.75" customHeight="1" x14ac:dyDescent="0.2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ht="15.75" customHeight="1" x14ac:dyDescent="0.25">
      <c r="A2" s="1" t="s">
        <v>0</v>
      </c>
      <c r="B2" s="1" t="s">
        <v>107</v>
      </c>
      <c r="C2" s="1" t="s">
        <v>108</v>
      </c>
      <c r="D2" s="1" t="s">
        <v>109</v>
      </c>
      <c r="E2" s="1"/>
      <c r="F2" s="1"/>
      <c r="G2" s="1"/>
      <c r="H2" s="1"/>
      <c r="I2" s="1"/>
      <c r="J2" s="1"/>
      <c r="K2" s="1"/>
      <c r="L2" s="1"/>
      <c r="M2" s="1" t="s">
        <v>110</v>
      </c>
      <c r="N2" s="1" t="s">
        <v>111</v>
      </c>
      <c r="O2" s="1"/>
      <c r="P2" s="1"/>
      <c r="Q2" s="1"/>
      <c r="R2" s="1"/>
      <c r="S2" s="1"/>
      <c r="T2" s="1"/>
      <c r="U2" s="1" t="s">
        <v>112</v>
      </c>
      <c r="V2" s="1" t="s">
        <v>113</v>
      </c>
      <c r="W2" s="1"/>
      <c r="X2" s="1"/>
      <c r="Y2" s="1"/>
      <c r="Z2" s="1"/>
      <c r="AA2" s="1"/>
      <c r="AB2" s="1" t="s">
        <v>114</v>
      </c>
      <c r="AC2" s="1"/>
      <c r="AD2" s="1"/>
      <c r="AE2" s="1"/>
      <c r="AF2" s="1"/>
      <c r="AG2" s="1"/>
      <c r="AH2" s="1"/>
      <c r="AI2" s="1"/>
      <c r="AJ2" s="1" t="s">
        <v>115</v>
      </c>
      <c r="AK2" s="1" t="s">
        <v>116</v>
      </c>
      <c r="AL2" s="1"/>
      <c r="AM2" s="1"/>
      <c r="AN2" s="1"/>
      <c r="AO2" s="1"/>
      <c r="AP2" s="1"/>
      <c r="AQ2" s="1"/>
      <c r="AR2" s="1"/>
      <c r="AS2" s="1"/>
      <c r="AT2" s="1" t="s">
        <v>117</v>
      </c>
      <c r="AU2" s="1" t="s">
        <v>118</v>
      </c>
      <c r="AV2" s="1"/>
      <c r="AW2" s="1"/>
      <c r="AX2" s="1"/>
      <c r="AY2" s="1" t="s">
        <v>119</v>
      </c>
      <c r="AZ2" s="1" t="s">
        <v>120</v>
      </c>
      <c r="BA2" s="1" t="s">
        <v>121</v>
      </c>
      <c r="BB2" s="1"/>
      <c r="BC2" s="1"/>
      <c r="BD2" s="1"/>
      <c r="BE2" s="1"/>
      <c r="BF2" s="1"/>
      <c r="BG2" s="1"/>
      <c r="BH2" s="1"/>
      <c r="BI2" s="1"/>
      <c r="BJ2" s="1"/>
      <c r="BK2" s="1"/>
      <c r="BL2" s="1" t="s">
        <v>122</v>
      </c>
      <c r="BM2" s="1" t="s">
        <v>123</v>
      </c>
      <c r="BN2" s="1" t="s">
        <v>124</v>
      </c>
      <c r="BO2" s="1"/>
      <c r="BP2" s="1"/>
      <c r="BQ2" s="1"/>
      <c r="BR2" s="1"/>
      <c r="BS2" s="1"/>
      <c r="BT2" s="1"/>
      <c r="BU2" s="1"/>
      <c r="BV2" s="1" t="s">
        <v>125</v>
      </c>
      <c r="BW2" s="1" t="s">
        <v>126</v>
      </c>
      <c r="BX2" s="1" t="s">
        <v>127</v>
      </c>
      <c r="BY2" s="1" t="s">
        <v>128</v>
      </c>
      <c r="BZ2" s="1" t="s">
        <v>129</v>
      </c>
      <c r="CA2" s="1" t="s">
        <v>130</v>
      </c>
      <c r="CB2" s="1" t="s">
        <v>131</v>
      </c>
      <c r="CC2" s="1" t="s">
        <v>132</v>
      </c>
      <c r="CD2" s="1" t="s">
        <v>133</v>
      </c>
      <c r="CE2" s="1" t="s">
        <v>134</v>
      </c>
      <c r="CF2" s="1" t="s">
        <v>135</v>
      </c>
      <c r="CG2" s="1" t="s">
        <v>136</v>
      </c>
      <c r="CH2" s="1" t="s">
        <v>137</v>
      </c>
      <c r="CI2" s="1" t="s">
        <v>138</v>
      </c>
      <c r="CJ2" s="1" t="s">
        <v>139</v>
      </c>
      <c r="CK2" s="1" t="s">
        <v>140</v>
      </c>
      <c r="CL2" s="1" t="s">
        <v>141</v>
      </c>
      <c r="CM2" s="1" t="s">
        <v>142</v>
      </c>
      <c r="CN2" s="1" t="s">
        <v>143</v>
      </c>
      <c r="CO2" s="1" t="s">
        <v>144</v>
      </c>
      <c r="CP2" s="1" t="s">
        <v>145</v>
      </c>
      <c r="CQ2" s="1" t="s">
        <v>146</v>
      </c>
      <c r="CR2" s="1" t="s">
        <v>147</v>
      </c>
      <c r="CS2" s="1" t="s">
        <v>148</v>
      </c>
      <c r="CT2" s="1" t="s">
        <v>149</v>
      </c>
      <c r="CU2" s="1" t="s">
        <v>150</v>
      </c>
      <c r="CV2" s="1" t="s">
        <v>151</v>
      </c>
      <c r="CW2" s="1" t="s">
        <v>152</v>
      </c>
      <c r="CX2" s="1" t="s">
        <v>153</v>
      </c>
      <c r="CY2" s="1" t="s">
        <v>154</v>
      </c>
      <c r="CZ2" s="1" t="s">
        <v>155</v>
      </c>
      <c r="DA2" s="1" t="s">
        <v>156</v>
      </c>
      <c r="DB2" s="1" t="s">
        <v>152</v>
      </c>
      <c r="DC2" s="1" t="s">
        <v>157</v>
      </c>
    </row>
    <row r="3" spans="1:107" ht="15.75" customHeight="1" x14ac:dyDescent="0.25">
      <c r="A3" s="1" t="b">
        <v>1</v>
      </c>
      <c r="B3" s="3">
        <v>46165.302349537036</v>
      </c>
      <c r="C3" s="1" t="s">
        <v>602</v>
      </c>
      <c r="D3" s="1" t="s">
        <v>391</v>
      </c>
      <c r="E3" s="4">
        <f t="shared" ref="E3:K3" si="0">IF(ISNUMBER(SEARCH(E$1,$D3)), SEARCH(E$1,$D3), 0)</f>
        <v>1</v>
      </c>
      <c r="F3" s="4">
        <f t="shared" si="0"/>
        <v>30</v>
      </c>
      <c r="G3" s="4">
        <f t="shared" si="0"/>
        <v>105</v>
      </c>
      <c r="H3" s="4">
        <f t="shared" si="0"/>
        <v>161</v>
      </c>
      <c r="I3" s="4">
        <f t="shared" si="0"/>
        <v>199</v>
      </c>
      <c r="J3" s="4">
        <f t="shared" si="0"/>
        <v>231</v>
      </c>
      <c r="K3" s="4">
        <f t="shared" si="0"/>
        <v>268</v>
      </c>
      <c r="L3" s="4">
        <f t="shared" ref="L3:L61" si="1">(MAX(E3:K3))</f>
        <v>268</v>
      </c>
      <c r="N3" s="1" t="s">
        <v>505</v>
      </c>
      <c r="O3" s="4">
        <f t="shared" ref="O3:T3" si="2">IF(ISNUMBER(SEARCH(O$1,$N3)), 1, 0)</f>
        <v>1</v>
      </c>
      <c r="P3" s="4">
        <f t="shared" si="2"/>
        <v>1</v>
      </c>
      <c r="Q3" s="4">
        <f t="shared" si="2"/>
        <v>0</v>
      </c>
      <c r="R3" s="4">
        <f t="shared" si="2"/>
        <v>1</v>
      </c>
      <c r="S3" s="4">
        <f t="shared" si="2"/>
        <v>1</v>
      </c>
      <c r="T3" s="4">
        <f t="shared" si="2"/>
        <v>1</v>
      </c>
      <c r="W3" s="1" t="str">
        <f t="shared" ref="W3:AA12" si="3">IF(W$1=$V3, "True", "False")</f>
        <v>False</v>
      </c>
      <c r="X3" s="1" t="str">
        <f t="shared" si="3"/>
        <v>False</v>
      </c>
      <c r="Y3" s="1" t="str">
        <f t="shared" si="3"/>
        <v>False</v>
      </c>
      <c r="Z3" s="1" t="str">
        <f t="shared" si="3"/>
        <v>False</v>
      </c>
      <c r="AA3" s="1" t="str">
        <f t="shared" si="3"/>
        <v>False</v>
      </c>
      <c r="AB3" s="1" t="s">
        <v>603</v>
      </c>
      <c r="AC3" s="4">
        <f t="shared" ref="AC3:AH3" si="4">IF(ISNUMBER(SEARCH(AC$1,$AB3)), 1, 0)</f>
        <v>1</v>
      </c>
      <c r="AD3" s="4">
        <f t="shared" si="4"/>
        <v>1</v>
      </c>
      <c r="AE3" s="4">
        <f t="shared" si="4"/>
        <v>1</v>
      </c>
      <c r="AF3" s="4">
        <f t="shared" si="4"/>
        <v>1</v>
      </c>
      <c r="AG3" s="4">
        <f t="shared" si="4"/>
        <v>0</v>
      </c>
      <c r="AH3" s="4">
        <f t="shared" si="4"/>
        <v>1</v>
      </c>
      <c r="AI3" s="1">
        <f t="shared" ref="AI3:AI61" si="5">SUM(AC3:AH3)</f>
        <v>5</v>
      </c>
      <c r="AK3" s="1" t="s">
        <v>604</v>
      </c>
      <c r="AL3" s="4">
        <f t="shared" ref="AL3:AS3" si="6">IF(ISNUMBER(SEARCH(AL$1,$AK3)), 1, 0)</f>
        <v>1</v>
      </c>
      <c r="AM3" s="4">
        <f t="shared" si="6"/>
        <v>1</v>
      </c>
      <c r="AN3" s="4">
        <f t="shared" si="6"/>
        <v>1</v>
      </c>
      <c r="AO3" s="4">
        <f t="shared" si="6"/>
        <v>1</v>
      </c>
      <c r="AP3" s="4">
        <f t="shared" si="6"/>
        <v>1</v>
      </c>
      <c r="AQ3" s="4">
        <f t="shared" si="6"/>
        <v>1</v>
      </c>
      <c r="AR3" s="4">
        <f t="shared" si="6"/>
        <v>1</v>
      </c>
      <c r="AS3" s="4">
        <f t="shared" si="6"/>
        <v>1</v>
      </c>
      <c r="AU3" s="1" t="s">
        <v>48</v>
      </c>
      <c r="AV3" s="1">
        <f t="shared" ref="AV3:AV61" si="7">IF($AU3="No",1,0)</f>
        <v>0</v>
      </c>
      <c r="AW3" s="1">
        <f t="shared" ref="AW3:AW61" si="8">IF($AU3="Yes",1,0)</f>
        <v>1</v>
      </c>
      <c r="AX3" s="1">
        <f t="shared" ref="AX3:AX61" si="9">IF($AU3="Unsure",1,0)</f>
        <v>0</v>
      </c>
      <c r="AY3" s="1" t="s">
        <v>48</v>
      </c>
      <c r="BA3" s="1" t="s">
        <v>605</v>
      </c>
      <c r="BB3" s="4">
        <f t="shared" ref="BB3:BJ3" si="10">IF(ISNUMBER(SEARCH(BB$1,$BA3)), 1, 0)</f>
        <v>1</v>
      </c>
      <c r="BC3" s="4">
        <f t="shared" si="10"/>
        <v>1</v>
      </c>
      <c r="BD3" s="4">
        <f t="shared" si="10"/>
        <v>1</v>
      </c>
      <c r="BE3" s="4">
        <f t="shared" si="10"/>
        <v>1</v>
      </c>
      <c r="BF3" s="4">
        <f t="shared" si="10"/>
        <v>1</v>
      </c>
      <c r="BG3" s="4">
        <f t="shared" si="10"/>
        <v>1</v>
      </c>
      <c r="BH3" s="4">
        <f t="shared" si="10"/>
        <v>1</v>
      </c>
      <c r="BI3" s="4">
        <f t="shared" si="10"/>
        <v>1</v>
      </c>
      <c r="BJ3" s="4">
        <f t="shared" si="10"/>
        <v>1</v>
      </c>
      <c r="BK3" s="4">
        <f t="shared" ref="BK3:BK61" si="11">SUM(BB3:BJ3)</f>
        <v>9</v>
      </c>
      <c r="BO3" s="4">
        <f t="shared" ref="BO3:BU3" si="12">IF(ISNUMBER(SEARCH(BO$1,$BN3)), 1, 0)</f>
        <v>0</v>
      </c>
      <c r="BP3" s="4">
        <f t="shared" si="12"/>
        <v>0</v>
      </c>
      <c r="BQ3" s="4">
        <f t="shared" si="12"/>
        <v>0</v>
      </c>
      <c r="BR3" s="4">
        <f t="shared" si="12"/>
        <v>0</v>
      </c>
      <c r="BS3" s="4">
        <f t="shared" si="12"/>
        <v>0</v>
      </c>
      <c r="BT3" s="4">
        <f t="shared" si="12"/>
        <v>0</v>
      </c>
      <c r="BU3" s="4">
        <f t="shared" si="12"/>
        <v>0</v>
      </c>
      <c r="BZ3" s="1" t="s">
        <v>171</v>
      </c>
      <c r="CB3" s="1" t="s">
        <v>48</v>
      </c>
      <c r="CC3" s="1" t="s">
        <v>48</v>
      </c>
      <c r="CD3" s="1" t="s">
        <v>444</v>
      </c>
      <c r="CF3" s="1" t="s">
        <v>606</v>
      </c>
      <c r="CG3" s="1" t="s">
        <v>607</v>
      </c>
      <c r="CH3" s="1" t="s">
        <v>173</v>
      </c>
      <c r="CJ3" s="1" t="s">
        <v>608</v>
      </c>
      <c r="CL3" s="1" t="s">
        <v>352</v>
      </c>
      <c r="CM3" s="1" t="s">
        <v>48</v>
      </c>
      <c r="CN3" s="1" t="s">
        <v>609</v>
      </c>
      <c r="CU3" s="1" t="s">
        <v>178</v>
      </c>
      <c r="DC3" s="1" t="s">
        <v>238</v>
      </c>
    </row>
    <row r="4" spans="1:107" ht="15.75" customHeight="1" x14ac:dyDescent="0.25">
      <c r="A4" s="1" t="b">
        <v>1</v>
      </c>
      <c r="B4" s="3">
        <v>46161.275833333333</v>
      </c>
      <c r="C4" s="1" t="s">
        <v>424</v>
      </c>
      <c r="D4" s="1" t="s">
        <v>425</v>
      </c>
      <c r="E4" s="4">
        <f t="shared" ref="E4:K4" si="13">IF(ISNUMBER(SEARCH(E$1,$D4)), SEARCH(E$1,$D4), 0)</f>
        <v>1</v>
      </c>
      <c r="F4" s="4">
        <f t="shared" si="13"/>
        <v>30</v>
      </c>
      <c r="G4" s="4">
        <f t="shared" si="13"/>
        <v>105</v>
      </c>
      <c r="H4" s="4">
        <f t="shared" si="13"/>
        <v>161</v>
      </c>
      <c r="I4" s="4">
        <f t="shared" si="13"/>
        <v>199</v>
      </c>
      <c r="J4" s="4">
        <f t="shared" si="13"/>
        <v>231</v>
      </c>
      <c r="K4" s="4">
        <f t="shared" si="13"/>
        <v>268</v>
      </c>
      <c r="L4" s="4">
        <f t="shared" si="1"/>
        <v>268</v>
      </c>
      <c r="N4" s="1" t="s">
        <v>323</v>
      </c>
      <c r="O4" s="4">
        <f t="shared" ref="O4:T4" si="14">IF(ISNUMBER(SEARCH(O$1,$N4)), 1, 0)</f>
        <v>1</v>
      </c>
      <c r="P4" s="4">
        <f t="shared" si="14"/>
        <v>1</v>
      </c>
      <c r="Q4" s="4">
        <f t="shared" si="14"/>
        <v>1</v>
      </c>
      <c r="R4" s="4">
        <f t="shared" si="14"/>
        <v>1</v>
      </c>
      <c r="S4" s="4">
        <f t="shared" si="14"/>
        <v>0</v>
      </c>
      <c r="T4" s="4">
        <f t="shared" si="14"/>
        <v>1</v>
      </c>
      <c r="V4" s="1" t="s">
        <v>22</v>
      </c>
      <c r="W4" s="1" t="str">
        <f t="shared" si="3"/>
        <v>True</v>
      </c>
      <c r="X4" s="1" t="str">
        <f t="shared" si="3"/>
        <v>False</v>
      </c>
      <c r="Y4" s="1" t="str">
        <f t="shared" si="3"/>
        <v>False</v>
      </c>
      <c r="Z4" s="1" t="str">
        <f t="shared" si="3"/>
        <v>False</v>
      </c>
      <c r="AA4" s="1" t="str">
        <f t="shared" si="3"/>
        <v>False</v>
      </c>
      <c r="AB4" s="1" t="s">
        <v>183</v>
      </c>
      <c r="AC4" s="4">
        <f t="shared" ref="AC4:AH4" si="15">IF(ISNUMBER(SEARCH(AC$1,$AB4)), 1, 0)</f>
        <v>0</v>
      </c>
      <c r="AD4" s="4">
        <f t="shared" si="15"/>
        <v>0</v>
      </c>
      <c r="AE4" s="4">
        <f t="shared" si="15"/>
        <v>0</v>
      </c>
      <c r="AF4" s="4">
        <f t="shared" si="15"/>
        <v>0</v>
      </c>
      <c r="AG4" s="4">
        <f t="shared" si="15"/>
        <v>0</v>
      </c>
      <c r="AH4" s="4">
        <f t="shared" si="15"/>
        <v>0</v>
      </c>
      <c r="AI4" s="1">
        <f t="shared" si="5"/>
        <v>0</v>
      </c>
      <c r="AJ4" s="1" t="s">
        <v>426</v>
      </c>
      <c r="AK4" s="1" t="s">
        <v>427</v>
      </c>
      <c r="AL4" s="4">
        <f t="shared" ref="AL4:AS4" si="16">IF(ISNUMBER(SEARCH(AL$1,$AK4)), 1, 0)</f>
        <v>0</v>
      </c>
      <c r="AM4" s="4">
        <f t="shared" si="16"/>
        <v>1</v>
      </c>
      <c r="AN4" s="4">
        <f t="shared" si="16"/>
        <v>1</v>
      </c>
      <c r="AO4" s="4">
        <f t="shared" si="16"/>
        <v>1</v>
      </c>
      <c r="AP4" s="4">
        <f t="shared" si="16"/>
        <v>0</v>
      </c>
      <c r="AQ4" s="4">
        <f t="shared" si="16"/>
        <v>1</v>
      </c>
      <c r="AR4" s="4">
        <f t="shared" si="16"/>
        <v>1</v>
      </c>
      <c r="AS4" s="4">
        <f t="shared" si="16"/>
        <v>1</v>
      </c>
      <c r="AU4" s="1" t="s">
        <v>48</v>
      </c>
      <c r="AV4" s="1">
        <f t="shared" si="7"/>
        <v>0</v>
      </c>
      <c r="AW4" s="1">
        <f t="shared" si="8"/>
        <v>1</v>
      </c>
      <c r="AX4" s="1">
        <f t="shared" si="9"/>
        <v>0</v>
      </c>
      <c r="AY4" s="1" t="s">
        <v>47</v>
      </c>
      <c r="AZ4" s="1" t="s">
        <v>47</v>
      </c>
      <c r="BA4" s="1" t="s">
        <v>428</v>
      </c>
      <c r="BB4" s="4">
        <f t="shared" ref="BB4:BJ4" si="17">IF(ISNUMBER(SEARCH(BB$1,$BA4)), 1, 0)</f>
        <v>0</v>
      </c>
      <c r="BC4" s="4">
        <f t="shared" si="17"/>
        <v>0</v>
      </c>
      <c r="BD4" s="4">
        <f t="shared" si="17"/>
        <v>0</v>
      </c>
      <c r="BE4" s="4">
        <f t="shared" si="17"/>
        <v>0</v>
      </c>
      <c r="BF4" s="4">
        <f t="shared" si="17"/>
        <v>0</v>
      </c>
      <c r="BG4" s="4">
        <f t="shared" si="17"/>
        <v>0</v>
      </c>
      <c r="BH4" s="4">
        <f t="shared" si="17"/>
        <v>1</v>
      </c>
      <c r="BI4" s="4">
        <f t="shared" si="17"/>
        <v>1</v>
      </c>
      <c r="BJ4" s="4">
        <f t="shared" si="17"/>
        <v>1</v>
      </c>
      <c r="BK4" s="4">
        <f t="shared" si="11"/>
        <v>3</v>
      </c>
      <c r="BO4" s="4">
        <f t="shared" ref="BO4:BU4" si="18">IF(ISNUMBER(SEARCH(BO$1,$BN4)), 1, 0)</f>
        <v>0</v>
      </c>
      <c r="BP4" s="4">
        <f t="shared" si="18"/>
        <v>0</v>
      </c>
      <c r="BQ4" s="4">
        <f t="shared" si="18"/>
        <v>0</v>
      </c>
      <c r="BR4" s="4">
        <f t="shared" si="18"/>
        <v>0</v>
      </c>
      <c r="BS4" s="4">
        <f t="shared" si="18"/>
        <v>0</v>
      </c>
      <c r="BT4" s="4">
        <f t="shared" si="18"/>
        <v>0</v>
      </c>
      <c r="BU4" s="4">
        <f t="shared" si="18"/>
        <v>0</v>
      </c>
      <c r="BY4" s="1" t="s">
        <v>429</v>
      </c>
      <c r="BZ4" s="1" t="s">
        <v>183</v>
      </c>
      <c r="CA4" s="1" t="s">
        <v>430</v>
      </c>
      <c r="CB4" s="1" t="s">
        <v>48</v>
      </c>
      <c r="CC4" s="1" t="s">
        <v>47</v>
      </c>
      <c r="CD4" s="1" t="s">
        <v>431</v>
      </c>
      <c r="CF4" s="1" t="s">
        <v>412</v>
      </c>
      <c r="CG4" s="1" t="s">
        <v>432</v>
      </c>
      <c r="CI4" s="1" t="s">
        <v>433</v>
      </c>
      <c r="CJ4" s="1" t="s">
        <v>434</v>
      </c>
      <c r="CR4" s="1" t="s">
        <v>435</v>
      </c>
      <c r="CT4" s="1" t="s">
        <v>436</v>
      </c>
      <c r="CU4" s="1" t="s">
        <v>214</v>
      </c>
      <c r="CW4" s="1" t="s">
        <v>437</v>
      </c>
    </row>
    <row r="5" spans="1:107" ht="15.75" customHeight="1" x14ac:dyDescent="0.25">
      <c r="A5" s="1" t="b">
        <v>0</v>
      </c>
      <c r="B5" s="3">
        <v>46152.652453703704</v>
      </c>
      <c r="C5" s="1" t="s">
        <v>295</v>
      </c>
      <c r="D5" s="1" t="s">
        <v>296</v>
      </c>
      <c r="E5" s="4">
        <f t="shared" ref="E5:K5" si="19">IF(ISNUMBER(SEARCH(E$1,$D5)), SEARCH(E$1,$D5), 0)</f>
        <v>1</v>
      </c>
      <c r="F5" s="4">
        <f t="shared" si="19"/>
        <v>30</v>
      </c>
      <c r="G5" s="4">
        <f t="shared" si="19"/>
        <v>105</v>
      </c>
      <c r="H5" s="4">
        <f t="shared" si="19"/>
        <v>161</v>
      </c>
      <c r="I5" s="4">
        <f t="shared" si="19"/>
        <v>199</v>
      </c>
      <c r="J5" s="4">
        <f t="shared" si="19"/>
        <v>231</v>
      </c>
      <c r="K5" s="4">
        <f t="shared" si="19"/>
        <v>0</v>
      </c>
      <c r="L5" s="4">
        <f t="shared" si="1"/>
        <v>231</v>
      </c>
      <c r="N5" s="1" t="s">
        <v>240</v>
      </c>
      <c r="O5" s="4">
        <f t="shared" ref="O5:T5" si="20">IF(ISNUMBER(SEARCH(O$1,$N5)), 1, 0)</f>
        <v>1</v>
      </c>
      <c r="P5" s="4">
        <f t="shared" si="20"/>
        <v>1</v>
      </c>
      <c r="Q5" s="4">
        <f t="shared" si="20"/>
        <v>1</v>
      </c>
      <c r="R5" s="4">
        <f t="shared" si="20"/>
        <v>1</v>
      </c>
      <c r="S5" s="4">
        <f t="shared" si="20"/>
        <v>0</v>
      </c>
      <c r="T5" s="4">
        <f t="shared" si="20"/>
        <v>0</v>
      </c>
      <c r="V5" s="1" t="s">
        <v>24</v>
      </c>
      <c r="W5" s="1" t="str">
        <f t="shared" si="3"/>
        <v>False</v>
      </c>
      <c r="X5" s="1" t="str">
        <f t="shared" si="3"/>
        <v>False</v>
      </c>
      <c r="Y5" s="1" t="str">
        <f t="shared" si="3"/>
        <v>True</v>
      </c>
      <c r="Z5" s="1" t="str">
        <f t="shared" si="3"/>
        <v>False</v>
      </c>
      <c r="AA5" s="1" t="str">
        <f t="shared" si="3"/>
        <v>False</v>
      </c>
      <c r="AB5" s="1" t="s">
        <v>33</v>
      </c>
      <c r="AC5" s="4">
        <f t="shared" ref="AC5:AH5" si="21">IF(ISNUMBER(SEARCH(AC$1,$AB5)), 1, 0)</f>
        <v>0</v>
      </c>
      <c r="AD5" s="4">
        <f t="shared" si="21"/>
        <v>0</v>
      </c>
      <c r="AE5" s="4">
        <f t="shared" si="21"/>
        <v>0</v>
      </c>
      <c r="AF5" s="4">
        <f t="shared" si="21"/>
        <v>0</v>
      </c>
      <c r="AG5" s="4">
        <f t="shared" si="21"/>
        <v>0</v>
      </c>
      <c r="AH5" s="4">
        <f t="shared" si="21"/>
        <v>1</v>
      </c>
      <c r="AI5" s="1">
        <f t="shared" si="5"/>
        <v>1</v>
      </c>
      <c r="AJ5" s="1"/>
      <c r="AK5" s="1" t="s">
        <v>38</v>
      </c>
      <c r="AL5" s="4">
        <f t="shared" ref="AL5:AS5" si="22">IF(ISNUMBER(SEARCH(AL$1,$AK5)), 1, 0)</f>
        <v>0</v>
      </c>
      <c r="AM5" s="4">
        <f t="shared" si="22"/>
        <v>1</v>
      </c>
      <c r="AN5" s="4">
        <f t="shared" si="22"/>
        <v>0</v>
      </c>
      <c r="AO5" s="4">
        <f t="shared" si="22"/>
        <v>0</v>
      </c>
      <c r="AP5" s="4">
        <f t="shared" si="22"/>
        <v>0</v>
      </c>
      <c r="AQ5" s="4">
        <f t="shared" si="22"/>
        <v>0</v>
      </c>
      <c r="AR5" s="4">
        <f t="shared" si="22"/>
        <v>0</v>
      </c>
      <c r="AS5" s="4">
        <f t="shared" si="22"/>
        <v>0</v>
      </c>
      <c r="AU5" s="1" t="s">
        <v>48</v>
      </c>
      <c r="AV5" s="1">
        <f t="shared" si="7"/>
        <v>0</v>
      </c>
      <c r="AW5" s="1">
        <f t="shared" si="8"/>
        <v>1</v>
      </c>
      <c r="AX5" s="1">
        <f t="shared" si="9"/>
        <v>0</v>
      </c>
      <c r="AY5" s="1" t="s">
        <v>48</v>
      </c>
      <c r="BA5" s="1" t="s">
        <v>297</v>
      </c>
      <c r="BB5" s="4">
        <f t="shared" ref="BB5:BJ5" si="23">IF(ISNUMBER(SEARCH(BB$1,$BA5)), 1, 0)</f>
        <v>1</v>
      </c>
      <c r="BC5" s="4">
        <f t="shared" si="23"/>
        <v>0</v>
      </c>
      <c r="BD5" s="4">
        <f t="shared" si="23"/>
        <v>1</v>
      </c>
      <c r="BE5" s="4">
        <f t="shared" si="23"/>
        <v>0</v>
      </c>
      <c r="BF5" s="4">
        <f t="shared" si="23"/>
        <v>1</v>
      </c>
      <c r="BG5" s="4">
        <f t="shared" si="23"/>
        <v>1</v>
      </c>
      <c r="BH5" s="4">
        <f t="shared" si="23"/>
        <v>0</v>
      </c>
      <c r="BI5" s="4">
        <f t="shared" si="23"/>
        <v>0</v>
      </c>
      <c r="BJ5" s="4">
        <f t="shared" si="23"/>
        <v>1</v>
      </c>
      <c r="BK5" s="4">
        <f t="shared" si="11"/>
        <v>5</v>
      </c>
      <c r="BM5" s="1" t="s">
        <v>190</v>
      </c>
      <c r="BN5" s="1" t="s">
        <v>298</v>
      </c>
      <c r="BO5" s="4">
        <f t="shared" ref="BO5:BU5" si="24">IF(ISNUMBER(SEARCH(BO$1,$BN5)), 1, 0)</f>
        <v>0</v>
      </c>
      <c r="BP5" s="4">
        <f t="shared" si="24"/>
        <v>0</v>
      </c>
      <c r="BQ5" s="4">
        <f t="shared" si="24"/>
        <v>0</v>
      </c>
      <c r="BR5" s="4">
        <f t="shared" si="24"/>
        <v>1</v>
      </c>
      <c r="BS5" s="4">
        <f t="shared" si="24"/>
        <v>1</v>
      </c>
      <c r="BT5" s="4">
        <f t="shared" si="24"/>
        <v>0</v>
      </c>
      <c r="BU5" s="4">
        <f t="shared" si="24"/>
        <v>1</v>
      </c>
      <c r="BV5" s="1" t="s">
        <v>299</v>
      </c>
      <c r="BY5" s="1" t="s">
        <v>300</v>
      </c>
    </row>
    <row r="6" spans="1:107" ht="15.75" customHeight="1" x14ac:dyDescent="0.25">
      <c r="A6" s="1" t="b">
        <v>1</v>
      </c>
      <c r="B6" s="3">
        <v>46161.533495370371</v>
      </c>
      <c r="C6" s="1" t="s">
        <v>442</v>
      </c>
      <c r="D6" s="1" t="s">
        <v>425</v>
      </c>
      <c r="E6" s="4">
        <f t="shared" ref="E6:K6" si="25">IF(ISNUMBER(SEARCH(E$1,$D6)), SEARCH(E$1,$D6), 0)</f>
        <v>1</v>
      </c>
      <c r="F6" s="4">
        <f t="shared" si="25"/>
        <v>30</v>
      </c>
      <c r="G6" s="4">
        <f t="shared" si="25"/>
        <v>105</v>
      </c>
      <c r="H6" s="4">
        <f t="shared" si="25"/>
        <v>161</v>
      </c>
      <c r="I6" s="4">
        <f t="shared" si="25"/>
        <v>199</v>
      </c>
      <c r="J6" s="4">
        <f t="shared" si="25"/>
        <v>231</v>
      </c>
      <c r="K6" s="4">
        <f t="shared" si="25"/>
        <v>268</v>
      </c>
      <c r="L6" s="4">
        <f t="shared" si="1"/>
        <v>268</v>
      </c>
      <c r="O6" s="4">
        <f t="shared" ref="O6:T6" si="26">IF(ISNUMBER(SEARCH(O$1,$N6)), 1, 0)</f>
        <v>0</v>
      </c>
      <c r="P6" s="4">
        <f t="shared" si="26"/>
        <v>0</v>
      </c>
      <c r="Q6" s="4">
        <f t="shared" si="26"/>
        <v>0</v>
      </c>
      <c r="R6" s="4">
        <f t="shared" si="26"/>
        <v>0</v>
      </c>
      <c r="S6" s="4">
        <f t="shared" si="26"/>
        <v>0</v>
      </c>
      <c r="T6" s="4">
        <f t="shared" si="26"/>
        <v>0</v>
      </c>
      <c r="W6" s="1" t="str">
        <f t="shared" si="3"/>
        <v>False</v>
      </c>
      <c r="X6" s="1" t="str">
        <f t="shared" si="3"/>
        <v>False</v>
      </c>
      <c r="Y6" s="1" t="str">
        <f t="shared" si="3"/>
        <v>False</v>
      </c>
      <c r="Z6" s="1" t="str">
        <f t="shared" si="3"/>
        <v>False</v>
      </c>
      <c r="AA6" s="1" t="str">
        <f t="shared" si="3"/>
        <v>False</v>
      </c>
      <c r="AB6" s="1" t="s">
        <v>443</v>
      </c>
      <c r="AC6" s="4">
        <f t="shared" ref="AC6:AH6" si="27">IF(ISNUMBER(SEARCH(AC$1,$AB6)), 1, 0)</f>
        <v>0</v>
      </c>
      <c r="AD6" s="4">
        <f t="shared" si="27"/>
        <v>1</v>
      </c>
      <c r="AE6" s="4">
        <f t="shared" si="27"/>
        <v>1</v>
      </c>
      <c r="AF6" s="4">
        <f t="shared" si="27"/>
        <v>1</v>
      </c>
      <c r="AG6" s="4">
        <f t="shared" si="27"/>
        <v>0</v>
      </c>
      <c r="AH6" s="4">
        <f t="shared" si="27"/>
        <v>1</v>
      </c>
      <c r="AI6" s="1">
        <f t="shared" si="5"/>
        <v>4</v>
      </c>
      <c r="AL6" s="4">
        <f t="shared" ref="AL6:AS6" si="28">IF(ISNUMBER(SEARCH(AL$1,$AK6)), 1, 0)</f>
        <v>0</v>
      </c>
      <c r="AM6" s="4">
        <f t="shared" si="28"/>
        <v>0</v>
      </c>
      <c r="AN6" s="4">
        <f t="shared" si="28"/>
        <v>0</v>
      </c>
      <c r="AO6" s="4">
        <f t="shared" si="28"/>
        <v>0</v>
      </c>
      <c r="AP6" s="4">
        <f t="shared" si="28"/>
        <v>0</v>
      </c>
      <c r="AQ6" s="4">
        <f t="shared" si="28"/>
        <v>0</v>
      </c>
      <c r="AR6" s="4">
        <f t="shared" si="28"/>
        <v>0</v>
      </c>
      <c r="AS6" s="4">
        <f t="shared" si="28"/>
        <v>0</v>
      </c>
      <c r="AV6" s="1">
        <f t="shared" si="7"/>
        <v>0</v>
      </c>
      <c r="AW6" s="1">
        <f t="shared" si="8"/>
        <v>0</v>
      </c>
      <c r="AX6" s="1">
        <f t="shared" si="9"/>
        <v>0</v>
      </c>
      <c r="BB6" s="4">
        <f t="shared" ref="BB6:BJ6" si="29">IF(ISNUMBER(SEARCH(BB$1,$BA6)), 1, 0)</f>
        <v>0</v>
      </c>
      <c r="BC6" s="4">
        <f t="shared" si="29"/>
        <v>0</v>
      </c>
      <c r="BD6" s="4">
        <f t="shared" si="29"/>
        <v>0</v>
      </c>
      <c r="BE6" s="4">
        <f t="shared" si="29"/>
        <v>0</v>
      </c>
      <c r="BF6" s="4">
        <f t="shared" si="29"/>
        <v>0</v>
      </c>
      <c r="BG6" s="4">
        <f t="shared" si="29"/>
        <v>0</v>
      </c>
      <c r="BH6" s="4">
        <f t="shared" si="29"/>
        <v>0</v>
      </c>
      <c r="BI6" s="4">
        <f t="shared" si="29"/>
        <v>0</v>
      </c>
      <c r="BJ6" s="4">
        <f t="shared" si="29"/>
        <v>0</v>
      </c>
      <c r="BK6" s="4">
        <f t="shared" si="11"/>
        <v>0</v>
      </c>
      <c r="BO6" s="4">
        <f t="shared" ref="BO6:BU6" si="30">IF(ISNUMBER(SEARCH(BO$1,$BN6)), 1, 0)</f>
        <v>0</v>
      </c>
      <c r="BP6" s="4">
        <f t="shared" si="30"/>
        <v>0</v>
      </c>
      <c r="BQ6" s="4">
        <f t="shared" si="30"/>
        <v>0</v>
      </c>
      <c r="BR6" s="4">
        <f t="shared" si="30"/>
        <v>0</v>
      </c>
      <c r="BS6" s="4">
        <f t="shared" si="30"/>
        <v>0</v>
      </c>
      <c r="BT6" s="4">
        <f t="shared" si="30"/>
        <v>0</v>
      </c>
      <c r="BU6" s="4">
        <f t="shared" si="30"/>
        <v>0</v>
      </c>
      <c r="CB6" s="1" t="s">
        <v>48</v>
      </c>
      <c r="CC6" s="1" t="s">
        <v>48</v>
      </c>
      <c r="CD6" s="1" t="s">
        <v>444</v>
      </c>
      <c r="CF6" s="1" t="s">
        <v>387</v>
      </c>
      <c r="CG6" s="1" t="s">
        <v>388</v>
      </c>
      <c r="CH6" s="1" t="s">
        <v>445</v>
      </c>
      <c r="CJ6" s="1" t="s">
        <v>446</v>
      </c>
      <c r="CL6" s="1" t="s">
        <v>447</v>
      </c>
      <c r="CM6" s="1" t="s">
        <v>48</v>
      </c>
      <c r="CN6" s="1" t="s">
        <v>448</v>
      </c>
      <c r="CR6" s="1" t="s">
        <v>449</v>
      </c>
      <c r="CU6" s="1" t="s">
        <v>449</v>
      </c>
      <c r="CX6" s="1" t="s">
        <v>450</v>
      </c>
      <c r="CZ6" s="1" t="s">
        <v>451</v>
      </c>
      <c r="DC6" s="1" t="s">
        <v>238</v>
      </c>
    </row>
    <row r="7" spans="1:107" ht="15.75" customHeight="1" x14ac:dyDescent="0.25">
      <c r="A7" s="1" t="b">
        <v>1</v>
      </c>
      <c r="B7" s="3">
        <v>46158.708622685182</v>
      </c>
      <c r="C7" s="1" t="s">
        <v>390</v>
      </c>
      <c r="D7" s="1" t="s">
        <v>391</v>
      </c>
      <c r="E7" s="4">
        <f t="shared" ref="E7:K7" si="31">IF(ISNUMBER(SEARCH(E$1,$D7)), SEARCH(E$1,$D7), 0)</f>
        <v>1</v>
      </c>
      <c r="F7" s="4">
        <f t="shared" si="31"/>
        <v>30</v>
      </c>
      <c r="G7" s="4">
        <f t="shared" si="31"/>
        <v>105</v>
      </c>
      <c r="H7" s="4">
        <f t="shared" si="31"/>
        <v>161</v>
      </c>
      <c r="I7" s="4">
        <f t="shared" si="31"/>
        <v>199</v>
      </c>
      <c r="J7" s="4">
        <f t="shared" si="31"/>
        <v>231</v>
      </c>
      <c r="K7" s="4">
        <f t="shared" si="31"/>
        <v>268</v>
      </c>
      <c r="L7" s="4">
        <f t="shared" si="1"/>
        <v>268</v>
      </c>
      <c r="N7" s="1" t="s">
        <v>160</v>
      </c>
      <c r="O7" s="4">
        <f t="shared" ref="O7:T7" si="32">IF(ISNUMBER(SEARCH(O$1,$N7)), 1, 0)</f>
        <v>1</v>
      </c>
      <c r="P7" s="4">
        <f t="shared" si="32"/>
        <v>1</v>
      </c>
      <c r="Q7" s="4">
        <f t="shared" si="32"/>
        <v>1</v>
      </c>
      <c r="R7" s="4">
        <f t="shared" si="32"/>
        <v>1</v>
      </c>
      <c r="S7" s="4">
        <f t="shared" si="32"/>
        <v>1</v>
      </c>
      <c r="T7" s="4">
        <f t="shared" si="32"/>
        <v>1</v>
      </c>
      <c r="W7" s="1" t="str">
        <f t="shared" si="3"/>
        <v>False</v>
      </c>
      <c r="X7" s="1" t="str">
        <f t="shared" si="3"/>
        <v>False</v>
      </c>
      <c r="Y7" s="1" t="str">
        <f t="shared" si="3"/>
        <v>False</v>
      </c>
      <c r="Z7" s="1" t="str">
        <f t="shared" si="3"/>
        <v>False</v>
      </c>
      <c r="AA7" s="1" t="str">
        <f t="shared" si="3"/>
        <v>False</v>
      </c>
      <c r="AB7" s="1" t="s">
        <v>392</v>
      </c>
      <c r="AC7" s="4">
        <f t="shared" ref="AC7:AH7" si="33">IF(ISNUMBER(SEARCH(AC$1,$AB7)), 1, 0)</f>
        <v>0</v>
      </c>
      <c r="AD7" s="4">
        <f t="shared" si="33"/>
        <v>1</v>
      </c>
      <c r="AE7" s="4">
        <f t="shared" si="33"/>
        <v>1</v>
      </c>
      <c r="AF7" s="4">
        <f t="shared" si="33"/>
        <v>0</v>
      </c>
      <c r="AG7" s="4">
        <f t="shared" si="33"/>
        <v>0</v>
      </c>
      <c r="AH7" s="4">
        <f t="shared" si="33"/>
        <v>0</v>
      </c>
      <c r="AI7" s="1">
        <f t="shared" si="5"/>
        <v>2</v>
      </c>
      <c r="AL7" s="4">
        <f t="shared" ref="AL7:AS7" si="34">IF(ISNUMBER(SEARCH(AL$1,$AK7)), 1, 0)</f>
        <v>0</v>
      </c>
      <c r="AM7" s="4">
        <f t="shared" si="34"/>
        <v>0</v>
      </c>
      <c r="AN7" s="4">
        <f t="shared" si="34"/>
        <v>0</v>
      </c>
      <c r="AO7" s="4">
        <f t="shared" si="34"/>
        <v>0</v>
      </c>
      <c r="AP7" s="4">
        <f t="shared" si="34"/>
        <v>0</v>
      </c>
      <c r="AQ7" s="4">
        <f t="shared" si="34"/>
        <v>0</v>
      </c>
      <c r="AR7" s="4">
        <f t="shared" si="34"/>
        <v>0</v>
      </c>
      <c r="AS7" s="4">
        <f t="shared" si="34"/>
        <v>0</v>
      </c>
      <c r="AV7" s="1">
        <f t="shared" si="7"/>
        <v>0</v>
      </c>
      <c r="AW7" s="1">
        <f t="shared" si="8"/>
        <v>0</v>
      </c>
      <c r="AX7" s="1">
        <f t="shared" si="9"/>
        <v>0</v>
      </c>
      <c r="BB7" s="4">
        <f t="shared" ref="BB7:BJ7" si="35">IF(ISNUMBER(SEARCH(BB$1,$BA7)), 1, 0)</f>
        <v>0</v>
      </c>
      <c r="BC7" s="4">
        <f t="shared" si="35"/>
        <v>0</v>
      </c>
      <c r="BD7" s="4">
        <f t="shared" si="35"/>
        <v>0</v>
      </c>
      <c r="BE7" s="4">
        <f t="shared" si="35"/>
        <v>0</v>
      </c>
      <c r="BF7" s="4">
        <f t="shared" si="35"/>
        <v>0</v>
      </c>
      <c r="BG7" s="4">
        <f t="shared" si="35"/>
        <v>0</v>
      </c>
      <c r="BH7" s="4">
        <f t="shared" si="35"/>
        <v>0</v>
      </c>
      <c r="BI7" s="4">
        <f t="shared" si="35"/>
        <v>0</v>
      </c>
      <c r="BJ7" s="4">
        <f t="shared" si="35"/>
        <v>0</v>
      </c>
      <c r="BK7" s="4">
        <f t="shared" si="11"/>
        <v>0</v>
      </c>
      <c r="BO7" s="4">
        <f t="shared" ref="BO7:BU7" si="36">IF(ISNUMBER(SEARCH(BO$1,$BN7)), 1, 0)</f>
        <v>0</v>
      </c>
      <c r="BP7" s="4">
        <f t="shared" si="36"/>
        <v>0</v>
      </c>
      <c r="BQ7" s="4">
        <f t="shared" si="36"/>
        <v>0</v>
      </c>
      <c r="BR7" s="4">
        <f t="shared" si="36"/>
        <v>0</v>
      </c>
      <c r="BS7" s="4">
        <f t="shared" si="36"/>
        <v>0</v>
      </c>
      <c r="BT7" s="4">
        <f t="shared" si="36"/>
        <v>0</v>
      </c>
      <c r="BU7" s="4">
        <f t="shared" si="36"/>
        <v>0</v>
      </c>
      <c r="CB7" s="1" t="s">
        <v>48</v>
      </c>
      <c r="CC7" s="1" t="s">
        <v>48</v>
      </c>
    </row>
    <row r="8" spans="1:107" ht="15.75" customHeight="1" x14ac:dyDescent="0.25">
      <c r="A8" s="1" t="b">
        <v>1</v>
      </c>
      <c r="B8" s="3">
        <v>46151.902384259258</v>
      </c>
      <c r="C8" s="1" t="s">
        <v>270</v>
      </c>
      <c r="D8" s="1" t="s">
        <v>271</v>
      </c>
      <c r="E8" s="4">
        <f t="shared" ref="E8:K8" si="37">IF(ISNUMBER(SEARCH(E$1,$D8)), SEARCH(E$1,$D8), 0)</f>
        <v>1</v>
      </c>
      <c r="F8" s="4">
        <f t="shared" si="37"/>
        <v>30</v>
      </c>
      <c r="G8" s="4">
        <f t="shared" si="37"/>
        <v>105</v>
      </c>
      <c r="H8" s="4">
        <f t="shared" si="37"/>
        <v>0</v>
      </c>
      <c r="I8" s="4">
        <f t="shared" si="37"/>
        <v>0</v>
      </c>
      <c r="J8" s="4">
        <f t="shared" si="37"/>
        <v>161</v>
      </c>
      <c r="K8" s="4">
        <f t="shared" si="37"/>
        <v>0</v>
      </c>
      <c r="L8" s="4">
        <f t="shared" si="1"/>
        <v>161</v>
      </c>
      <c r="N8" s="1" t="s">
        <v>272</v>
      </c>
      <c r="O8" s="4">
        <f t="shared" ref="O8:T8" si="38">IF(ISNUMBER(SEARCH(O$1,$N8)), 1, 0)</f>
        <v>1</v>
      </c>
      <c r="P8" s="4">
        <f t="shared" si="38"/>
        <v>1</v>
      </c>
      <c r="Q8" s="4">
        <f t="shared" si="38"/>
        <v>1</v>
      </c>
      <c r="R8" s="4">
        <f t="shared" si="38"/>
        <v>1</v>
      </c>
      <c r="S8" s="4">
        <f t="shared" si="38"/>
        <v>1</v>
      </c>
      <c r="T8" s="4">
        <f t="shared" si="38"/>
        <v>0</v>
      </c>
      <c r="V8" s="1" t="s">
        <v>24</v>
      </c>
      <c r="W8" s="1" t="str">
        <f t="shared" si="3"/>
        <v>False</v>
      </c>
      <c r="X8" s="1" t="str">
        <f t="shared" si="3"/>
        <v>False</v>
      </c>
      <c r="Y8" s="1" t="str">
        <f t="shared" si="3"/>
        <v>True</v>
      </c>
      <c r="Z8" s="1" t="str">
        <f t="shared" si="3"/>
        <v>False</v>
      </c>
      <c r="AA8" s="1" t="str">
        <f t="shared" si="3"/>
        <v>False</v>
      </c>
      <c r="AB8" s="1" t="s">
        <v>273</v>
      </c>
      <c r="AC8" s="4">
        <f t="shared" ref="AC8:AH8" si="39">IF(ISNUMBER(SEARCH(AC$1,$AB8)), 1, 0)</f>
        <v>0</v>
      </c>
      <c r="AD8" s="4">
        <f t="shared" si="39"/>
        <v>0</v>
      </c>
      <c r="AE8" s="4">
        <f t="shared" si="39"/>
        <v>0</v>
      </c>
      <c r="AF8" s="4">
        <f t="shared" si="39"/>
        <v>0</v>
      </c>
      <c r="AG8" s="4">
        <f t="shared" si="39"/>
        <v>1</v>
      </c>
      <c r="AH8" s="4">
        <f t="shared" si="39"/>
        <v>0</v>
      </c>
      <c r="AI8" s="1">
        <f t="shared" si="5"/>
        <v>1</v>
      </c>
      <c r="AJ8" s="1" t="s">
        <v>274</v>
      </c>
      <c r="AK8" s="1" t="s">
        <v>259</v>
      </c>
      <c r="AL8" s="4">
        <f t="shared" ref="AL8:AS8" si="40">IF(ISNUMBER(SEARCH(AL$1,$AK8)), 1, 0)</f>
        <v>1</v>
      </c>
      <c r="AM8" s="4">
        <f t="shared" si="40"/>
        <v>1</v>
      </c>
      <c r="AN8" s="4">
        <f t="shared" si="40"/>
        <v>0</v>
      </c>
      <c r="AO8" s="4">
        <f t="shared" si="40"/>
        <v>1</v>
      </c>
      <c r="AP8" s="4">
        <f t="shared" si="40"/>
        <v>0</v>
      </c>
      <c r="AQ8" s="4">
        <f t="shared" si="40"/>
        <v>0</v>
      </c>
      <c r="AR8" s="4">
        <f t="shared" si="40"/>
        <v>0</v>
      </c>
      <c r="AS8" s="4">
        <f t="shared" si="40"/>
        <v>0</v>
      </c>
      <c r="AU8" s="1" t="s">
        <v>48</v>
      </c>
      <c r="AV8" s="1">
        <f t="shared" si="7"/>
        <v>0</v>
      </c>
      <c r="AW8" s="1">
        <f t="shared" si="8"/>
        <v>1</v>
      </c>
      <c r="AX8" s="1">
        <f t="shared" si="9"/>
        <v>0</v>
      </c>
      <c r="AY8" s="1" t="s">
        <v>48</v>
      </c>
      <c r="BA8" s="1" t="s">
        <v>275</v>
      </c>
      <c r="BB8" s="4">
        <f t="shared" ref="BB8:BJ8" si="41">IF(ISNUMBER(SEARCH(BB$1,$BA8)), 1, 0)</f>
        <v>0</v>
      </c>
      <c r="BC8" s="4">
        <f t="shared" si="41"/>
        <v>1</v>
      </c>
      <c r="BD8" s="4">
        <f t="shared" si="41"/>
        <v>1</v>
      </c>
      <c r="BE8" s="4">
        <f t="shared" si="41"/>
        <v>1</v>
      </c>
      <c r="BF8" s="4">
        <f t="shared" si="41"/>
        <v>0</v>
      </c>
      <c r="BG8" s="4">
        <f t="shared" si="41"/>
        <v>0</v>
      </c>
      <c r="BH8" s="4">
        <f t="shared" si="41"/>
        <v>1</v>
      </c>
      <c r="BI8" s="4">
        <f t="shared" si="41"/>
        <v>1</v>
      </c>
      <c r="BJ8" s="4">
        <f t="shared" si="41"/>
        <v>1</v>
      </c>
      <c r="BK8" s="4">
        <f t="shared" si="11"/>
        <v>6</v>
      </c>
      <c r="BM8" s="1" t="s">
        <v>166</v>
      </c>
      <c r="BN8" s="1" t="s">
        <v>276</v>
      </c>
      <c r="BO8" s="4">
        <f t="shared" ref="BO8:BU8" si="42">IF(ISNUMBER(SEARCH(BO$1,$BN8)), 1, 0)</f>
        <v>1</v>
      </c>
      <c r="BP8" s="4">
        <f t="shared" si="42"/>
        <v>0</v>
      </c>
      <c r="BQ8" s="4">
        <f t="shared" si="42"/>
        <v>0</v>
      </c>
      <c r="BR8" s="4">
        <f t="shared" si="42"/>
        <v>1</v>
      </c>
      <c r="BS8" s="4">
        <f t="shared" si="42"/>
        <v>1</v>
      </c>
      <c r="BT8" s="4">
        <f t="shared" si="42"/>
        <v>0</v>
      </c>
      <c r="BU8" s="4">
        <f t="shared" si="42"/>
        <v>0</v>
      </c>
      <c r="BW8" s="1" t="s">
        <v>277</v>
      </c>
      <c r="BZ8" s="1" t="s">
        <v>278</v>
      </c>
      <c r="CR8" s="1" t="s">
        <v>178</v>
      </c>
      <c r="CT8" s="1" t="s">
        <v>279</v>
      </c>
      <c r="CU8" s="1" t="s">
        <v>280</v>
      </c>
      <c r="CW8" s="1" t="s">
        <v>281</v>
      </c>
      <c r="CX8" s="1" t="s">
        <v>282</v>
      </c>
      <c r="CZ8" s="1" t="s">
        <v>283</v>
      </c>
      <c r="DB8" s="1" t="s">
        <v>284</v>
      </c>
      <c r="DC8" s="1" t="s">
        <v>180</v>
      </c>
    </row>
    <row r="9" spans="1:107" ht="15.75" customHeight="1" x14ac:dyDescent="0.25">
      <c r="A9" s="1" t="b">
        <v>1</v>
      </c>
      <c r="B9" s="3">
        <v>46164.593090277776</v>
      </c>
      <c r="C9" s="1" t="s">
        <v>490</v>
      </c>
      <c r="D9" s="1" t="s">
        <v>243</v>
      </c>
      <c r="E9" s="4">
        <f t="shared" ref="E9:K9" si="43">IF(ISNUMBER(SEARCH(E$1,$D9)), SEARCH(E$1,$D9), 0)</f>
        <v>1</v>
      </c>
      <c r="F9" s="4">
        <f t="shared" si="43"/>
        <v>30</v>
      </c>
      <c r="G9" s="4">
        <f t="shared" si="43"/>
        <v>105</v>
      </c>
      <c r="H9" s="4">
        <f t="shared" si="43"/>
        <v>0</v>
      </c>
      <c r="I9" s="4">
        <f t="shared" si="43"/>
        <v>0</v>
      </c>
      <c r="J9" s="4">
        <f t="shared" si="43"/>
        <v>0</v>
      </c>
      <c r="K9" s="4">
        <f t="shared" si="43"/>
        <v>0</v>
      </c>
      <c r="L9" s="4">
        <f t="shared" si="1"/>
        <v>105</v>
      </c>
      <c r="N9" s="1" t="s">
        <v>187</v>
      </c>
      <c r="O9" s="4">
        <f t="shared" ref="O9:T9" si="44">IF(ISNUMBER(SEARCH(O$1,$N9)), 1, 0)</f>
        <v>1</v>
      </c>
      <c r="P9" s="4">
        <f t="shared" si="44"/>
        <v>1</v>
      </c>
      <c r="Q9" s="4">
        <f t="shared" si="44"/>
        <v>1</v>
      </c>
      <c r="R9" s="4">
        <f t="shared" si="44"/>
        <v>1</v>
      </c>
      <c r="S9" s="4">
        <f t="shared" si="44"/>
        <v>1</v>
      </c>
      <c r="T9" s="4">
        <f t="shared" si="44"/>
        <v>1</v>
      </c>
      <c r="V9" s="1" t="s">
        <v>25</v>
      </c>
      <c r="W9" s="1" t="str">
        <f t="shared" si="3"/>
        <v>False</v>
      </c>
      <c r="X9" s="1" t="str">
        <f t="shared" si="3"/>
        <v>False</v>
      </c>
      <c r="Y9" s="1" t="str">
        <f t="shared" si="3"/>
        <v>False</v>
      </c>
      <c r="Z9" s="1" t="str">
        <f t="shared" si="3"/>
        <v>True</v>
      </c>
      <c r="AA9" s="1" t="str">
        <f t="shared" si="3"/>
        <v>False</v>
      </c>
      <c r="AB9" s="1" t="s">
        <v>491</v>
      </c>
      <c r="AC9" s="4">
        <f t="shared" ref="AC9:AH9" si="45">IF(ISNUMBER(SEARCH(AC$1,$AB9)), 1, 0)</f>
        <v>1</v>
      </c>
      <c r="AD9" s="4">
        <f t="shared" si="45"/>
        <v>0</v>
      </c>
      <c r="AE9" s="4">
        <f t="shared" si="45"/>
        <v>1</v>
      </c>
      <c r="AF9" s="4">
        <f t="shared" si="45"/>
        <v>0</v>
      </c>
      <c r="AG9" s="4">
        <f t="shared" si="45"/>
        <v>1</v>
      </c>
      <c r="AH9" s="4">
        <f t="shared" si="45"/>
        <v>1</v>
      </c>
      <c r="AI9" s="1">
        <f t="shared" si="5"/>
        <v>4</v>
      </c>
      <c r="AK9" s="1" t="s">
        <v>492</v>
      </c>
      <c r="AL9" s="4">
        <f t="shared" ref="AL9:AS9" si="46">IF(ISNUMBER(SEARCH(AL$1,$AK9)), 1, 0)</f>
        <v>1</v>
      </c>
      <c r="AM9" s="4">
        <f t="shared" si="46"/>
        <v>1</v>
      </c>
      <c r="AN9" s="4">
        <f t="shared" si="46"/>
        <v>1</v>
      </c>
      <c r="AO9" s="4">
        <f t="shared" si="46"/>
        <v>1</v>
      </c>
      <c r="AP9" s="4">
        <f t="shared" si="46"/>
        <v>1</v>
      </c>
      <c r="AQ9" s="4">
        <f t="shared" si="46"/>
        <v>1</v>
      </c>
      <c r="AR9" s="4">
        <f t="shared" si="46"/>
        <v>1</v>
      </c>
      <c r="AS9" s="4">
        <f t="shared" si="46"/>
        <v>0</v>
      </c>
      <c r="AU9" s="1" t="s">
        <v>49</v>
      </c>
      <c r="AV9" s="1">
        <f t="shared" si="7"/>
        <v>0</v>
      </c>
      <c r="AW9" s="1">
        <f t="shared" si="8"/>
        <v>0</v>
      </c>
      <c r="AX9" s="1">
        <f t="shared" si="9"/>
        <v>1</v>
      </c>
      <c r="AY9" s="1" t="s">
        <v>48</v>
      </c>
      <c r="BA9" s="1" t="s">
        <v>493</v>
      </c>
      <c r="BB9" s="4">
        <f t="shared" ref="BB9:BJ9" si="47">IF(ISNUMBER(SEARCH(BB$1,$BA9)), 1, 0)</f>
        <v>1</v>
      </c>
      <c r="BC9" s="4">
        <f t="shared" si="47"/>
        <v>1</v>
      </c>
      <c r="BD9" s="4">
        <f t="shared" si="47"/>
        <v>1</v>
      </c>
      <c r="BE9" s="4">
        <f t="shared" si="47"/>
        <v>0</v>
      </c>
      <c r="BF9" s="4">
        <f t="shared" si="47"/>
        <v>1</v>
      </c>
      <c r="BG9" s="4">
        <f t="shared" si="47"/>
        <v>0</v>
      </c>
      <c r="BH9" s="4">
        <f t="shared" si="47"/>
        <v>1</v>
      </c>
      <c r="BI9" s="4">
        <f t="shared" si="47"/>
        <v>0</v>
      </c>
      <c r="BJ9" s="4">
        <f t="shared" si="47"/>
        <v>1</v>
      </c>
      <c r="BK9" s="4">
        <f t="shared" si="11"/>
        <v>6</v>
      </c>
      <c r="BM9" s="1" t="s">
        <v>166</v>
      </c>
      <c r="BN9" s="1" t="s">
        <v>494</v>
      </c>
      <c r="BO9" s="4">
        <f t="shared" ref="BO9:BU9" si="48">IF(ISNUMBER(SEARCH(BO$1,$BN9)), 1, 0)</f>
        <v>1</v>
      </c>
      <c r="BP9" s="4">
        <f t="shared" si="48"/>
        <v>0</v>
      </c>
      <c r="BQ9" s="4">
        <f t="shared" si="48"/>
        <v>1</v>
      </c>
      <c r="BR9" s="4">
        <f t="shared" si="48"/>
        <v>1</v>
      </c>
      <c r="BS9" s="4">
        <f t="shared" si="48"/>
        <v>1</v>
      </c>
      <c r="BT9" s="4">
        <f t="shared" si="48"/>
        <v>0</v>
      </c>
      <c r="BU9" s="4">
        <f t="shared" si="48"/>
        <v>0</v>
      </c>
      <c r="CU9" s="1" t="s">
        <v>178</v>
      </c>
      <c r="CW9" s="1" t="s">
        <v>495</v>
      </c>
      <c r="CX9" s="1" t="s">
        <v>496</v>
      </c>
      <c r="CZ9" s="1" t="s">
        <v>497</v>
      </c>
      <c r="DB9" s="1" t="s">
        <v>498</v>
      </c>
      <c r="DC9" s="1" t="s">
        <v>238</v>
      </c>
    </row>
    <row r="10" spans="1:107" ht="15.75" customHeight="1" x14ac:dyDescent="0.25">
      <c r="A10" s="1" t="b">
        <v>1</v>
      </c>
      <c r="B10" s="3">
        <v>46151.311597222222</v>
      </c>
      <c r="C10" s="1" t="s">
        <v>242</v>
      </c>
      <c r="D10" s="1" t="s">
        <v>243</v>
      </c>
      <c r="E10" s="4">
        <f t="shared" ref="E10:K10" si="49">IF(ISNUMBER(SEARCH(E$1,$D10)), SEARCH(E$1,$D10), 0)</f>
        <v>1</v>
      </c>
      <c r="F10" s="4">
        <f t="shared" si="49"/>
        <v>30</v>
      </c>
      <c r="G10" s="4">
        <f t="shared" si="49"/>
        <v>105</v>
      </c>
      <c r="H10" s="4">
        <f t="shared" si="49"/>
        <v>0</v>
      </c>
      <c r="I10" s="4">
        <f t="shared" si="49"/>
        <v>0</v>
      </c>
      <c r="J10" s="4">
        <f t="shared" si="49"/>
        <v>0</v>
      </c>
      <c r="K10" s="4">
        <f t="shared" si="49"/>
        <v>0</v>
      </c>
      <c r="L10" s="4">
        <f t="shared" si="1"/>
        <v>105</v>
      </c>
      <c r="N10" s="1" t="s">
        <v>244</v>
      </c>
      <c r="O10" s="4">
        <f t="shared" ref="O10:T10" si="50">IF(ISNUMBER(SEARCH(O$1,$N10)), 1, 0)</f>
        <v>1</v>
      </c>
      <c r="P10" s="4">
        <f t="shared" si="50"/>
        <v>0</v>
      </c>
      <c r="Q10" s="4">
        <f t="shared" si="50"/>
        <v>1</v>
      </c>
      <c r="R10" s="4">
        <f t="shared" si="50"/>
        <v>1</v>
      </c>
      <c r="S10" s="4">
        <f t="shared" si="50"/>
        <v>0</v>
      </c>
      <c r="T10" s="4">
        <f t="shared" si="50"/>
        <v>0</v>
      </c>
      <c r="V10" s="1" t="s">
        <v>25</v>
      </c>
      <c r="W10" s="1" t="str">
        <f t="shared" si="3"/>
        <v>False</v>
      </c>
      <c r="X10" s="1" t="str">
        <f t="shared" si="3"/>
        <v>False</v>
      </c>
      <c r="Y10" s="1" t="str">
        <f t="shared" si="3"/>
        <v>False</v>
      </c>
      <c r="Z10" s="1" t="str">
        <f t="shared" si="3"/>
        <v>True</v>
      </c>
      <c r="AA10" s="1" t="str">
        <f t="shared" si="3"/>
        <v>False</v>
      </c>
      <c r="AB10" s="1" t="s">
        <v>245</v>
      </c>
      <c r="AC10" s="4">
        <f t="shared" ref="AC10:AH10" si="51">IF(ISNUMBER(SEARCH(AC$1,$AB10)), 1, 0)</f>
        <v>1</v>
      </c>
      <c r="AD10" s="4">
        <f t="shared" si="51"/>
        <v>0</v>
      </c>
      <c r="AE10" s="4">
        <f t="shared" si="51"/>
        <v>0</v>
      </c>
      <c r="AF10" s="4">
        <f t="shared" si="51"/>
        <v>1</v>
      </c>
      <c r="AG10" s="4">
        <f t="shared" si="51"/>
        <v>0</v>
      </c>
      <c r="AH10" s="4">
        <f t="shared" si="51"/>
        <v>0</v>
      </c>
      <c r="AI10" s="1">
        <f t="shared" si="5"/>
        <v>2</v>
      </c>
      <c r="AK10" s="1" t="s">
        <v>246</v>
      </c>
      <c r="AL10" s="4">
        <f t="shared" ref="AL10:AS10" si="52">IF(ISNUMBER(SEARCH(AL$1,$AK10)), 1, 0)</f>
        <v>1</v>
      </c>
      <c r="AM10" s="4">
        <f t="shared" si="52"/>
        <v>1</v>
      </c>
      <c r="AN10" s="4">
        <f t="shared" si="52"/>
        <v>0</v>
      </c>
      <c r="AO10" s="4">
        <f t="shared" si="52"/>
        <v>1</v>
      </c>
      <c r="AP10" s="4">
        <f t="shared" si="52"/>
        <v>0</v>
      </c>
      <c r="AQ10" s="4">
        <f t="shared" si="52"/>
        <v>1</v>
      </c>
      <c r="AR10" s="4">
        <f t="shared" si="52"/>
        <v>0</v>
      </c>
      <c r="AS10" s="4">
        <f t="shared" si="52"/>
        <v>0</v>
      </c>
      <c r="AU10" s="1" t="s">
        <v>47</v>
      </c>
      <c r="AV10" s="1">
        <f t="shared" si="7"/>
        <v>1</v>
      </c>
      <c r="AW10" s="1">
        <f t="shared" si="8"/>
        <v>0</v>
      </c>
      <c r="AX10" s="1">
        <f t="shared" si="9"/>
        <v>0</v>
      </c>
      <c r="AY10" s="1" t="s">
        <v>48</v>
      </c>
      <c r="BA10" s="1" t="s">
        <v>247</v>
      </c>
      <c r="BB10" s="4">
        <f t="shared" ref="BB10:BJ10" si="53">IF(ISNUMBER(SEARCH(BB$1,$BA10)), 1, 0)</f>
        <v>1</v>
      </c>
      <c r="BC10" s="4">
        <f t="shared" si="53"/>
        <v>1</v>
      </c>
      <c r="BD10" s="4">
        <f t="shared" si="53"/>
        <v>1</v>
      </c>
      <c r="BE10" s="4">
        <f t="shared" si="53"/>
        <v>1</v>
      </c>
      <c r="BF10" s="4">
        <f t="shared" si="53"/>
        <v>1</v>
      </c>
      <c r="BG10" s="4">
        <f t="shared" si="53"/>
        <v>0</v>
      </c>
      <c r="BH10" s="4">
        <f t="shared" si="53"/>
        <v>1</v>
      </c>
      <c r="BI10" s="4">
        <f t="shared" si="53"/>
        <v>0</v>
      </c>
      <c r="BJ10" s="4">
        <f t="shared" si="53"/>
        <v>1</v>
      </c>
      <c r="BK10" s="4">
        <f t="shared" si="11"/>
        <v>7</v>
      </c>
      <c r="BM10" s="1" t="s">
        <v>166</v>
      </c>
      <c r="BN10" s="1" t="s">
        <v>248</v>
      </c>
      <c r="BO10" s="4">
        <f t="shared" ref="BO10:BU10" si="54">IF(ISNUMBER(SEARCH(BO$1,$BN10)), 1, 0)</f>
        <v>0</v>
      </c>
      <c r="BP10" s="4">
        <f t="shared" si="54"/>
        <v>1</v>
      </c>
      <c r="BQ10" s="4">
        <f t="shared" si="54"/>
        <v>1</v>
      </c>
      <c r="BR10" s="4">
        <f t="shared" si="54"/>
        <v>0</v>
      </c>
      <c r="BS10" s="4">
        <f t="shared" si="54"/>
        <v>1</v>
      </c>
      <c r="BT10" s="4">
        <f t="shared" si="54"/>
        <v>0</v>
      </c>
      <c r="BU10" s="4">
        <f t="shared" si="54"/>
        <v>0</v>
      </c>
      <c r="CU10" s="1" t="s">
        <v>236</v>
      </c>
      <c r="CX10" s="1" t="s">
        <v>249</v>
      </c>
      <c r="CZ10" s="1" t="s">
        <v>250</v>
      </c>
      <c r="DC10" s="1" t="s">
        <v>238</v>
      </c>
    </row>
    <row r="11" spans="1:107" ht="15.75" customHeight="1" x14ac:dyDescent="0.25">
      <c r="A11" s="1" t="b">
        <v>0</v>
      </c>
      <c r="B11" s="3">
        <v>46168.581724537034</v>
      </c>
      <c r="C11" s="1" t="s">
        <v>714</v>
      </c>
      <c r="D11" s="1" t="s">
        <v>243</v>
      </c>
      <c r="E11" s="4">
        <f t="shared" ref="E11:K11" si="55">IF(ISNUMBER(SEARCH(E$1,$D11)), SEARCH(E$1,$D11), 0)</f>
        <v>1</v>
      </c>
      <c r="F11" s="4">
        <f t="shared" si="55"/>
        <v>30</v>
      </c>
      <c r="G11" s="4">
        <f t="shared" si="55"/>
        <v>105</v>
      </c>
      <c r="H11" s="4">
        <f t="shared" si="55"/>
        <v>0</v>
      </c>
      <c r="I11" s="4">
        <f t="shared" si="55"/>
        <v>0</v>
      </c>
      <c r="J11" s="4">
        <f t="shared" si="55"/>
        <v>0</v>
      </c>
      <c r="K11" s="4">
        <f t="shared" si="55"/>
        <v>0</v>
      </c>
      <c r="L11" s="4">
        <f t="shared" si="1"/>
        <v>105</v>
      </c>
      <c r="N11" s="1" t="s">
        <v>208</v>
      </c>
      <c r="O11" s="4">
        <f t="shared" ref="O11:T11" si="56">IF(ISNUMBER(SEARCH(O$1,$N11)), 1, 0)</f>
        <v>1</v>
      </c>
      <c r="P11" s="4">
        <f t="shared" si="56"/>
        <v>1</v>
      </c>
      <c r="Q11" s="4">
        <f t="shared" si="56"/>
        <v>0</v>
      </c>
      <c r="R11" s="4">
        <f t="shared" si="56"/>
        <v>1</v>
      </c>
      <c r="S11" s="4">
        <f t="shared" si="56"/>
        <v>0</v>
      </c>
      <c r="T11" s="4">
        <f t="shared" si="56"/>
        <v>0</v>
      </c>
      <c r="W11" s="1" t="str">
        <f t="shared" si="3"/>
        <v>False</v>
      </c>
      <c r="X11" s="1" t="str">
        <f t="shared" si="3"/>
        <v>False</v>
      </c>
      <c r="Y11" s="1" t="str">
        <f t="shared" si="3"/>
        <v>False</v>
      </c>
      <c r="Z11" s="1" t="str">
        <f t="shared" si="3"/>
        <v>False</v>
      </c>
      <c r="AA11" s="1" t="str">
        <f t="shared" si="3"/>
        <v>False</v>
      </c>
      <c r="AB11" s="1" t="s">
        <v>710</v>
      </c>
      <c r="AC11" s="4">
        <f t="shared" ref="AC11:AH11" si="57">IF(ISNUMBER(SEARCH(AC$1,$AB11)), 1, 0)</f>
        <v>0</v>
      </c>
      <c r="AD11" s="4">
        <f t="shared" si="57"/>
        <v>1</v>
      </c>
      <c r="AE11" s="4">
        <f t="shared" si="57"/>
        <v>0</v>
      </c>
      <c r="AF11" s="4">
        <f t="shared" si="57"/>
        <v>0</v>
      </c>
      <c r="AG11" s="4">
        <f t="shared" si="57"/>
        <v>0</v>
      </c>
      <c r="AH11" s="4">
        <f t="shared" si="57"/>
        <v>0</v>
      </c>
      <c r="AI11" s="1">
        <f t="shared" si="5"/>
        <v>1</v>
      </c>
      <c r="AJ11" s="1" t="s">
        <v>715</v>
      </c>
      <c r="AK11" s="1" t="s">
        <v>38</v>
      </c>
      <c r="AL11" s="4">
        <f t="shared" ref="AL11:AS11" si="58">IF(ISNUMBER(SEARCH(AL$1,$AK11)), 1, 0)</f>
        <v>0</v>
      </c>
      <c r="AM11" s="4">
        <f t="shared" si="58"/>
        <v>1</v>
      </c>
      <c r="AN11" s="4">
        <f t="shared" si="58"/>
        <v>0</v>
      </c>
      <c r="AO11" s="4">
        <f t="shared" si="58"/>
        <v>0</v>
      </c>
      <c r="AP11" s="4">
        <f t="shared" si="58"/>
        <v>0</v>
      </c>
      <c r="AQ11" s="4">
        <f t="shared" si="58"/>
        <v>0</v>
      </c>
      <c r="AR11" s="4">
        <f t="shared" si="58"/>
        <v>0</v>
      </c>
      <c r="AS11" s="4">
        <f t="shared" si="58"/>
        <v>0</v>
      </c>
      <c r="AU11" s="1" t="s">
        <v>47</v>
      </c>
      <c r="AV11" s="1">
        <f t="shared" si="7"/>
        <v>1</v>
      </c>
      <c r="AW11" s="1">
        <f t="shared" si="8"/>
        <v>0</v>
      </c>
      <c r="AX11" s="1">
        <f t="shared" si="9"/>
        <v>0</v>
      </c>
      <c r="AY11" s="1" t="s">
        <v>48</v>
      </c>
      <c r="BA11" s="1" t="s">
        <v>716</v>
      </c>
      <c r="BB11" s="4">
        <f t="shared" ref="BB11:BJ11" si="59">IF(ISNUMBER(SEARCH(BB$1,$BA11)), 1, 0)</f>
        <v>1</v>
      </c>
      <c r="BC11" s="4">
        <f t="shared" si="59"/>
        <v>0</v>
      </c>
      <c r="BD11" s="4">
        <f t="shared" si="59"/>
        <v>1</v>
      </c>
      <c r="BE11" s="4">
        <f t="shared" si="59"/>
        <v>1</v>
      </c>
      <c r="BF11" s="4">
        <f t="shared" si="59"/>
        <v>0</v>
      </c>
      <c r="BG11" s="4">
        <f t="shared" si="59"/>
        <v>0</v>
      </c>
      <c r="BH11" s="4">
        <f t="shared" si="59"/>
        <v>0</v>
      </c>
      <c r="BI11" s="4">
        <f t="shared" si="59"/>
        <v>0</v>
      </c>
      <c r="BJ11" s="4">
        <f t="shared" si="59"/>
        <v>0</v>
      </c>
      <c r="BK11" s="4">
        <f t="shared" si="11"/>
        <v>3</v>
      </c>
      <c r="BL11" s="1" t="s">
        <v>717</v>
      </c>
      <c r="BM11" s="1" t="s">
        <v>218</v>
      </c>
      <c r="BN11" s="1" t="s">
        <v>718</v>
      </c>
      <c r="BO11" s="4">
        <f t="shared" ref="BO11:BU11" si="60">IF(ISNUMBER(SEARCH(BO$1,$BN11)), 1, 0)</f>
        <v>1</v>
      </c>
      <c r="BP11" s="4">
        <f t="shared" si="60"/>
        <v>0</v>
      </c>
      <c r="BQ11" s="4">
        <f t="shared" si="60"/>
        <v>1</v>
      </c>
      <c r="BR11" s="4">
        <f t="shared" si="60"/>
        <v>0</v>
      </c>
      <c r="BS11" s="4">
        <f t="shared" si="60"/>
        <v>0</v>
      </c>
      <c r="BT11" s="4">
        <f t="shared" si="60"/>
        <v>1</v>
      </c>
      <c r="BU11" s="4">
        <f t="shared" si="60"/>
        <v>0</v>
      </c>
      <c r="BV11" s="1" t="s">
        <v>719</v>
      </c>
    </row>
    <row r="12" spans="1:107" ht="15.75" customHeight="1" x14ac:dyDescent="0.25">
      <c r="A12" s="1" t="b">
        <v>1</v>
      </c>
      <c r="B12" s="3">
        <v>46171.379513888889</v>
      </c>
      <c r="C12" s="1" t="s">
        <v>775</v>
      </c>
      <c r="D12" s="1" t="s">
        <v>776</v>
      </c>
      <c r="E12" s="4">
        <f t="shared" ref="E12:K12" si="61">IF(ISNUMBER(SEARCH(E$1,$D12)), SEARCH(E$1,$D12), 0)</f>
        <v>0</v>
      </c>
      <c r="F12" s="4">
        <f t="shared" si="61"/>
        <v>1</v>
      </c>
      <c r="G12" s="4">
        <f t="shared" si="61"/>
        <v>76</v>
      </c>
      <c r="H12" s="4">
        <f t="shared" si="61"/>
        <v>0</v>
      </c>
      <c r="I12" s="4">
        <f t="shared" si="61"/>
        <v>0</v>
      </c>
      <c r="J12" s="4">
        <f t="shared" si="61"/>
        <v>132</v>
      </c>
      <c r="K12" s="4">
        <f t="shared" si="61"/>
        <v>0</v>
      </c>
      <c r="L12" s="4">
        <f t="shared" si="1"/>
        <v>132</v>
      </c>
      <c r="N12" s="1" t="s">
        <v>244</v>
      </c>
      <c r="O12" s="4">
        <f t="shared" ref="O12:T12" si="62">IF(ISNUMBER(SEARCH(O$1,$N12)), 1, 0)</f>
        <v>1</v>
      </c>
      <c r="P12" s="4">
        <f t="shared" si="62"/>
        <v>0</v>
      </c>
      <c r="Q12" s="4">
        <f t="shared" si="62"/>
        <v>1</v>
      </c>
      <c r="R12" s="4">
        <f t="shared" si="62"/>
        <v>1</v>
      </c>
      <c r="S12" s="4">
        <f t="shared" si="62"/>
        <v>0</v>
      </c>
      <c r="T12" s="4">
        <f t="shared" si="62"/>
        <v>0</v>
      </c>
      <c r="V12" s="1" t="s">
        <v>24</v>
      </c>
      <c r="W12" s="1" t="str">
        <f t="shared" si="3"/>
        <v>False</v>
      </c>
      <c r="X12" s="1" t="str">
        <f t="shared" si="3"/>
        <v>False</v>
      </c>
      <c r="Y12" s="1" t="str">
        <f t="shared" si="3"/>
        <v>True</v>
      </c>
      <c r="Z12" s="1" t="str">
        <f t="shared" si="3"/>
        <v>False</v>
      </c>
      <c r="AA12" s="1" t="str">
        <f t="shared" si="3"/>
        <v>False</v>
      </c>
      <c r="AB12" s="1" t="s">
        <v>28</v>
      </c>
      <c r="AC12" s="4">
        <f t="shared" ref="AC12:AH12" si="63">IF(ISNUMBER(SEARCH(AC$1,$AB12)), 1, 0)</f>
        <v>1</v>
      </c>
      <c r="AD12" s="4">
        <f t="shared" si="63"/>
        <v>0</v>
      </c>
      <c r="AE12" s="4">
        <f t="shared" si="63"/>
        <v>0</v>
      </c>
      <c r="AF12" s="4">
        <f t="shared" si="63"/>
        <v>0</v>
      </c>
      <c r="AG12" s="4">
        <f t="shared" si="63"/>
        <v>0</v>
      </c>
      <c r="AH12" s="4">
        <f t="shared" si="63"/>
        <v>0</v>
      </c>
      <c r="AI12" s="1">
        <f t="shared" si="5"/>
        <v>1</v>
      </c>
      <c r="AK12" s="1" t="s">
        <v>470</v>
      </c>
      <c r="AL12" s="4">
        <f t="shared" ref="AL12:AS12" si="64">IF(ISNUMBER(SEARCH(AL$1,$AK12)), 1, 0)</f>
        <v>0</v>
      </c>
      <c r="AM12" s="4">
        <f t="shared" si="64"/>
        <v>1</v>
      </c>
      <c r="AN12" s="4">
        <f t="shared" si="64"/>
        <v>0</v>
      </c>
      <c r="AO12" s="4">
        <f t="shared" si="64"/>
        <v>1</v>
      </c>
      <c r="AP12" s="4">
        <f t="shared" si="64"/>
        <v>0</v>
      </c>
      <c r="AQ12" s="4">
        <f t="shared" si="64"/>
        <v>1</v>
      </c>
      <c r="AR12" s="4">
        <f t="shared" si="64"/>
        <v>0</v>
      </c>
      <c r="AS12" s="4">
        <f t="shared" si="64"/>
        <v>0</v>
      </c>
      <c r="AU12" s="1" t="s">
        <v>48</v>
      </c>
      <c r="AV12" s="1">
        <f t="shared" si="7"/>
        <v>0</v>
      </c>
      <c r="AW12" s="1">
        <f t="shared" si="8"/>
        <v>1</v>
      </c>
      <c r="AX12" s="1">
        <f t="shared" si="9"/>
        <v>0</v>
      </c>
      <c r="AY12" s="1" t="s">
        <v>48</v>
      </c>
      <c r="BA12" s="1" t="s">
        <v>777</v>
      </c>
      <c r="BB12" s="4">
        <f t="shared" ref="BB12:BJ12" si="65">IF(ISNUMBER(SEARCH(BB$1,$BA12)), 1, 0)</f>
        <v>0</v>
      </c>
      <c r="BC12" s="4">
        <f t="shared" si="65"/>
        <v>0</v>
      </c>
      <c r="BD12" s="4">
        <f t="shared" si="65"/>
        <v>1</v>
      </c>
      <c r="BE12" s="4">
        <f t="shared" si="65"/>
        <v>1</v>
      </c>
      <c r="BF12" s="4">
        <f t="shared" si="65"/>
        <v>0</v>
      </c>
      <c r="BG12" s="4">
        <f t="shared" si="65"/>
        <v>0</v>
      </c>
      <c r="BH12" s="4">
        <f t="shared" si="65"/>
        <v>1</v>
      </c>
      <c r="BI12" s="4">
        <f t="shared" si="65"/>
        <v>0</v>
      </c>
      <c r="BJ12" s="4">
        <f t="shared" si="65"/>
        <v>0</v>
      </c>
      <c r="BK12" s="4">
        <f t="shared" si="11"/>
        <v>3</v>
      </c>
      <c r="BM12" s="1" t="s">
        <v>232</v>
      </c>
      <c r="BN12" s="1" t="s">
        <v>726</v>
      </c>
      <c r="BO12" s="4">
        <f t="shared" ref="BO12:BU12" si="66">IF(ISNUMBER(SEARCH(BO$1,$BN12)), 1, 0)</f>
        <v>0</v>
      </c>
      <c r="BP12" s="4">
        <f t="shared" si="66"/>
        <v>1</v>
      </c>
      <c r="BQ12" s="4">
        <f t="shared" si="66"/>
        <v>0</v>
      </c>
      <c r="BR12" s="4">
        <f t="shared" si="66"/>
        <v>1</v>
      </c>
      <c r="BS12" s="4">
        <f t="shared" si="66"/>
        <v>0</v>
      </c>
      <c r="BT12" s="4">
        <f t="shared" si="66"/>
        <v>0</v>
      </c>
      <c r="BU12" s="4">
        <f t="shared" si="66"/>
        <v>0</v>
      </c>
      <c r="BW12" s="1" t="s">
        <v>169</v>
      </c>
      <c r="BZ12" s="1" t="s">
        <v>465</v>
      </c>
      <c r="CR12" s="1" t="s">
        <v>250</v>
      </c>
      <c r="CT12" s="1" t="s">
        <v>778</v>
      </c>
      <c r="CU12" s="1" t="s">
        <v>250</v>
      </c>
      <c r="CX12" s="1" t="s">
        <v>779</v>
      </c>
      <c r="CY12" s="1" t="s">
        <v>780</v>
      </c>
      <c r="CZ12" s="1" t="s">
        <v>250</v>
      </c>
      <c r="DC12" s="1" t="s">
        <v>180</v>
      </c>
    </row>
    <row r="13" spans="1:107" ht="15.75" customHeight="1" x14ac:dyDescent="0.25">
      <c r="A13" s="1" t="b">
        <v>0</v>
      </c>
      <c r="B13" s="3">
        <v>46155.403379629628</v>
      </c>
      <c r="C13" s="1" t="s">
        <v>363</v>
      </c>
      <c r="D13" s="1" t="s">
        <v>364</v>
      </c>
      <c r="E13" s="4">
        <f t="shared" ref="E13:K13" si="67">IF(ISNUMBER(SEARCH(E$1,$D13)), SEARCH(E$1,$D13), 0)</f>
        <v>0</v>
      </c>
      <c r="F13" s="4">
        <f t="shared" si="67"/>
        <v>1</v>
      </c>
      <c r="G13" s="4">
        <f t="shared" si="67"/>
        <v>76</v>
      </c>
      <c r="H13" s="4">
        <f t="shared" si="67"/>
        <v>0</v>
      </c>
      <c r="I13" s="4">
        <f t="shared" si="67"/>
        <v>0</v>
      </c>
      <c r="J13" s="4">
        <f t="shared" si="67"/>
        <v>0</v>
      </c>
      <c r="K13" s="4">
        <f t="shared" si="67"/>
        <v>132</v>
      </c>
      <c r="L13" s="4">
        <f t="shared" si="1"/>
        <v>132</v>
      </c>
      <c r="N13" s="1" t="s">
        <v>187</v>
      </c>
      <c r="O13" s="4">
        <f t="shared" ref="O13:T13" si="68">IF(ISNUMBER(SEARCH(O$1,$N13)), 1, 0)</f>
        <v>1</v>
      </c>
      <c r="P13" s="4">
        <f t="shared" si="68"/>
        <v>1</v>
      </c>
      <c r="Q13" s="4">
        <f t="shared" si="68"/>
        <v>1</v>
      </c>
      <c r="R13" s="4">
        <f t="shared" si="68"/>
        <v>1</v>
      </c>
      <c r="S13" s="4">
        <f t="shared" si="68"/>
        <v>1</v>
      </c>
      <c r="T13" s="4">
        <f t="shared" si="68"/>
        <v>1</v>
      </c>
      <c r="W13" s="1" t="str">
        <f t="shared" ref="W13:AA22" si="69">IF(W$1=$V13, "True", "False")</f>
        <v>False</v>
      </c>
      <c r="X13" s="1" t="str">
        <f t="shared" si="69"/>
        <v>False</v>
      </c>
      <c r="Y13" s="1" t="str">
        <f t="shared" si="69"/>
        <v>False</v>
      </c>
      <c r="Z13" s="1" t="str">
        <f t="shared" si="69"/>
        <v>False</v>
      </c>
      <c r="AA13" s="1" t="str">
        <f t="shared" si="69"/>
        <v>False</v>
      </c>
      <c r="AB13" s="1" t="s">
        <v>31</v>
      </c>
      <c r="AC13" s="4">
        <f t="shared" ref="AC13:AH13" si="70">IF(ISNUMBER(SEARCH(AC$1,$AB13)), 1, 0)</f>
        <v>0</v>
      </c>
      <c r="AD13" s="4">
        <f t="shared" si="70"/>
        <v>0</v>
      </c>
      <c r="AE13" s="4">
        <f t="shared" si="70"/>
        <v>0</v>
      </c>
      <c r="AF13" s="4">
        <f t="shared" si="70"/>
        <v>1</v>
      </c>
      <c r="AG13" s="4">
        <f t="shared" si="70"/>
        <v>0</v>
      </c>
      <c r="AH13" s="4">
        <f t="shared" si="70"/>
        <v>0</v>
      </c>
      <c r="AI13" s="1">
        <f t="shared" si="5"/>
        <v>1</v>
      </c>
      <c r="AK13" s="1" t="s">
        <v>365</v>
      </c>
      <c r="AL13" s="4">
        <f t="shared" ref="AL13:AS13" si="71">IF(ISNUMBER(SEARCH(AL$1,$AK13)), 1, 0)</f>
        <v>1</v>
      </c>
      <c r="AM13" s="4">
        <f t="shared" si="71"/>
        <v>1</v>
      </c>
      <c r="AN13" s="4">
        <f t="shared" si="71"/>
        <v>1</v>
      </c>
      <c r="AO13" s="4">
        <f t="shared" si="71"/>
        <v>1</v>
      </c>
      <c r="AP13" s="4">
        <f t="shared" si="71"/>
        <v>1</v>
      </c>
      <c r="AQ13" s="4">
        <f t="shared" si="71"/>
        <v>1</v>
      </c>
      <c r="AR13" s="4">
        <f t="shared" si="71"/>
        <v>1</v>
      </c>
      <c r="AS13" s="4">
        <f t="shared" si="71"/>
        <v>1</v>
      </c>
      <c r="AU13" s="1" t="s">
        <v>47</v>
      </c>
      <c r="AV13" s="1">
        <f t="shared" si="7"/>
        <v>1</v>
      </c>
      <c r="AW13" s="1">
        <f t="shared" si="8"/>
        <v>0</v>
      </c>
      <c r="AX13" s="1">
        <f t="shared" si="9"/>
        <v>0</v>
      </c>
      <c r="AY13" s="1" t="s">
        <v>47</v>
      </c>
      <c r="AZ13" s="1" t="s">
        <v>48</v>
      </c>
      <c r="BA13" s="1" t="s">
        <v>165</v>
      </c>
      <c r="BB13" s="4">
        <f t="shared" ref="BB13:BJ13" si="72">IF(ISNUMBER(SEARCH(BB$1,$BA13)), 1, 0)</f>
        <v>1</v>
      </c>
      <c r="BC13" s="4">
        <f t="shared" si="72"/>
        <v>1</v>
      </c>
      <c r="BD13" s="4">
        <f t="shared" si="72"/>
        <v>1</v>
      </c>
      <c r="BE13" s="4">
        <f t="shared" si="72"/>
        <v>1</v>
      </c>
      <c r="BF13" s="4">
        <f t="shared" si="72"/>
        <v>1</v>
      </c>
      <c r="BG13" s="4">
        <f t="shared" si="72"/>
        <v>1</v>
      </c>
      <c r="BH13" s="4">
        <f t="shared" si="72"/>
        <v>1</v>
      </c>
      <c r="BI13" s="4">
        <f t="shared" si="72"/>
        <v>1</v>
      </c>
      <c r="BJ13" s="4">
        <f t="shared" si="72"/>
        <v>1</v>
      </c>
      <c r="BK13" s="4">
        <f t="shared" si="11"/>
        <v>9</v>
      </c>
      <c r="BO13" s="4">
        <f t="shared" ref="BO13:BU13" si="73">IF(ISNUMBER(SEARCH(BO$1,$BN13)), 1, 0)</f>
        <v>0</v>
      </c>
      <c r="BP13" s="4">
        <f t="shared" si="73"/>
        <v>0</v>
      </c>
      <c r="BQ13" s="4">
        <f t="shared" si="73"/>
        <v>0</v>
      </c>
      <c r="BR13" s="4">
        <f t="shared" si="73"/>
        <v>0</v>
      </c>
      <c r="BS13" s="4">
        <f t="shared" si="73"/>
        <v>0</v>
      </c>
      <c r="BT13" s="4">
        <f t="shared" si="73"/>
        <v>0</v>
      </c>
      <c r="BU13" s="4">
        <f t="shared" si="73"/>
        <v>0</v>
      </c>
    </row>
    <row r="14" spans="1:107" ht="15.75" customHeight="1" x14ac:dyDescent="0.25">
      <c r="A14" s="1" t="b">
        <v>1</v>
      </c>
      <c r="B14" s="3">
        <v>46154.916574074072</v>
      </c>
      <c r="C14" s="1" t="s">
        <v>343</v>
      </c>
      <c r="D14" s="1" t="s">
        <v>344</v>
      </c>
      <c r="E14" s="4">
        <f t="shared" ref="E14:K14" si="74">IF(ISNUMBER(SEARCH(E$1,$D14)), SEARCH(E$1,$D14), 0)</f>
        <v>1</v>
      </c>
      <c r="F14" s="4">
        <f t="shared" si="74"/>
        <v>30</v>
      </c>
      <c r="G14" s="4">
        <f t="shared" si="74"/>
        <v>0</v>
      </c>
      <c r="H14" s="4">
        <f t="shared" si="74"/>
        <v>0</v>
      </c>
      <c r="I14" s="4">
        <f t="shared" si="74"/>
        <v>105</v>
      </c>
      <c r="J14" s="4">
        <f t="shared" si="74"/>
        <v>137</v>
      </c>
      <c r="K14" s="4">
        <f t="shared" si="74"/>
        <v>0</v>
      </c>
      <c r="L14" s="4">
        <f t="shared" si="1"/>
        <v>137</v>
      </c>
      <c r="N14" s="1" t="s">
        <v>328</v>
      </c>
      <c r="O14" s="4">
        <f t="shared" ref="O14:T14" si="75">IF(ISNUMBER(SEARCH(O$1,$N14)), 1, 0)</f>
        <v>1</v>
      </c>
      <c r="P14" s="4">
        <f t="shared" si="75"/>
        <v>1</v>
      </c>
      <c r="Q14" s="4">
        <f t="shared" si="75"/>
        <v>1</v>
      </c>
      <c r="R14" s="4">
        <f t="shared" si="75"/>
        <v>0</v>
      </c>
      <c r="S14" s="4">
        <f t="shared" si="75"/>
        <v>0</v>
      </c>
      <c r="T14" s="4">
        <f t="shared" si="75"/>
        <v>0</v>
      </c>
      <c r="V14" s="1" t="s">
        <v>23</v>
      </c>
      <c r="W14" s="1" t="str">
        <f t="shared" si="69"/>
        <v>False</v>
      </c>
      <c r="X14" s="1" t="str">
        <f t="shared" si="69"/>
        <v>True</v>
      </c>
      <c r="Y14" s="1" t="str">
        <f t="shared" si="69"/>
        <v>False</v>
      </c>
      <c r="Z14" s="1" t="str">
        <f t="shared" si="69"/>
        <v>False</v>
      </c>
      <c r="AA14" s="1" t="str">
        <f t="shared" si="69"/>
        <v>False</v>
      </c>
      <c r="AB14" s="1" t="s">
        <v>183</v>
      </c>
      <c r="AC14" s="4">
        <f t="shared" ref="AC14:AH14" si="76">IF(ISNUMBER(SEARCH(AC$1,$AB14)), 1, 0)</f>
        <v>0</v>
      </c>
      <c r="AD14" s="4">
        <f t="shared" si="76"/>
        <v>0</v>
      </c>
      <c r="AE14" s="4">
        <f t="shared" si="76"/>
        <v>0</v>
      </c>
      <c r="AF14" s="4">
        <f t="shared" si="76"/>
        <v>0</v>
      </c>
      <c r="AG14" s="4">
        <f t="shared" si="76"/>
        <v>0</v>
      </c>
      <c r="AH14" s="4">
        <f t="shared" si="76"/>
        <v>0</v>
      </c>
      <c r="AI14" s="1">
        <f t="shared" si="5"/>
        <v>0</v>
      </c>
      <c r="AJ14" s="1" t="s">
        <v>345</v>
      </c>
      <c r="AK14" s="1" t="s">
        <v>346</v>
      </c>
      <c r="AL14" s="4">
        <f t="shared" ref="AL14:AS14" si="77">IF(ISNUMBER(SEARCH(AL$1,$AK14)), 1, 0)</f>
        <v>0</v>
      </c>
      <c r="AM14" s="4">
        <f t="shared" si="77"/>
        <v>1</v>
      </c>
      <c r="AN14" s="4">
        <f t="shared" si="77"/>
        <v>1</v>
      </c>
      <c r="AO14" s="4">
        <f t="shared" si="77"/>
        <v>1</v>
      </c>
      <c r="AP14" s="4">
        <f t="shared" si="77"/>
        <v>0</v>
      </c>
      <c r="AQ14" s="4">
        <f t="shared" si="77"/>
        <v>0</v>
      </c>
      <c r="AR14" s="4">
        <f t="shared" si="77"/>
        <v>0</v>
      </c>
      <c r="AS14" s="4">
        <f t="shared" si="77"/>
        <v>0</v>
      </c>
      <c r="AU14" s="1" t="s">
        <v>47</v>
      </c>
      <c r="AV14" s="1">
        <f t="shared" si="7"/>
        <v>1</v>
      </c>
      <c r="AW14" s="1">
        <f t="shared" si="8"/>
        <v>0</v>
      </c>
      <c r="AX14" s="1">
        <f t="shared" si="9"/>
        <v>0</v>
      </c>
      <c r="AY14" s="1" t="s">
        <v>48</v>
      </c>
      <c r="BA14" s="1" t="s">
        <v>347</v>
      </c>
      <c r="BB14" s="4">
        <f t="shared" ref="BB14:BJ14" si="78">IF(ISNUMBER(SEARCH(BB$1,$BA14)), 1, 0)</f>
        <v>1</v>
      </c>
      <c r="BC14" s="4">
        <f t="shared" si="78"/>
        <v>0</v>
      </c>
      <c r="BD14" s="4">
        <f t="shared" si="78"/>
        <v>0</v>
      </c>
      <c r="BE14" s="4">
        <f t="shared" si="78"/>
        <v>0</v>
      </c>
      <c r="BF14" s="4">
        <f t="shared" si="78"/>
        <v>1</v>
      </c>
      <c r="BG14" s="4">
        <f t="shared" si="78"/>
        <v>0</v>
      </c>
      <c r="BH14" s="4">
        <f t="shared" si="78"/>
        <v>0</v>
      </c>
      <c r="BI14" s="4">
        <f t="shared" si="78"/>
        <v>0</v>
      </c>
      <c r="BJ14" s="4">
        <f t="shared" si="78"/>
        <v>1</v>
      </c>
      <c r="BK14" s="4">
        <f t="shared" si="11"/>
        <v>3</v>
      </c>
      <c r="BM14" s="1" t="s">
        <v>166</v>
      </c>
      <c r="BN14" s="1" t="s">
        <v>348</v>
      </c>
      <c r="BO14" s="4">
        <f t="shared" ref="BO14:BU14" si="79">IF(ISNUMBER(SEARCH(BO$1,$BN14)), 1, 0)</f>
        <v>0</v>
      </c>
      <c r="BP14" s="4">
        <f t="shared" si="79"/>
        <v>0</v>
      </c>
      <c r="BQ14" s="4">
        <f t="shared" si="79"/>
        <v>0</v>
      </c>
      <c r="BR14" s="4">
        <f t="shared" si="79"/>
        <v>0</v>
      </c>
      <c r="BS14" s="4">
        <f t="shared" si="79"/>
        <v>0</v>
      </c>
      <c r="BT14" s="4">
        <f t="shared" si="79"/>
        <v>1</v>
      </c>
      <c r="BU14" s="4">
        <f t="shared" si="79"/>
        <v>0</v>
      </c>
      <c r="BV14" s="1" t="s">
        <v>349</v>
      </c>
      <c r="CH14" s="1" t="s">
        <v>350</v>
      </c>
      <c r="CI14" s="1" t="s">
        <v>351</v>
      </c>
      <c r="CL14" s="1" t="s">
        <v>352</v>
      </c>
      <c r="CX14" s="1" t="s">
        <v>353</v>
      </c>
      <c r="CZ14" s="1" t="s">
        <v>354</v>
      </c>
      <c r="DB14" s="1" t="s">
        <v>355</v>
      </c>
      <c r="DC14" s="1" t="s">
        <v>180</v>
      </c>
    </row>
    <row r="15" spans="1:107" ht="15.75" customHeight="1" x14ac:dyDescent="0.25">
      <c r="A15" s="1" t="b">
        <v>1</v>
      </c>
      <c r="B15" s="3">
        <v>46165.45511574074</v>
      </c>
      <c r="C15" s="1" t="s">
        <v>612</v>
      </c>
      <c r="D15" s="1" t="s">
        <v>207</v>
      </c>
      <c r="E15" s="4">
        <f t="shared" ref="E15:K15" si="80">IF(ISNUMBER(SEARCH(E$1,$D15)), SEARCH(E$1,$D15), 0)</f>
        <v>1</v>
      </c>
      <c r="F15" s="4">
        <f t="shared" si="80"/>
        <v>30</v>
      </c>
      <c r="G15" s="4">
        <f t="shared" si="80"/>
        <v>0</v>
      </c>
      <c r="H15" s="4">
        <f t="shared" si="80"/>
        <v>0</v>
      </c>
      <c r="I15" s="4">
        <f t="shared" si="80"/>
        <v>0</v>
      </c>
      <c r="J15" s="4">
        <f t="shared" si="80"/>
        <v>0</v>
      </c>
      <c r="K15" s="4">
        <f t="shared" si="80"/>
        <v>0</v>
      </c>
      <c r="L15" s="4">
        <f t="shared" si="1"/>
        <v>30</v>
      </c>
      <c r="N15" s="1" t="s">
        <v>187</v>
      </c>
      <c r="O15" s="4">
        <f t="shared" ref="O15:T15" si="81">IF(ISNUMBER(SEARCH(O$1,$N15)), 1, 0)</f>
        <v>1</v>
      </c>
      <c r="P15" s="4">
        <f t="shared" si="81"/>
        <v>1</v>
      </c>
      <c r="Q15" s="4">
        <f t="shared" si="81"/>
        <v>1</v>
      </c>
      <c r="R15" s="4">
        <f t="shared" si="81"/>
        <v>1</v>
      </c>
      <c r="S15" s="4">
        <f t="shared" si="81"/>
        <v>1</v>
      </c>
      <c r="T15" s="4">
        <f t="shared" si="81"/>
        <v>1</v>
      </c>
      <c r="V15" s="1" t="s">
        <v>24</v>
      </c>
      <c r="W15" s="1" t="str">
        <f t="shared" si="69"/>
        <v>False</v>
      </c>
      <c r="X15" s="1" t="str">
        <f t="shared" si="69"/>
        <v>False</v>
      </c>
      <c r="Y15" s="1" t="str">
        <f t="shared" si="69"/>
        <v>True</v>
      </c>
      <c r="Z15" s="1" t="str">
        <f t="shared" si="69"/>
        <v>False</v>
      </c>
      <c r="AA15" s="1" t="str">
        <f t="shared" si="69"/>
        <v>False</v>
      </c>
      <c r="AB15" s="1" t="s">
        <v>613</v>
      </c>
      <c r="AC15" s="4">
        <f t="shared" ref="AC15:AH15" si="82">IF(ISNUMBER(SEARCH(AC$1,$AB15)), 1, 0)</f>
        <v>1</v>
      </c>
      <c r="AD15" s="4">
        <f t="shared" si="82"/>
        <v>1</v>
      </c>
      <c r="AE15" s="4">
        <f t="shared" si="82"/>
        <v>0</v>
      </c>
      <c r="AF15" s="4">
        <f t="shared" si="82"/>
        <v>1</v>
      </c>
      <c r="AG15" s="4">
        <f t="shared" si="82"/>
        <v>0</v>
      </c>
      <c r="AH15" s="4">
        <f t="shared" si="82"/>
        <v>1</v>
      </c>
      <c r="AI15" s="1">
        <f t="shared" si="5"/>
        <v>4</v>
      </c>
      <c r="AJ15" s="1" t="s">
        <v>614</v>
      </c>
      <c r="AK15" s="1" t="s">
        <v>365</v>
      </c>
      <c r="AL15" s="4">
        <f t="shared" ref="AL15:AS15" si="83">IF(ISNUMBER(SEARCH(AL$1,$AK15)), 1, 0)</f>
        <v>1</v>
      </c>
      <c r="AM15" s="4">
        <f t="shared" si="83"/>
        <v>1</v>
      </c>
      <c r="AN15" s="4">
        <f t="shared" si="83"/>
        <v>1</v>
      </c>
      <c r="AO15" s="4">
        <f t="shared" si="83"/>
        <v>1</v>
      </c>
      <c r="AP15" s="4">
        <f t="shared" si="83"/>
        <v>1</v>
      </c>
      <c r="AQ15" s="4">
        <f t="shared" si="83"/>
        <v>1</v>
      </c>
      <c r="AR15" s="4">
        <f t="shared" si="83"/>
        <v>1</v>
      </c>
      <c r="AS15" s="4">
        <f t="shared" si="83"/>
        <v>1</v>
      </c>
      <c r="AU15" s="1" t="s">
        <v>48</v>
      </c>
      <c r="AV15" s="1">
        <f t="shared" si="7"/>
        <v>0</v>
      </c>
      <c r="AW15" s="1">
        <f t="shared" si="8"/>
        <v>1</v>
      </c>
      <c r="AX15" s="1">
        <f t="shared" si="9"/>
        <v>0</v>
      </c>
      <c r="AY15" s="1" t="s">
        <v>47</v>
      </c>
      <c r="AZ15" s="1" t="s">
        <v>48</v>
      </c>
      <c r="BA15" s="1" t="s">
        <v>615</v>
      </c>
      <c r="BB15" s="4">
        <f t="shared" ref="BB15:BJ15" si="84">IF(ISNUMBER(SEARCH(BB$1,$BA15)), 1, 0)</f>
        <v>1</v>
      </c>
      <c r="BC15" s="4">
        <f t="shared" si="84"/>
        <v>0</v>
      </c>
      <c r="BD15" s="4">
        <f t="shared" si="84"/>
        <v>0</v>
      </c>
      <c r="BE15" s="4">
        <f t="shared" si="84"/>
        <v>0</v>
      </c>
      <c r="BF15" s="4">
        <f t="shared" si="84"/>
        <v>0</v>
      </c>
      <c r="BG15" s="4">
        <f t="shared" si="84"/>
        <v>0</v>
      </c>
      <c r="BH15" s="4">
        <f t="shared" si="84"/>
        <v>1</v>
      </c>
      <c r="BI15" s="4">
        <f t="shared" si="84"/>
        <v>1</v>
      </c>
      <c r="BJ15" s="4">
        <f t="shared" si="84"/>
        <v>1</v>
      </c>
      <c r="BK15" s="4">
        <f t="shared" si="11"/>
        <v>4</v>
      </c>
      <c r="BO15" s="4">
        <f t="shared" ref="BO15:BU15" si="85">IF(ISNUMBER(SEARCH(BO$1,$BN15)), 1, 0)</f>
        <v>0</v>
      </c>
      <c r="BP15" s="4">
        <f t="shared" si="85"/>
        <v>0</v>
      </c>
      <c r="BQ15" s="4">
        <f t="shared" si="85"/>
        <v>0</v>
      </c>
      <c r="BR15" s="4">
        <f t="shared" si="85"/>
        <v>0</v>
      </c>
      <c r="BS15" s="4">
        <f t="shared" si="85"/>
        <v>0</v>
      </c>
      <c r="BT15" s="4">
        <f t="shared" si="85"/>
        <v>0</v>
      </c>
      <c r="BU15" s="4">
        <f t="shared" si="85"/>
        <v>0</v>
      </c>
      <c r="BW15" s="1" t="s">
        <v>169</v>
      </c>
      <c r="CX15" s="1" t="s">
        <v>534</v>
      </c>
      <c r="CZ15" s="1" t="s">
        <v>616</v>
      </c>
      <c r="DB15" s="1" t="s">
        <v>617</v>
      </c>
      <c r="DC15" s="1" t="s">
        <v>238</v>
      </c>
    </row>
    <row r="16" spans="1:107" ht="15.75" customHeight="1" x14ac:dyDescent="0.25">
      <c r="A16" s="1" t="b">
        <v>1</v>
      </c>
      <c r="B16" s="3">
        <v>46167.497002314813</v>
      </c>
      <c r="C16" s="1" t="s">
        <v>689</v>
      </c>
      <c r="D16" s="1" t="s">
        <v>207</v>
      </c>
      <c r="E16" s="4">
        <f t="shared" ref="E16:K16" si="86">IF(ISNUMBER(SEARCH(E$1,$D16)), SEARCH(E$1,$D16), 0)</f>
        <v>1</v>
      </c>
      <c r="F16" s="4">
        <f t="shared" si="86"/>
        <v>30</v>
      </c>
      <c r="G16" s="4">
        <f t="shared" si="86"/>
        <v>0</v>
      </c>
      <c r="H16" s="4">
        <f t="shared" si="86"/>
        <v>0</v>
      </c>
      <c r="I16" s="4">
        <f t="shared" si="86"/>
        <v>0</v>
      </c>
      <c r="J16" s="4">
        <f t="shared" si="86"/>
        <v>0</v>
      </c>
      <c r="K16" s="4">
        <f t="shared" si="86"/>
        <v>0</v>
      </c>
      <c r="L16" s="4">
        <f t="shared" si="1"/>
        <v>30</v>
      </c>
      <c r="N16" s="1" t="s">
        <v>160</v>
      </c>
      <c r="O16" s="4">
        <f t="shared" ref="O16:T16" si="87">IF(ISNUMBER(SEARCH(O$1,$N16)), 1, 0)</f>
        <v>1</v>
      </c>
      <c r="P16" s="4">
        <f t="shared" si="87"/>
        <v>1</v>
      </c>
      <c r="Q16" s="4">
        <f t="shared" si="87"/>
        <v>1</v>
      </c>
      <c r="R16" s="4">
        <f t="shared" si="87"/>
        <v>1</v>
      </c>
      <c r="S16" s="4">
        <f t="shared" si="87"/>
        <v>1</v>
      </c>
      <c r="T16" s="4">
        <f t="shared" si="87"/>
        <v>1</v>
      </c>
      <c r="U16" s="1" t="s">
        <v>690</v>
      </c>
      <c r="V16" s="1" t="s">
        <v>23</v>
      </c>
      <c r="W16" s="1" t="str">
        <f t="shared" si="69"/>
        <v>False</v>
      </c>
      <c r="X16" s="1" t="str">
        <f t="shared" si="69"/>
        <v>True</v>
      </c>
      <c r="Y16" s="1" t="str">
        <f t="shared" si="69"/>
        <v>False</v>
      </c>
      <c r="Z16" s="1" t="str">
        <f t="shared" si="69"/>
        <v>False</v>
      </c>
      <c r="AA16" s="1" t="str">
        <f t="shared" si="69"/>
        <v>False</v>
      </c>
      <c r="AB16" s="1" t="s">
        <v>691</v>
      </c>
      <c r="AC16" s="4">
        <f t="shared" ref="AC16:AH16" si="88">IF(ISNUMBER(SEARCH(AC$1,$AB16)), 1, 0)</f>
        <v>1</v>
      </c>
      <c r="AD16" s="4">
        <f t="shared" si="88"/>
        <v>1</v>
      </c>
      <c r="AE16" s="4">
        <f t="shared" si="88"/>
        <v>1</v>
      </c>
      <c r="AF16" s="4">
        <f t="shared" si="88"/>
        <v>1</v>
      </c>
      <c r="AG16" s="4">
        <f t="shared" si="88"/>
        <v>1</v>
      </c>
      <c r="AH16" s="4">
        <f t="shared" si="88"/>
        <v>1</v>
      </c>
      <c r="AI16" s="1">
        <f t="shared" si="5"/>
        <v>6</v>
      </c>
      <c r="AJ16" s="1" t="s">
        <v>690</v>
      </c>
      <c r="AK16" s="1" t="s">
        <v>604</v>
      </c>
      <c r="AL16" s="4">
        <f t="shared" ref="AL16:AS16" si="89">IF(ISNUMBER(SEARCH(AL$1,$AK16)), 1, 0)</f>
        <v>1</v>
      </c>
      <c r="AM16" s="4">
        <f t="shared" si="89"/>
        <v>1</v>
      </c>
      <c r="AN16" s="4">
        <f t="shared" si="89"/>
        <v>1</v>
      </c>
      <c r="AO16" s="4">
        <f t="shared" si="89"/>
        <v>1</v>
      </c>
      <c r="AP16" s="4">
        <f t="shared" si="89"/>
        <v>1</v>
      </c>
      <c r="AQ16" s="4">
        <f t="shared" si="89"/>
        <v>1</v>
      </c>
      <c r="AR16" s="4">
        <f t="shared" si="89"/>
        <v>1</v>
      </c>
      <c r="AS16" s="4">
        <f t="shared" si="89"/>
        <v>1</v>
      </c>
      <c r="AT16" s="1" t="s">
        <v>690</v>
      </c>
      <c r="AU16" s="1" t="s">
        <v>47</v>
      </c>
      <c r="AV16" s="1">
        <f t="shared" si="7"/>
        <v>1</v>
      </c>
      <c r="AW16" s="1">
        <f t="shared" si="8"/>
        <v>0</v>
      </c>
      <c r="AX16" s="1">
        <f t="shared" si="9"/>
        <v>0</v>
      </c>
      <c r="AY16" s="1" t="s">
        <v>48</v>
      </c>
      <c r="BA16" s="1" t="s">
        <v>692</v>
      </c>
      <c r="BB16" s="4">
        <f t="shared" ref="BB16:BJ16" si="90">IF(ISNUMBER(SEARCH(BB$1,$BA16)), 1, 0)</f>
        <v>1</v>
      </c>
      <c r="BC16" s="4">
        <f t="shared" si="90"/>
        <v>1</v>
      </c>
      <c r="BD16" s="4">
        <f t="shared" si="90"/>
        <v>0</v>
      </c>
      <c r="BE16" s="4">
        <f t="shared" si="90"/>
        <v>1</v>
      </c>
      <c r="BF16" s="4">
        <f t="shared" si="90"/>
        <v>1</v>
      </c>
      <c r="BG16" s="4">
        <f t="shared" si="90"/>
        <v>1</v>
      </c>
      <c r="BH16" s="4">
        <f t="shared" si="90"/>
        <v>1</v>
      </c>
      <c r="BI16" s="4">
        <f t="shared" si="90"/>
        <v>1</v>
      </c>
      <c r="BJ16" s="4">
        <f t="shared" si="90"/>
        <v>1</v>
      </c>
      <c r="BK16" s="4">
        <f t="shared" si="11"/>
        <v>8</v>
      </c>
      <c r="BM16" s="1" t="s">
        <v>190</v>
      </c>
      <c r="BN16" s="1" t="s">
        <v>693</v>
      </c>
      <c r="BO16" s="4">
        <f t="shared" ref="BO16:BU16" si="91">IF(ISNUMBER(SEARCH(BO$1,$BN16)), 1, 0)</f>
        <v>1</v>
      </c>
      <c r="BP16" s="4">
        <f t="shared" si="91"/>
        <v>1</v>
      </c>
      <c r="BQ16" s="4">
        <f t="shared" si="91"/>
        <v>1</v>
      </c>
      <c r="BR16" s="4">
        <f t="shared" si="91"/>
        <v>1</v>
      </c>
      <c r="BS16" s="4">
        <f t="shared" si="91"/>
        <v>1</v>
      </c>
      <c r="BT16" s="4">
        <f t="shared" si="91"/>
        <v>1</v>
      </c>
      <c r="BU16" s="4">
        <f t="shared" si="91"/>
        <v>1</v>
      </c>
      <c r="CX16" s="1" t="s">
        <v>694</v>
      </c>
      <c r="CZ16" s="1" t="s">
        <v>178</v>
      </c>
      <c r="DC16" s="1" t="s">
        <v>180</v>
      </c>
    </row>
    <row r="17" spans="1:107" ht="15.75" customHeight="1" x14ac:dyDescent="0.25">
      <c r="A17" s="1" t="b">
        <v>1</v>
      </c>
      <c r="B17" s="3">
        <v>46150.640046296299</v>
      </c>
      <c r="C17" s="1" t="s">
        <v>191</v>
      </c>
      <c r="D17" s="1" t="s">
        <v>192</v>
      </c>
      <c r="E17" s="4">
        <f t="shared" ref="E17:K17" si="92">IF(ISNUMBER(SEARCH(E$1,$D17)), SEARCH(E$1,$D17), 0)</f>
        <v>1</v>
      </c>
      <c r="F17" s="4">
        <f t="shared" si="92"/>
        <v>30</v>
      </c>
      <c r="G17" s="4">
        <f t="shared" si="92"/>
        <v>0</v>
      </c>
      <c r="H17" s="4">
        <f t="shared" si="92"/>
        <v>0</v>
      </c>
      <c r="I17" s="4">
        <f t="shared" si="92"/>
        <v>0</v>
      </c>
      <c r="J17" s="4">
        <f t="shared" si="92"/>
        <v>0</v>
      </c>
      <c r="K17" s="4">
        <f t="shared" si="92"/>
        <v>105</v>
      </c>
      <c r="L17" s="4">
        <f t="shared" si="1"/>
        <v>105</v>
      </c>
      <c r="N17" s="1" t="s">
        <v>193</v>
      </c>
      <c r="O17" s="4">
        <f t="shared" ref="O17:T17" si="93">IF(ISNUMBER(SEARCH(O$1,$N17)), 1, 0)</f>
        <v>1</v>
      </c>
      <c r="P17" s="4">
        <f t="shared" si="93"/>
        <v>1</v>
      </c>
      <c r="Q17" s="4">
        <f t="shared" si="93"/>
        <v>1</v>
      </c>
      <c r="R17" s="4">
        <f t="shared" si="93"/>
        <v>0</v>
      </c>
      <c r="S17" s="4">
        <f t="shared" si="93"/>
        <v>0</v>
      </c>
      <c r="T17" s="4">
        <f t="shared" si="93"/>
        <v>0</v>
      </c>
      <c r="U17" s="1" t="s">
        <v>194</v>
      </c>
      <c r="W17" s="1" t="str">
        <f t="shared" si="69"/>
        <v>False</v>
      </c>
      <c r="X17" s="1" t="str">
        <f t="shared" si="69"/>
        <v>False</v>
      </c>
      <c r="Y17" s="1" t="str">
        <f t="shared" si="69"/>
        <v>False</v>
      </c>
      <c r="Z17" s="1" t="str">
        <f t="shared" si="69"/>
        <v>False</v>
      </c>
      <c r="AA17" s="1" t="str">
        <f t="shared" si="69"/>
        <v>False</v>
      </c>
      <c r="AB17" s="1" t="s">
        <v>183</v>
      </c>
      <c r="AC17" s="4">
        <f t="shared" ref="AC17:AH17" si="94">IF(ISNUMBER(SEARCH(AC$1,$AB17)), 1, 0)</f>
        <v>0</v>
      </c>
      <c r="AD17" s="4">
        <f t="shared" si="94"/>
        <v>0</v>
      </c>
      <c r="AE17" s="4">
        <f t="shared" si="94"/>
        <v>0</v>
      </c>
      <c r="AF17" s="4">
        <f t="shared" si="94"/>
        <v>0</v>
      </c>
      <c r="AG17" s="4">
        <f t="shared" si="94"/>
        <v>0</v>
      </c>
      <c r="AH17" s="4">
        <f t="shared" si="94"/>
        <v>0</v>
      </c>
      <c r="AI17" s="1">
        <f t="shared" si="5"/>
        <v>0</v>
      </c>
      <c r="AJ17" s="1" t="s">
        <v>195</v>
      </c>
      <c r="AK17" s="1" t="s">
        <v>196</v>
      </c>
      <c r="AL17" s="4">
        <f t="shared" ref="AL17:AS17" si="95">IF(ISNUMBER(SEARCH(AL$1,$AK17)), 1, 0)</f>
        <v>0</v>
      </c>
      <c r="AM17" s="4">
        <f t="shared" si="95"/>
        <v>0</v>
      </c>
      <c r="AN17" s="4">
        <f t="shared" si="95"/>
        <v>0</v>
      </c>
      <c r="AO17" s="4">
        <f t="shared" si="95"/>
        <v>0</v>
      </c>
      <c r="AP17" s="4">
        <f t="shared" si="95"/>
        <v>0</v>
      </c>
      <c r="AQ17" s="4">
        <f t="shared" si="95"/>
        <v>1</v>
      </c>
      <c r="AR17" s="4">
        <f t="shared" si="95"/>
        <v>1</v>
      </c>
      <c r="AS17" s="4">
        <f t="shared" si="95"/>
        <v>1</v>
      </c>
      <c r="AU17" s="1" t="s">
        <v>49</v>
      </c>
      <c r="AV17" s="1">
        <f t="shared" si="7"/>
        <v>0</v>
      </c>
      <c r="AW17" s="1">
        <f t="shared" si="8"/>
        <v>0</v>
      </c>
      <c r="AX17" s="1">
        <f t="shared" si="9"/>
        <v>1</v>
      </c>
      <c r="AY17" s="1" t="s">
        <v>48</v>
      </c>
      <c r="BA17" s="1" t="s">
        <v>197</v>
      </c>
      <c r="BB17" s="4">
        <f t="shared" ref="BB17:BJ17" si="96">IF(ISNUMBER(SEARCH(BB$1,$BA17)), 1, 0)</f>
        <v>0</v>
      </c>
      <c r="BC17" s="4">
        <f t="shared" si="96"/>
        <v>0</v>
      </c>
      <c r="BD17" s="4">
        <f t="shared" si="96"/>
        <v>1</v>
      </c>
      <c r="BE17" s="4">
        <f t="shared" si="96"/>
        <v>1</v>
      </c>
      <c r="BF17" s="4">
        <f t="shared" si="96"/>
        <v>1</v>
      </c>
      <c r="BG17" s="4">
        <f t="shared" si="96"/>
        <v>0</v>
      </c>
      <c r="BH17" s="4">
        <f t="shared" si="96"/>
        <v>0</v>
      </c>
      <c r="BI17" s="4">
        <f t="shared" si="96"/>
        <v>0</v>
      </c>
      <c r="BJ17" s="4">
        <f t="shared" si="96"/>
        <v>1</v>
      </c>
      <c r="BK17" s="4">
        <f t="shared" si="11"/>
        <v>4</v>
      </c>
      <c r="BM17" s="1" t="s">
        <v>166</v>
      </c>
      <c r="BN17" s="1" t="s">
        <v>198</v>
      </c>
      <c r="BO17" s="4">
        <f t="shared" ref="BO17:BU17" si="97">IF(ISNUMBER(SEARCH(BO$1,$BN17)), 1, 0)</f>
        <v>1</v>
      </c>
      <c r="BP17" s="4">
        <f t="shared" si="97"/>
        <v>1</v>
      </c>
      <c r="BQ17" s="4">
        <f t="shared" si="97"/>
        <v>0</v>
      </c>
      <c r="BR17" s="4">
        <f t="shared" si="97"/>
        <v>1</v>
      </c>
      <c r="BS17" s="4">
        <f t="shared" si="97"/>
        <v>0</v>
      </c>
      <c r="BT17" s="4">
        <f t="shared" si="97"/>
        <v>0</v>
      </c>
      <c r="BU17" s="4">
        <f t="shared" si="97"/>
        <v>1</v>
      </c>
      <c r="BV17" s="1" t="s">
        <v>199</v>
      </c>
      <c r="CM17" s="1" t="s">
        <v>48</v>
      </c>
      <c r="CN17" s="1" t="s">
        <v>200</v>
      </c>
      <c r="CO17" s="1" t="s">
        <v>201</v>
      </c>
      <c r="CX17" s="1" t="s">
        <v>202</v>
      </c>
      <c r="CY17" s="1" t="s">
        <v>195</v>
      </c>
      <c r="CZ17" s="1" t="s">
        <v>203</v>
      </c>
      <c r="DA17" s="1" t="s">
        <v>204</v>
      </c>
      <c r="DB17" s="1" t="s">
        <v>205</v>
      </c>
      <c r="DC17" s="1" t="s">
        <v>180</v>
      </c>
    </row>
    <row r="18" spans="1:107" ht="15.75" customHeight="1" x14ac:dyDescent="0.25">
      <c r="A18" s="1" t="b">
        <v>0</v>
      </c>
      <c r="B18" s="3">
        <v>46161.305231481485</v>
      </c>
      <c r="C18" s="1" t="s">
        <v>438</v>
      </c>
      <c r="D18" s="1" t="s">
        <v>439</v>
      </c>
      <c r="E18" s="4">
        <f t="shared" ref="E18:K18" si="98">IF(ISNUMBER(SEARCH(E$1,$D18)), SEARCH(E$1,$D18), 0)</f>
        <v>1</v>
      </c>
      <c r="F18" s="4">
        <f t="shared" si="98"/>
        <v>30</v>
      </c>
      <c r="G18" s="4">
        <f t="shared" si="98"/>
        <v>0</v>
      </c>
      <c r="H18" s="4">
        <f t="shared" si="98"/>
        <v>0</v>
      </c>
      <c r="I18" s="4">
        <f t="shared" si="98"/>
        <v>105</v>
      </c>
      <c r="J18" s="4">
        <f t="shared" si="98"/>
        <v>0</v>
      </c>
      <c r="K18" s="4">
        <f t="shared" si="98"/>
        <v>0</v>
      </c>
      <c r="L18" s="4">
        <f t="shared" si="1"/>
        <v>105</v>
      </c>
      <c r="N18" s="1" t="s">
        <v>328</v>
      </c>
      <c r="O18" s="4">
        <f t="shared" ref="O18:T18" si="99">IF(ISNUMBER(SEARCH(O$1,$N18)), 1, 0)</f>
        <v>1</v>
      </c>
      <c r="P18" s="4">
        <f t="shared" si="99"/>
        <v>1</v>
      </c>
      <c r="Q18" s="4">
        <f t="shared" si="99"/>
        <v>1</v>
      </c>
      <c r="R18" s="4">
        <f t="shared" si="99"/>
        <v>0</v>
      </c>
      <c r="S18" s="4">
        <f t="shared" si="99"/>
        <v>0</v>
      </c>
      <c r="T18" s="4">
        <f t="shared" si="99"/>
        <v>0</v>
      </c>
      <c r="W18" s="1" t="str">
        <f t="shared" si="69"/>
        <v>False</v>
      </c>
      <c r="X18" s="1" t="str">
        <f t="shared" si="69"/>
        <v>False</v>
      </c>
      <c r="Y18" s="1" t="str">
        <f t="shared" si="69"/>
        <v>False</v>
      </c>
      <c r="Z18" s="1" t="str">
        <f t="shared" si="69"/>
        <v>False</v>
      </c>
      <c r="AA18" s="1" t="str">
        <f t="shared" si="69"/>
        <v>False</v>
      </c>
      <c r="AB18" s="1" t="s">
        <v>230</v>
      </c>
      <c r="AC18" s="4">
        <f t="shared" ref="AC18:AH18" si="100">IF(ISNUMBER(SEARCH(AC$1,$AB18)), 1, 0)</f>
        <v>1</v>
      </c>
      <c r="AD18" s="4">
        <f t="shared" si="100"/>
        <v>1</v>
      </c>
      <c r="AE18" s="4">
        <f t="shared" si="100"/>
        <v>0</v>
      </c>
      <c r="AF18" s="4">
        <f t="shared" si="100"/>
        <v>0</v>
      </c>
      <c r="AG18" s="4">
        <f t="shared" si="100"/>
        <v>0</v>
      </c>
      <c r="AH18" s="4">
        <f t="shared" si="100"/>
        <v>0</v>
      </c>
      <c r="AI18" s="1">
        <f t="shared" si="5"/>
        <v>2</v>
      </c>
      <c r="AK18" s="1" t="s">
        <v>440</v>
      </c>
      <c r="AL18" s="4">
        <f t="shared" ref="AL18:AS18" si="101">IF(ISNUMBER(SEARCH(AL$1,$AK18)), 1, 0)</f>
        <v>0</v>
      </c>
      <c r="AM18" s="4">
        <f t="shared" si="101"/>
        <v>0</v>
      </c>
      <c r="AN18" s="4">
        <f t="shared" si="101"/>
        <v>0</v>
      </c>
      <c r="AO18" s="4">
        <f t="shared" si="101"/>
        <v>1</v>
      </c>
      <c r="AP18" s="4">
        <f t="shared" si="101"/>
        <v>0</v>
      </c>
      <c r="AQ18" s="4">
        <f t="shared" si="101"/>
        <v>1</v>
      </c>
      <c r="AR18" s="4">
        <f t="shared" si="101"/>
        <v>0</v>
      </c>
      <c r="AS18" s="4">
        <f t="shared" si="101"/>
        <v>1</v>
      </c>
      <c r="AU18" s="1" t="s">
        <v>47</v>
      </c>
      <c r="AV18" s="1">
        <f t="shared" si="7"/>
        <v>1</v>
      </c>
      <c r="AW18" s="1">
        <f t="shared" si="8"/>
        <v>0</v>
      </c>
      <c r="AX18" s="1">
        <f t="shared" si="9"/>
        <v>0</v>
      </c>
      <c r="AY18" s="1" t="s">
        <v>48</v>
      </c>
      <c r="BA18" s="1" t="s">
        <v>411</v>
      </c>
      <c r="BB18" s="4">
        <f t="shared" ref="BB18:BJ18" si="102">IF(ISNUMBER(SEARCH(BB$1,$BA18)), 1, 0)</f>
        <v>0</v>
      </c>
      <c r="BC18" s="4">
        <f t="shared" si="102"/>
        <v>1</v>
      </c>
      <c r="BD18" s="4">
        <f t="shared" si="102"/>
        <v>0</v>
      </c>
      <c r="BE18" s="4">
        <f t="shared" si="102"/>
        <v>0</v>
      </c>
      <c r="BF18" s="4">
        <f t="shared" si="102"/>
        <v>1</v>
      </c>
      <c r="BG18" s="4">
        <f t="shared" si="102"/>
        <v>0</v>
      </c>
      <c r="BH18" s="4">
        <f t="shared" si="102"/>
        <v>0</v>
      </c>
      <c r="BI18" s="4">
        <f t="shared" si="102"/>
        <v>0</v>
      </c>
      <c r="BJ18" s="4">
        <f t="shared" si="102"/>
        <v>1</v>
      </c>
      <c r="BK18" s="4">
        <f t="shared" si="11"/>
        <v>3</v>
      </c>
      <c r="BM18" s="1" t="s">
        <v>232</v>
      </c>
      <c r="BN18" s="1" t="s">
        <v>441</v>
      </c>
      <c r="BO18" s="4">
        <f t="shared" ref="BO18:BU18" si="103">IF(ISNUMBER(SEARCH(BO$1,$BN18)), 1, 0)</f>
        <v>0</v>
      </c>
      <c r="BP18" s="4">
        <f t="shared" si="103"/>
        <v>1</v>
      </c>
      <c r="BQ18" s="4">
        <f t="shared" si="103"/>
        <v>0</v>
      </c>
      <c r="BR18" s="4">
        <f t="shared" si="103"/>
        <v>1</v>
      </c>
      <c r="BS18" s="4">
        <f t="shared" si="103"/>
        <v>1</v>
      </c>
      <c r="BT18" s="4">
        <f t="shared" si="103"/>
        <v>0</v>
      </c>
      <c r="BU18" s="4">
        <f t="shared" si="103"/>
        <v>0</v>
      </c>
    </row>
    <row r="19" spans="1:107" ht="15.75" customHeight="1" x14ac:dyDescent="0.25">
      <c r="A19" s="1" t="b">
        <v>1</v>
      </c>
      <c r="B19" s="3">
        <v>46164.790023148147</v>
      </c>
      <c r="C19" s="1" t="s">
        <v>551</v>
      </c>
      <c r="D19" s="1" t="s">
        <v>207</v>
      </c>
      <c r="E19" s="4">
        <f t="shared" ref="E19:K19" si="104">IF(ISNUMBER(SEARCH(E$1,$D19)), SEARCH(E$1,$D19), 0)</f>
        <v>1</v>
      </c>
      <c r="F19" s="4">
        <f t="shared" si="104"/>
        <v>30</v>
      </c>
      <c r="G19" s="4">
        <f t="shared" si="104"/>
        <v>0</v>
      </c>
      <c r="H19" s="4">
        <f t="shared" si="104"/>
        <v>0</v>
      </c>
      <c r="I19" s="4">
        <f t="shared" si="104"/>
        <v>0</v>
      </c>
      <c r="J19" s="4">
        <f t="shared" si="104"/>
        <v>0</v>
      </c>
      <c r="K19" s="4">
        <f t="shared" si="104"/>
        <v>0</v>
      </c>
      <c r="L19" s="4">
        <f t="shared" si="1"/>
        <v>30</v>
      </c>
      <c r="N19" s="1" t="s">
        <v>272</v>
      </c>
      <c r="O19" s="4">
        <f t="shared" ref="O19:T19" si="105">IF(ISNUMBER(SEARCH(O$1,$N19)), 1, 0)</f>
        <v>1</v>
      </c>
      <c r="P19" s="4">
        <f t="shared" si="105"/>
        <v>1</v>
      </c>
      <c r="Q19" s="4">
        <f t="shared" si="105"/>
        <v>1</v>
      </c>
      <c r="R19" s="4">
        <f t="shared" si="105"/>
        <v>1</v>
      </c>
      <c r="S19" s="4">
        <f t="shared" si="105"/>
        <v>1</v>
      </c>
      <c r="T19" s="4">
        <f t="shared" si="105"/>
        <v>0</v>
      </c>
      <c r="W19" s="1" t="str">
        <f t="shared" si="69"/>
        <v>False</v>
      </c>
      <c r="X19" s="1" t="str">
        <f t="shared" si="69"/>
        <v>False</v>
      </c>
      <c r="Y19" s="1" t="str">
        <f t="shared" si="69"/>
        <v>False</v>
      </c>
      <c r="Z19" s="1" t="str">
        <f t="shared" si="69"/>
        <v>False</v>
      </c>
      <c r="AA19" s="1" t="str">
        <f t="shared" si="69"/>
        <v>False</v>
      </c>
      <c r="AB19" s="1" t="s">
        <v>552</v>
      </c>
      <c r="AC19" s="4">
        <f t="shared" ref="AC19:AH19" si="106">IF(ISNUMBER(SEARCH(AC$1,$AB19)), 1, 0)</f>
        <v>1</v>
      </c>
      <c r="AD19" s="4">
        <f t="shared" si="106"/>
        <v>1</v>
      </c>
      <c r="AE19" s="4">
        <f t="shared" si="106"/>
        <v>1</v>
      </c>
      <c r="AF19" s="4">
        <f t="shared" si="106"/>
        <v>0</v>
      </c>
      <c r="AG19" s="4">
        <f t="shared" si="106"/>
        <v>0</v>
      </c>
      <c r="AH19" s="4">
        <f t="shared" si="106"/>
        <v>1</v>
      </c>
      <c r="AI19" s="1">
        <f t="shared" si="5"/>
        <v>4</v>
      </c>
      <c r="AK19" s="1" t="s">
        <v>553</v>
      </c>
      <c r="AL19" s="4">
        <f t="shared" ref="AL19:AS19" si="107">IF(ISNUMBER(SEARCH(AL$1,$AK19)), 1, 0)</f>
        <v>1</v>
      </c>
      <c r="AM19" s="4">
        <f t="shared" si="107"/>
        <v>1</v>
      </c>
      <c r="AN19" s="4">
        <f t="shared" si="107"/>
        <v>1</v>
      </c>
      <c r="AO19" s="4">
        <f t="shared" si="107"/>
        <v>1</v>
      </c>
      <c r="AP19" s="4">
        <f t="shared" si="107"/>
        <v>0</v>
      </c>
      <c r="AQ19" s="4">
        <f t="shared" si="107"/>
        <v>1</v>
      </c>
      <c r="AR19" s="4">
        <f t="shared" si="107"/>
        <v>1</v>
      </c>
      <c r="AS19" s="4">
        <f t="shared" si="107"/>
        <v>0</v>
      </c>
      <c r="AU19" s="1" t="s">
        <v>47</v>
      </c>
      <c r="AV19" s="1">
        <f t="shared" si="7"/>
        <v>1</v>
      </c>
      <c r="AW19" s="1">
        <f t="shared" si="8"/>
        <v>0</v>
      </c>
      <c r="AX19" s="1">
        <f t="shared" si="9"/>
        <v>0</v>
      </c>
      <c r="AY19" s="1" t="s">
        <v>48</v>
      </c>
      <c r="BA19" s="1" t="s">
        <v>554</v>
      </c>
      <c r="BB19" s="4">
        <f t="shared" ref="BB19:BJ19" si="108">IF(ISNUMBER(SEARCH(BB$1,$BA19)), 1, 0)</f>
        <v>0</v>
      </c>
      <c r="BC19" s="4">
        <f t="shared" si="108"/>
        <v>1</v>
      </c>
      <c r="BD19" s="4">
        <f t="shared" si="108"/>
        <v>1</v>
      </c>
      <c r="BE19" s="4">
        <f t="shared" si="108"/>
        <v>1</v>
      </c>
      <c r="BF19" s="4">
        <f t="shared" si="108"/>
        <v>1</v>
      </c>
      <c r="BG19" s="4">
        <f t="shared" si="108"/>
        <v>1</v>
      </c>
      <c r="BH19" s="4">
        <f t="shared" si="108"/>
        <v>0</v>
      </c>
      <c r="BI19" s="4">
        <f t="shared" si="108"/>
        <v>0</v>
      </c>
      <c r="BJ19" s="4">
        <f t="shared" si="108"/>
        <v>0</v>
      </c>
      <c r="BK19" s="4">
        <f t="shared" si="11"/>
        <v>5</v>
      </c>
      <c r="BM19" s="1" t="s">
        <v>190</v>
      </c>
      <c r="BN19" s="1" t="s">
        <v>72</v>
      </c>
      <c r="BO19" s="4">
        <f t="shared" ref="BO19:BU19" si="109">IF(ISNUMBER(SEARCH(BO$1,$BN19)), 1, 0)</f>
        <v>0</v>
      </c>
      <c r="BP19" s="4">
        <f t="shared" si="109"/>
        <v>0</v>
      </c>
      <c r="BQ19" s="4">
        <f t="shared" si="109"/>
        <v>0</v>
      </c>
      <c r="BR19" s="4">
        <f t="shared" si="109"/>
        <v>0</v>
      </c>
      <c r="BS19" s="4">
        <f t="shared" si="109"/>
        <v>0</v>
      </c>
      <c r="BT19" s="4">
        <f t="shared" si="109"/>
        <v>0</v>
      </c>
      <c r="BU19" s="4">
        <f t="shared" si="109"/>
        <v>1</v>
      </c>
      <c r="CX19" s="1" t="s">
        <v>555</v>
      </c>
      <c r="CZ19" s="1" t="s">
        <v>178</v>
      </c>
      <c r="DC19" s="1" t="s">
        <v>238</v>
      </c>
    </row>
    <row r="20" spans="1:107" ht="15.75" customHeight="1" x14ac:dyDescent="0.25">
      <c r="A20" s="1" t="b">
        <v>1</v>
      </c>
      <c r="B20" s="3">
        <v>46167.296018518522</v>
      </c>
      <c r="C20" s="1" t="s">
        <v>675</v>
      </c>
      <c r="D20" s="1" t="s">
        <v>207</v>
      </c>
      <c r="E20" s="4">
        <f t="shared" ref="E20:K20" si="110">IF(ISNUMBER(SEARCH(E$1,$D20)), SEARCH(E$1,$D20), 0)</f>
        <v>1</v>
      </c>
      <c r="F20" s="4">
        <f t="shared" si="110"/>
        <v>30</v>
      </c>
      <c r="G20" s="4">
        <f t="shared" si="110"/>
        <v>0</v>
      </c>
      <c r="H20" s="4">
        <f t="shared" si="110"/>
        <v>0</v>
      </c>
      <c r="I20" s="4">
        <f t="shared" si="110"/>
        <v>0</v>
      </c>
      <c r="J20" s="4">
        <f t="shared" si="110"/>
        <v>0</v>
      </c>
      <c r="K20" s="4">
        <f t="shared" si="110"/>
        <v>0</v>
      </c>
      <c r="L20" s="4">
        <f t="shared" si="1"/>
        <v>30</v>
      </c>
      <c r="N20" s="1" t="s">
        <v>240</v>
      </c>
      <c r="O20" s="4">
        <f t="shared" ref="O20:T20" si="111">IF(ISNUMBER(SEARCH(O$1,$N20)), 1, 0)</f>
        <v>1</v>
      </c>
      <c r="P20" s="4">
        <f t="shared" si="111"/>
        <v>1</v>
      </c>
      <c r="Q20" s="4">
        <f t="shared" si="111"/>
        <v>1</v>
      </c>
      <c r="R20" s="4">
        <f t="shared" si="111"/>
        <v>1</v>
      </c>
      <c r="S20" s="4">
        <f t="shared" si="111"/>
        <v>0</v>
      </c>
      <c r="T20" s="4">
        <f t="shared" si="111"/>
        <v>0</v>
      </c>
      <c r="W20" s="1" t="str">
        <f t="shared" si="69"/>
        <v>False</v>
      </c>
      <c r="X20" s="1" t="str">
        <f t="shared" si="69"/>
        <v>False</v>
      </c>
      <c r="Y20" s="1" t="str">
        <f t="shared" si="69"/>
        <v>False</v>
      </c>
      <c r="Z20" s="1" t="str">
        <f t="shared" si="69"/>
        <v>False</v>
      </c>
      <c r="AA20" s="1" t="str">
        <f t="shared" si="69"/>
        <v>False</v>
      </c>
      <c r="AB20" s="1" t="s">
        <v>31</v>
      </c>
      <c r="AC20" s="4">
        <f t="shared" ref="AC20:AH20" si="112">IF(ISNUMBER(SEARCH(AC$1,$AB20)), 1, 0)</f>
        <v>0</v>
      </c>
      <c r="AD20" s="4">
        <f t="shared" si="112"/>
        <v>0</v>
      </c>
      <c r="AE20" s="4">
        <f t="shared" si="112"/>
        <v>0</v>
      </c>
      <c r="AF20" s="4">
        <f t="shared" si="112"/>
        <v>1</v>
      </c>
      <c r="AG20" s="4">
        <f t="shared" si="112"/>
        <v>0</v>
      </c>
      <c r="AH20" s="4">
        <f t="shared" si="112"/>
        <v>0</v>
      </c>
      <c r="AI20" s="1">
        <f t="shared" si="5"/>
        <v>1</v>
      </c>
      <c r="AK20" s="1" t="s">
        <v>611</v>
      </c>
      <c r="AL20" s="4">
        <f t="shared" ref="AL20:AS20" si="113">IF(ISNUMBER(SEARCH(AL$1,$AK20)), 1, 0)</f>
        <v>0</v>
      </c>
      <c r="AM20" s="4">
        <f t="shared" si="113"/>
        <v>1</v>
      </c>
      <c r="AN20" s="4">
        <f t="shared" si="113"/>
        <v>1</v>
      </c>
      <c r="AO20" s="4">
        <f t="shared" si="113"/>
        <v>1</v>
      </c>
      <c r="AP20" s="4">
        <f t="shared" si="113"/>
        <v>1</v>
      </c>
      <c r="AQ20" s="4">
        <f t="shared" si="113"/>
        <v>1</v>
      </c>
      <c r="AR20" s="4">
        <f t="shared" si="113"/>
        <v>1</v>
      </c>
      <c r="AS20" s="4">
        <f t="shared" si="113"/>
        <v>0</v>
      </c>
      <c r="AU20" s="1" t="s">
        <v>47</v>
      </c>
      <c r="AV20" s="1">
        <f t="shared" si="7"/>
        <v>1</v>
      </c>
      <c r="AW20" s="1">
        <f t="shared" si="8"/>
        <v>0</v>
      </c>
      <c r="AX20" s="1">
        <f t="shared" si="9"/>
        <v>0</v>
      </c>
      <c r="AY20" s="1" t="s">
        <v>48</v>
      </c>
      <c r="BA20" s="1" t="s">
        <v>676</v>
      </c>
      <c r="BB20" s="4">
        <f t="shared" ref="BB20:BJ20" si="114">IF(ISNUMBER(SEARCH(BB$1,$BA20)), 1, 0)</f>
        <v>0</v>
      </c>
      <c r="BC20" s="4">
        <f t="shared" si="114"/>
        <v>0</v>
      </c>
      <c r="BD20" s="4">
        <f t="shared" si="114"/>
        <v>1</v>
      </c>
      <c r="BE20" s="4">
        <f t="shared" si="114"/>
        <v>1</v>
      </c>
      <c r="BF20" s="4">
        <f t="shared" si="114"/>
        <v>0</v>
      </c>
      <c r="BG20" s="4">
        <f t="shared" si="114"/>
        <v>0</v>
      </c>
      <c r="BH20" s="4">
        <f t="shared" si="114"/>
        <v>0</v>
      </c>
      <c r="BI20" s="4">
        <f t="shared" si="114"/>
        <v>0</v>
      </c>
      <c r="BJ20" s="4">
        <f t="shared" si="114"/>
        <v>0</v>
      </c>
      <c r="BK20" s="4">
        <f t="shared" si="11"/>
        <v>2</v>
      </c>
      <c r="BM20" s="1" t="s">
        <v>190</v>
      </c>
      <c r="BN20" s="1" t="s">
        <v>677</v>
      </c>
      <c r="BO20" s="4">
        <f t="shared" ref="BO20:BU20" si="115">IF(ISNUMBER(SEARCH(BO$1,$BN20)), 1, 0)</f>
        <v>0</v>
      </c>
      <c r="BP20" s="4">
        <f t="shared" si="115"/>
        <v>1</v>
      </c>
      <c r="BQ20" s="4">
        <f t="shared" si="115"/>
        <v>1</v>
      </c>
      <c r="BR20" s="4">
        <f t="shared" si="115"/>
        <v>0</v>
      </c>
      <c r="BS20" s="4">
        <f t="shared" si="115"/>
        <v>0</v>
      </c>
      <c r="BT20" s="4">
        <f t="shared" si="115"/>
        <v>1</v>
      </c>
      <c r="BU20" s="4">
        <f t="shared" si="115"/>
        <v>0</v>
      </c>
      <c r="CX20" s="1" t="s">
        <v>678</v>
      </c>
      <c r="CZ20" s="1" t="s">
        <v>679</v>
      </c>
      <c r="DC20" s="1" t="s">
        <v>180</v>
      </c>
    </row>
    <row r="21" spans="1:107" ht="15.75" customHeight="1" x14ac:dyDescent="0.25">
      <c r="A21" s="1" t="b">
        <v>1</v>
      </c>
      <c r="B21" s="3">
        <v>46164.703969907408</v>
      </c>
      <c r="C21" s="1" t="s">
        <v>528</v>
      </c>
      <c r="D21" s="1" t="s">
        <v>192</v>
      </c>
      <c r="E21" s="4">
        <f t="shared" ref="E21:K21" si="116">IF(ISNUMBER(SEARCH(E$1,$D21)), SEARCH(E$1,$D21), 0)</f>
        <v>1</v>
      </c>
      <c r="F21" s="4">
        <f t="shared" si="116"/>
        <v>30</v>
      </c>
      <c r="G21" s="4">
        <f t="shared" si="116"/>
        <v>0</v>
      </c>
      <c r="H21" s="4">
        <f t="shared" si="116"/>
        <v>0</v>
      </c>
      <c r="I21" s="4">
        <f t="shared" si="116"/>
        <v>0</v>
      </c>
      <c r="J21" s="4">
        <f t="shared" si="116"/>
        <v>0</v>
      </c>
      <c r="K21" s="4">
        <f t="shared" si="116"/>
        <v>105</v>
      </c>
      <c r="L21" s="4">
        <f t="shared" si="1"/>
        <v>105</v>
      </c>
      <c r="N21" s="1" t="s">
        <v>187</v>
      </c>
      <c r="O21" s="4">
        <f t="shared" ref="O21:T21" si="117">IF(ISNUMBER(SEARCH(O$1,$N21)), 1, 0)</f>
        <v>1</v>
      </c>
      <c r="P21" s="4">
        <f t="shared" si="117"/>
        <v>1</v>
      </c>
      <c r="Q21" s="4">
        <f t="shared" si="117"/>
        <v>1</v>
      </c>
      <c r="R21" s="4">
        <f t="shared" si="117"/>
        <v>1</v>
      </c>
      <c r="S21" s="4">
        <f t="shared" si="117"/>
        <v>1</v>
      </c>
      <c r="T21" s="4">
        <f t="shared" si="117"/>
        <v>1</v>
      </c>
      <c r="V21" s="1" t="s">
        <v>26</v>
      </c>
      <c r="W21" s="1" t="str">
        <f t="shared" si="69"/>
        <v>False</v>
      </c>
      <c r="X21" s="1" t="str">
        <f t="shared" si="69"/>
        <v>False</v>
      </c>
      <c r="Y21" s="1" t="str">
        <f t="shared" si="69"/>
        <v>False</v>
      </c>
      <c r="Z21" s="1" t="str">
        <f t="shared" si="69"/>
        <v>False</v>
      </c>
      <c r="AA21" s="1" t="str">
        <f t="shared" si="69"/>
        <v>True</v>
      </c>
      <c r="AB21" s="1" t="s">
        <v>529</v>
      </c>
      <c r="AC21" s="4">
        <f t="shared" ref="AC21:AH21" si="118">IF(ISNUMBER(SEARCH(AC$1,$AB21)), 1, 0)</f>
        <v>1</v>
      </c>
      <c r="AD21" s="4">
        <f t="shared" si="118"/>
        <v>1</v>
      </c>
      <c r="AE21" s="4">
        <f t="shared" si="118"/>
        <v>0</v>
      </c>
      <c r="AF21" s="4">
        <f t="shared" si="118"/>
        <v>0</v>
      </c>
      <c r="AG21" s="4">
        <f t="shared" si="118"/>
        <v>1</v>
      </c>
      <c r="AH21" s="4">
        <f t="shared" si="118"/>
        <v>1</v>
      </c>
      <c r="AI21" s="1">
        <f t="shared" si="5"/>
        <v>4</v>
      </c>
      <c r="AK21" s="1" t="s">
        <v>492</v>
      </c>
      <c r="AL21" s="4">
        <f t="shared" ref="AL21:AS21" si="119">IF(ISNUMBER(SEARCH(AL$1,$AK21)), 1, 0)</f>
        <v>1</v>
      </c>
      <c r="AM21" s="4">
        <f t="shared" si="119"/>
        <v>1</v>
      </c>
      <c r="AN21" s="4">
        <f t="shared" si="119"/>
        <v>1</v>
      </c>
      <c r="AO21" s="4">
        <f t="shared" si="119"/>
        <v>1</v>
      </c>
      <c r="AP21" s="4">
        <f t="shared" si="119"/>
        <v>1</v>
      </c>
      <c r="AQ21" s="4">
        <f t="shared" si="119"/>
        <v>1</v>
      </c>
      <c r="AR21" s="4">
        <f t="shared" si="119"/>
        <v>1</v>
      </c>
      <c r="AS21" s="4">
        <f t="shared" si="119"/>
        <v>0</v>
      </c>
      <c r="AU21" s="1" t="s">
        <v>48</v>
      </c>
      <c r="AV21" s="1">
        <f t="shared" si="7"/>
        <v>0</v>
      </c>
      <c r="AW21" s="1">
        <f t="shared" si="8"/>
        <v>1</v>
      </c>
      <c r="AX21" s="1">
        <f t="shared" si="9"/>
        <v>0</v>
      </c>
      <c r="AY21" s="1" t="s">
        <v>48</v>
      </c>
      <c r="BA21" s="1" t="s">
        <v>530</v>
      </c>
      <c r="BB21" s="4">
        <f t="shared" ref="BB21:BJ21" si="120">IF(ISNUMBER(SEARCH(BB$1,$BA21)), 1, 0)</f>
        <v>1</v>
      </c>
      <c r="BC21" s="4">
        <f t="shared" si="120"/>
        <v>1</v>
      </c>
      <c r="BD21" s="4">
        <f t="shared" si="120"/>
        <v>1</v>
      </c>
      <c r="BE21" s="4">
        <f t="shared" si="120"/>
        <v>1</v>
      </c>
      <c r="BF21" s="4">
        <f t="shared" si="120"/>
        <v>1</v>
      </c>
      <c r="BG21" s="4">
        <f t="shared" si="120"/>
        <v>1</v>
      </c>
      <c r="BH21" s="4">
        <f t="shared" si="120"/>
        <v>0</v>
      </c>
      <c r="BI21" s="4">
        <f t="shared" si="120"/>
        <v>1</v>
      </c>
      <c r="BJ21" s="4">
        <f t="shared" si="120"/>
        <v>1</v>
      </c>
      <c r="BK21" s="4">
        <f t="shared" si="11"/>
        <v>8</v>
      </c>
      <c r="BM21" s="1" t="s">
        <v>232</v>
      </c>
      <c r="BN21" s="1" t="s">
        <v>531</v>
      </c>
      <c r="BO21" s="4">
        <f t="shared" ref="BO21:BU21" si="121">IF(ISNUMBER(SEARCH(BO$1,$BN21)), 1, 0)</f>
        <v>1</v>
      </c>
      <c r="BP21" s="4">
        <f t="shared" si="121"/>
        <v>0</v>
      </c>
      <c r="BQ21" s="4">
        <f t="shared" si="121"/>
        <v>0</v>
      </c>
      <c r="BR21" s="4">
        <f t="shared" si="121"/>
        <v>1</v>
      </c>
      <c r="BS21" s="4">
        <f t="shared" si="121"/>
        <v>1</v>
      </c>
      <c r="BT21" s="4">
        <f t="shared" si="121"/>
        <v>1</v>
      </c>
      <c r="BU21" s="4">
        <f t="shared" si="121"/>
        <v>0</v>
      </c>
      <c r="BW21" s="1" t="s">
        <v>532</v>
      </c>
      <c r="BZ21" s="1" t="s">
        <v>533</v>
      </c>
      <c r="CM21" s="1" t="s">
        <v>47</v>
      </c>
      <c r="CQ21" s="1" t="s">
        <v>48</v>
      </c>
      <c r="CX21" s="1" t="s">
        <v>534</v>
      </c>
      <c r="CZ21" s="1" t="s">
        <v>214</v>
      </c>
      <c r="DC21" s="1" t="s">
        <v>180</v>
      </c>
    </row>
    <row r="22" spans="1:107" ht="15.75" customHeight="1" x14ac:dyDescent="0.25">
      <c r="A22" s="1" t="b">
        <v>1</v>
      </c>
      <c r="B22" s="3">
        <v>46164.850706018522</v>
      </c>
      <c r="C22" s="1" t="s">
        <v>559</v>
      </c>
      <c r="D22" s="1" t="s">
        <v>207</v>
      </c>
      <c r="E22" s="4">
        <f t="shared" ref="E22:K22" si="122">IF(ISNUMBER(SEARCH(E$1,$D22)), SEARCH(E$1,$D22), 0)</f>
        <v>1</v>
      </c>
      <c r="F22" s="4">
        <f t="shared" si="122"/>
        <v>30</v>
      </c>
      <c r="G22" s="4">
        <f t="shared" si="122"/>
        <v>0</v>
      </c>
      <c r="H22" s="4">
        <f t="shared" si="122"/>
        <v>0</v>
      </c>
      <c r="I22" s="4">
        <f t="shared" si="122"/>
        <v>0</v>
      </c>
      <c r="J22" s="4">
        <f t="shared" si="122"/>
        <v>0</v>
      </c>
      <c r="K22" s="4">
        <f t="shared" si="122"/>
        <v>0</v>
      </c>
      <c r="L22" s="4">
        <f t="shared" si="1"/>
        <v>30</v>
      </c>
      <c r="N22" s="1" t="s">
        <v>385</v>
      </c>
      <c r="O22" s="4">
        <f t="shared" ref="O22:T22" si="123">IF(ISNUMBER(SEARCH(O$1,$N22)), 1, 0)</f>
        <v>1</v>
      </c>
      <c r="P22" s="4">
        <f t="shared" si="123"/>
        <v>1</v>
      </c>
      <c r="Q22" s="4">
        <f t="shared" si="123"/>
        <v>0</v>
      </c>
      <c r="R22" s="4">
        <f t="shared" si="123"/>
        <v>1</v>
      </c>
      <c r="S22" s="4">
        <f t="shared" si="123"/>
        <v>1</v>
      </c>
      <c r="T22" s="4">
        <f t="shared" si="123"/>
        <v>0</v>
      </c>
      <c r="V22" s="1" t="s">
        <v>25</v>
      </c>
      <c r="W22" s="1" t="str">
        <f t="shared" si="69"/>
        <v>False</v>
      </c>
      <c r="X22" s="1" t="str">
        <f t="shared" si="69"/>
        <v>False</v>
      </c>
      <c r="Y22" s="1" t="str">
        <f t="shared" si="69"/>
        <v>False</v>
      </c>
      <c r="Z22" s="1" t="str">
        <f t="shared" si="69"/>
        <v>True</v>
      </c>
      <c r="AA22" s="1" t="str">
        <f t="shared" si="69"/>
        <v>False</v>
      </c>
      <c r="AB22" s="1" t="s">
        <v>560</v>
      </c>
      <c r="AC22" s="4">
        <f t="shared" ref="AC22:AH22" si="124">IF(ISNUMBER(SEARCH(AC$1,$AB22)), 1, 0)</f>
        <v>1</v>
      </c>
      <c r="AD22" s="4">
        <f t="shared" si="124"/>
        <v>0</v>
      </c>
      <c r="AE22" s="4">
        <f t="shared" si="124"/>
        <v>1</v>
      </c>
      <c r="AF22" s="4">
        <f t="shared" si="124"/>
        <v>0</v>
      </c>
      <c r="AG22" s="4">
        <f t="shared" si="124"/>
        <v>0</v>
      </c>
      <c r="AH22" s="4">
        <f t="shared" si="124"/>
        <v>1</v>
      </c>
      <c r="AI22" s="1">
        <f t="shared" si="5"/>
        <v>3</v>
      </c>
      <c r="AK22" s="1" t="s">
        <v>224</v>
      </c>
      <c r="AL22" s="4">
        <f t="shared" ref="AL22:AS22" si="125">IF(ISNUMBER(SEARCH(AL$1,$AK22)), 1, 0)</f>
        <v>1</v>
      </c>
      <c r="AM22" s="4">
        <f t="shared" si="125"/>
        <v>0</v>
      </c>
      <c r="AN22" s="4">
        <f t="shared" si="125"/>
        <v>1</v>
      </c>
      <c r="AO22" s="4">
        <f t="shared" si="125"/>
        <v>0</v>
      </c>
      <c r="AP22" s="4">
        <f t="shared" si="125"/>
        <v>0</v>
      </c>
      <c r="AQ22" s="4">
        <f t="shared" si="125"/>
        <v>1</v>
      </c>
      <c r="AR22" s="4">
        <f t="shared" si="125"/>
        <v>0</v>
      </c>
      <c r="AS22" s="4">
        <f t="shared" si="125"/>
        <v>0</v>
      </c>
      <c r="AU22" s="1" t="s">
        <v>47</v>
      </c>
      <c r="AV22" s="1">
        <f t="shared" si="7"/>
        <v>1</v>
      </c>
      <c r="AW22" s="1">
        <f t="shared" si="8"/>
        <v>0</v>
      </c>
      <c r="AX22" s="1">
        <f t="shared" si="9"/>
        <v>0</v>
      </c>
      <c r="AY22" s="1" t="s">
        <v>48</v>
      </c>
      <c r="BA22" s="1" t="s">
        <v>231</v>
      </c>
      <c r="BB22" s="4">
        <f t="shared" ref="BB22:BJ22" si="126">IF(ISNUMBER(SEARCH(BB$1,$BA22)), 1, 0)</f>
        <v>1</v>
      </c>
      <c r="BC22" s="4">
        <f t="shared" si="126"/>
        <v>1</v>
      </c>
      <c r="BD22" s="4">
        <f t="shared" si="126"/>
        <v>1</v>
      </c>
      <c r="BE22" s="4">
        <f t="shared" si="126"/>
        <v>1</v>
      </c>
      <c r="BF22" s="4">
        <f t="shared" si="126"/>
        <v>1</v>
      </c>
      <c r="BG22" s="4">
        <f t="shared" si="126"/>
        <v>1</v>
      </c>
      <c r="BH22" s="4">
        <f t="shared" si="126"/>
        <v>0</v>
      </c>
      <c r="BI22" s="4">
        <f t="shared" si="126"/>
        <v>0</v>
      </c>
      <c r="BJ22" s="4">
        <f t="shared" si="126"/>
        <v>1</v>
      </c>
      <c r="BK22" s="4">
        <f t="shared" si="11"/>
        <v>7</v>
      </c>
      <c r="BM22" s="1" t="s">
        <v>166</v>
      </c>
      <c r="BN22" s="1" t="s">
        <v>501</v>
      </c>
      <c r="BO22" s="4">
        <f t="shared" ref="BO22:BU22" si="127">IF(ISNUMBER(SEARCH(BO$1,$BN22)), 1, 0)</f>
        <v>1</v>
      </c>
      <c r="BP22" s="4">
        <f t="shared" si="127"/>
        <v>1</v>
      </c>
      <c r="BQ22" s="4">
        <f t="shared" si="127"/>
        <v>1</v>
      </c>
      <c r="BR22" s="4">
        <f t="shared" si="127"/>
        <v>1</v>
      </c>
      <c r="BS22" s="4">
        <f t="shared" si="127"/>
        <v>0</v>
      </c>
      <c r="BT22" s="4">
        <f t="shared" si="127"/>
        <v>1</v>
      </c>
      <c r="BU22" s="4">
        <f t="shared" si="127"/>
        <v>0</v>
      </c>
      <c r="CX22" s="1" t="s">
        <v>466</v>
      </c>
      <c r="CZ22" s="1" t="s">
        <v>178</v>
      </c>
      <c r="DB22" s="1" t="s">
        <v>561</v>
      </c>
      <c r="DC22" s="1" t="s">
        <v>238</v>
      </c>
    </row>
    <row r="23" spans="1:107" ht="15.75" customHeight="1" x14ac:dyDescent="0.25">
      <c r="A23" s="1" t="b">
        <v>1</v>
      </c>
      <c r="B23" s="3">
        <v>46162.902569444443</v>
      </c>
      <c r="C23" s="1" t="s">
        <v>455</v>
      </c>
      <c r="D23" s="1" t="s">
        <v>207</v>
      </c>
      <c r="E23" s="4">
        <f t="shared" ref="E23:K23" si="128">IF(ISNUMBER(SEARCH(E$1,$D23)), SEARCH(E$1,$D23), 0)</f>
        <v>1</v>
      </c>
      <c r="F23" s="4">
        <f t="shared" si="128"/>
        <v>30</v>
      </c>
      <c r="G23" s="4">
        <f t="shared" si="128"/>
        <v>0</v>
      </c>
      <c r="H23" s="4">
        <f t="shared" si="128"/>
        <v>0</v>
      </c>
      <c r="I23" s="4">
        <f t="shared" si="128"/>
        <v>0</v>
      </c>
      <c r="J23" s="4">
        <f t="shared" si="128"/>
        <v>0</v>
      </c>
      <c r="K23" s="4">
        <f t="shared" si="128"/>
        <v>0</v>
      </c>
      <c r="L23" s="4">
        <f t="shared" si="1"/>
        <v>30</v>
      </c>
      <c r="N23" s="1" t="s">
        <v>328</v>
      </c>
      <c r="O23" s="4">
        <f t="shared" ref="O23:T23" si="129">IF(ISNUMBER(SEARCH(O$1,$N23)), 1, 0)</f>
        <v>1</v>
      </c>
      <c r="P23" s="4">
        <f t="shared" si="129"/>
        <v>1</v>
      </c>
      <c r="Q23" s="4">
        <f t="shared" si="129"/>
        <v>1</v>
      </c>
      <c r="R23" s="4">
        <f t="shared" si="129"/>
        <v>0</v>
      </c>
      <c r="S23" s="4">
        <f t="shared" si="129"/>
        <v>0</v>
      </c>
      <c r="T23" s="4">
        <f t="shared" si="129"/>
        <v>0</v>
      </c>
      <c r="W23" s="1" t="str">
        <f t="shared" ref="W23:AA32" si="130">IF(W$1=$V23, "True", "False")</f>
        <v>False</v>
      </c>
      <c r="X23" s="1" t="str">
        <f t="shared" si="130"/>
        <v>False</v>
      </c>
      <c r="Y23" s="1" t="str">
        <f t="shared" si="130"/>
        <v>False</v>
      </c>
      <c r="Z23" s="1" t="str">
        <f t="shared" si="130"/>
        <v>False</v>
      </c>
      <c r="AA23" s="1" t="str">
        <f t="shared" si="130"/>
        <v>False</v>
      </c>
      <c r="AB23" s="1" t="s">
        <v>456</v>
      </c>
      <c r="AC23" s="4">
        <f t="shared" ref="AC23:AH23" si="131">IF(ISNUMBER(SEARCH(AC$1,$AB23)), 1, 0)</f>
        <v>1</v>
      </c>
      <c r="AD23" s="4">
        <f t="shared" si="131"/>
        <v>1</v>
      </c>
      <c r="AE23" s="4">
        <f t="shared" si="131"/>
        <v>0</v>
      </c>
      <c r="AF23" s="4">
        <f t="shared" si="131"/>
        <v>1</v>
      </c>
      <c r="AG23" s="4">
        <f t="shared" si="131"/>
        <v>0</v>
      </c>
      <c r="AH23" s="4">
        <f t="shared" si="131"/>
        <v>1</v>
      </c>
      <c r="AI23" s="1">
        <f t="shared" si="5"/>
        <v>4</v>
      </c>
      <c r="AK23" s="1" t="s">
        <v>246</v>
      </c>
      <c r="AL23" s="4">
        <f t="shared" ref="AL23:AS23" si="132">IF(ISNUMBER(SEARCH(AL$1,$AK23)), 1, 0)</f>
        <v>1</v>
      </c>
      <c r="AM23" s="4">
        <f t="shared" si="132"/>
        <v>1</v>
      </c>
      <c r="AN23" s="4">
        <f t="shared" si="132"/>
        <v>0</v>
      </c>
      <c r="AO23" s="4">
        <f t="shared" si="132"/>
        <v>1</v>
      </c>
      <c r="AP23" s="4">
        <f t="shared" si="132"/>
        <v>0</v>
      </c>
      <c r="AQ23" s="4">
        <f t="shared" si="132"/>
        <v>1</v>
      </c>
      <c r="AR23" s="4">
        <f t="shared" si="132"/>
        <v>0</v>
      </c>
      <c r="AS23" s="4">
        <f t="shared" si="132"/>
        <v>0</v>
      </c>
      <c r="AU23" s="1" t="s">
        <v>48</v>
      </c>
      <c r="AV23" s="1">
        <f t="shared" si="7"/>
        <v>0</v>
      </c>
      <c r="AW23" s="1">
        <f t="shared" si="8"/>
        <v>1</v>
      </c>
      <c r="AX23" s="1">
        <f t="shared" si="9"/>
        <v>0</v>
      </c>
      <c r="AY23" s="1" t="s">
        <v>48</v>
      </c>
      <c r="BA23" s="1" t="s">
        <v>457</v>
      </c>
      <c r="BB23" s="4">
        <f t="shared" ref="BB23:BJ23" si="133">IF(ISNUMBER(SEARCH(BB$1,$BA23)), 1, 0)</f>
        <v>0</v>
      </c>
      <c r="BC23" s="4">
        <f t="shared" si="133"/>
        <v>0</v>
      </c>
      <c r="BD23" s="4">
        <f t="shared" si="133"/>
        <v>0</v>
      </c>
      <c r="BE23" s="4">
        <f t="shared" si="133"/>
        <v>0</v>
      </c>
      <c r="BF23" s="4">
        <f t="shared" si="133"/>
        <v>1</v>
      </c>
      <c r="BG23" s="4">
        <f t="shared" si="133"/>
        <v>1</v>
      </c>
      <c r="BH23" s="4">
        <f t="shared" si="133"/>
        <v>0</v>
      </c>
      <c r="BI23" s="4">
        <f t="shared" si="133"/>
        <v>0</v>
      </c>
      <c r="BJ23" s="4">
        <f t="shared" si="133"/>
        <v>1</v>
      </c>
      <c r="BK23" s="4">
        <f t="shared" si="11"/>
        <v>3</v>
      </c>
      <c r="BM23" s="1" t="s">
        <v>166</v>
      </c>
      <c r="BN23" s="1" t="s">
        <v>458</v>
      </c>
      <c r="BO23" s="4">
        <f t="shared" ref="BO23:BU23" si="134">IF(ISNUMBER(SEARCH(BO$1,$BN23)), 1, 0)</f>
        <v>0</v>
      </c>
      <c r="BP23" s="4">
        <f t="shared" si="134"/>
        <v>1</v>
      </c>
      <c r="BQ23" s="4">
        <f t="shared" si="134"/>
        <v>1</v>
      </c>
      <c r="BR23" s="4">
        <f t="shared" si="134"/>
        <v>0</v>
      </c>
      <c r="BS23" s="4">
        <f t="shared" si="134"/>
        <v>0</v>
      </c>
      <c r="BT23" s="4">
        <f t="shared" si="134"/>
        <v>1</v>
      </c>
      <c r="BU23" s="4">
        <f t="shared" si="134"/>
        <v>1</v>
      </c>
      <c r="BW23" s="1" t="s">
        <v>212</v>
      </c>
      <c r="BZ23" s="1" t="s">
        <v>459</v>
      </c>
      <c r="CA23" s="1" t="s">
        <v>460</v>
      </c>
      <c r="CX23" s="1" t="s">
        <v>461</v>
      </c>
      <c r="CZ23" s="1" t="s">
        <v>462</v>
      </c>
      <c r="DC23" s="1" t="s">
        <v>238</v>
      </c>
    </row>
    <row r="24" spans="1:107" ht="15.75" customHeight="1" x14ac:dyDescent="0.25">
      <c r="A24" s="1" t="b">
        <v>1</v>
      </c>
      <c r="B24" s="3">
        <v>46151.013645833336</v>
      </c>
      <c r="C24" s="1" t="s">
        <v>226</v>
      </c>
      <c r="D24" s="1" t="s">
        <v>227</v>
      </c>
      <c r="E24" s="4">
        <f t="shared" ref="E24:K24" si="135">IF(ISNUMBER(SEARCH(E$1,$D24)), SEARCH(E$1,$D24), 0)</f>
        <v>1</v>
      </c>
      <c r="F24" s="4">
        <f t="shared" si="135"/>
        <v>30</v>
      </c>
      <c r="G24" s="4">
        <f t="shared" si="135"/>
        <v>0</v>
      </c>
      <c r="H24" s="4">
        <f t="shared" si="135"/>
        <v>0</v>
      </c>
      <c r="I24" s="4">
        <f t="shared" si="135"/>
        <v>0</v>
      </c>
      <c r="J24" s="4">
        <f t="shared" si="135"/>
        <v>0</v>
      </c>
      <c r="K24" s="4">
        <f t="shared" si="135"/>
        <v>0</v>
      </c>
      <c r="L24" s="4">
        <f t="shared" si="1"/>
        <v>30</v>
      </c>
      <c r="M24" s="1" t="s">
        <v>228</v>
      </c>
      <c r="N24" s="1" t="s">
        <v>229</v>
      </c>
      <c r="O24" s="4">
        <f t="shared" ref="O24:T24" si="136">IF(ISNUMBER(SEARCH(O$1,$N24)), 1, 0)</f>
        <v>1</v>
      </c>
      <c r="P24" s="4">
        <f t="shared" si="136"/>
        <v>0</v>
      </c>
      <c r="Q24" s="4">
        <f t="shared" si="136"/>
        <v>1</v>
      </c>
      <c r="R24" s="4">
        <f t="shared" si="136"/>
        <v>1</v>
      </c>
      <c r="S24" s="4">
        <f t="shared" si="136"/>
        <v>1</v>
      </c>
      <c r="T24" s="4">
        <f t="shared" si="136"/>
        <v>0</v>
      </c>
      <c r="V24" s="1" t="s">
        <v>26</v>
      </c>
      <c r="W24" s="1" t="str">
        <f t="shared" si="130"/>
        <v>False</v>
      </c>
      <c r="X24" s="1" t="str">
        <f t="shared" si="130"/>
        <v>False</v>
      </c>
      <c r="Y24" s="1" t="str">
        <f t="shared" si="130"/>
        <v>False</v>
      </c>
      <c r="Z24" s="1" t="str">
        <f t="shared" si="130"/>
        <v>False</v>
      </c>
      <c r="AA24" s="1" t="str">
        <f t="shared" si="130"/>
        <v>True</v>
      </c>
      <c r="AB24" s="1" t="s">
        <v>230</v>
      </c>
      <c r="AC24" s="4">
        <f t="shared" ref="AC24:AH24" si="137">IF(ISNUMBER(SEARCH(AC$1,$AB24)), 1, 0)</f>
        <v>1</v>
      </c>
      <c r="AD24" s="4">
        <f t="shared" si="137"/>
        <v>1</v>
      </c>
      <c r="AE24" s="4">
        <f t="shared" si="137"/>
        <v>0</v>
      </c>
      <c r="AF24" s="4">
        <f t="shared" si="137"/>
        <v>0</v>
      </c>
      <c r="AG24" s="4">
        <f t="shared" si="137"/>
        <v>0</v>
      </c>
      <c r="AH24" s="4">
        <f t="shared" si="137"/>
        <v>0</v>
      </c>
      <c r="AI24" s="1">
        <f t="shared" si="5"/>
        <v>2</v>
      </c>
      <c r="AK24" s="1" t="s">
        <v>189</v>
      </c>
      <c r="AL24" s="4">
        <f t="shared" ref="AL24:AS24" si="138">IF(ISNUMBER(SEARCH(AL$1,$AK24)), 1, 0)</f>
        <v>1</v>
      </c>
      <c r="AM24" s="4">
        <f t="shared" si="138"/>
        <v>1</v>
      </c>
      <c r="AN24" s="4">
        <f t="shared" si="138"/>
        <v>1</v>
      </c>
      <c r="AO24" s="4">
        <f t="shared" si="138"/>
        <v>1</v>
      </c>
      <c r="AP24" s="4">
        <f t="shared" si="138"/>
        <v>0</v>
      </c>
      <c r="AQ24" s="4">
        <f t="shared" si="138"/>
        <v>1</v>
      </c>
      <c r="AR24" s="4">
        <f t="shared" si="138"/>
        <v>0</v>
      </c>
      <c r="AS24" s="4">
        <f t="shared" si="138"/>
        <v>0</v>
      </c>
      <c r="AU24" s="1" t="s">
        <v>48</v>
      </c>
      <c r="AV24" s="1">
        <f t="shared" si="7"/>
        <v>0</v>
      </c>
      <c r="AW24" s="1">
        <f t="shared" si="8"/>
        <v>1</v>
      </c>
      <c r="AX24" s="1">
        <f t="shared" si="9"/>
        <v>0</v>
      </c>
      <c r="AY24" s="1" t="s">
        <v>48</v>
      </c>
      <c r="BA24" s="1" t="s">
        <v>231</v>
      </c>
      <c r="BB24" s="4">
        <f t="shared" ref="BB24:BJ24" si="139">IF(ISNUMBER(SEARCH(BB$1,$BA24)), 1, 0)</f>
        <v>1</v>
      </c>
      <c r="BC24" s="4">
        <f t="shared" si="139"/>
        <v>1</v>
      </c>
      <c r="BD24" s="4">
        <f t="shared" si="139"/>
        <v>1</v>
      </c>
      <c r="BE24" s="4">
        <f t="shared" si="139"/>
        <v>1</v>
      </c>
      <c r="BF24" s="4">
        <f t="shared" si="139"/>
        <v>1</v>
      </c>
      <c r="BG24" s="4">
        <f t="shared" si="139"/>
        <v>1</v>
      </c>
      <c r="BH24" s="4">
        <f t="shared" si="139"/>
        <v>0</v>
      </c>
      <c r="BI24" s="4">
        <f t="shared" si="139"/>
        <v>0</v>
      </c>
      <c r="BJ24" s="4">
        <f t="shared" si="139"/>
        <v>1</v>
      </c>
      <c r="BK24" s="4">
        <f t="shared" si="11"/>
        <v>7</v>
      </c>
      <c r="BM24" s="1" t="s">
        <v>232</v>
      </c>
      <c r="BN24" s="1" t="s">
        <v>233</v>
      </c>
      <c r="BO24" s="4">
        <f t="shared" ref="BO24:BU24" si="140">IF(ISNUMBER(SEARCH(BO$1,$BN24)), 1, 0)</f>
        <v>1</v>
      </c>
      <c r="BP24" s="4">
        <f t="shared" si="140"/>
        <v>0</v>
      </c>
      <c r="BQ24" s="4">
        <f t="shared" si="140"/>
        <v>1</v>
      </c>
      <c r="BR24" s="4">
        <f t="shared" si="140"/>
        <v>0</v>
      </c>
      <c r="BS24" s="4">
        <f t="shared" si="140"/>
        <v>0</v>
      </c>
      <c r="BT24" s="4">
        <f t="shared" si="140"/>
        <v>0</v>
      </c>
      <c r="BU24" s="4">
        <f t="shared" si="140"/>
        <v>0</v>
      </c>
      <c r="BW24" s="1" t="s">
        <v>169</v>
      </c>
      <c r="BZ24" s="1" t="s">
        <v>234</v>
      </c>
      <c r="CX24" s="1" t="s">
        <v>235</v>
      </c>
      <c r="CZ24" s="1" t="s">
        <v>236</v>
      </c>
      <c r="DB24" s="1" t="s">
        <v>237</v>
      </c>
      <c r="DC24" s="1" t="s">
        <v>238</v>
      </c>
    </row>
    <row r="25" spans="1:107" ht="15.75" customHeight="1" x14ac:dyDescent="0.25">
      <c r="A25" s="1" t="b">
        <v>0</v>
      </c>
      <c r="B25" s="3">
        <v>46167.317615740743</v>
      </c>
      <c r="C25" s="1" t="s">
        <v>680</v>
      </c>
      <c r="D25" s="1" t="s">
        <v>207</v>
      </c>
      <c r="E25" s="4">
        <f t="shared" ref="E25:K25" si="141">IF(ISNUMBER(SEARCH(E$1,$D25)), SEARCH(E$1,$D25), 0)</f>
        <v>1</v>
      </c>
      <c r="F25" s="4">
        <f t="shared" si="141"/>
        <v>30</v>
      </c>
      <c r="G25" s="4">
        <f t="shared" si="141"/>
        <v>0</v>
      </c>
      <c r="H25" s="4">
        <f t="shared" si="141"/>
        <v>0</v>
      </c>
      <c r="I25" s="4">
        <f t="shared" si="141"/>
        <v>0</v>
      </c>
      <c r="J25" s="4">
        <f t="shared" si="141"/>
        <v>0</v>
      </c>
      <c r="K25" s="4">
        <f t="shared" si="141"/>
        <v>0</v>
      </c>
      <c r="L25" s="4">
        <f t="shared" si="1"/>
        <v>30</v>
      </c>
      <c r="N25" s="1" t="s">
        <v>208</v>
      </c>
      <c r="O25" s="4">
        <f t="shared" ref="O25:T25" si="142">IF(ISNUMBER(SEARCH(O$1,$N25)), 1, 0)</f>
        <v>1</v>
      </c>
      <c r="P25" s="4">
        <f t="shared" si="142"/>
        <v>1</v>
      </c>
      <c r="Q25" s="4">
        <f t="shared" si="142"/>
        <v>0</v>
      </c>
      <c r="R25" s="4">
        <f t="shared" si="142"/>
        <v>1</v>
      </c>
      <c r="S25" s="4">
        <f t="shared" si="142"/>
        <v>0</v>
      </c>
      <c r="T25" s="4">
        <f t="shared" si="142"/>
        <v>0</v>
      </c>
      <c r="V25" s="1" t="s">
        <v>24</v>
      </c>
      <c r="W25" s="1" t="str">
        <f t="shared" si="130"/>
        <v>False</v>
      </c>
      <c r="X25" s="1" t="str">
        <f t="shared" si="130"/>
        <v>False</v>
      </c>
      <c r="Y25" s="1" t="str">
        <f t="shared" si="130"/>
        <v>True</v>
      </c>
      <c r="Z25" s="1" t="str">
        <f t="shared" si="130"/>
        <v>False</v>
      </c>
      <c r="AA25" s="1" t="str">
        <f t="shared" si="130"/>
        <v>False</v>
      </c>
      <c r="AB25" s="1" t="s">
        <v>487</v>
      </c>
      <c r="AC25" s="4">
        <f t="shared" ref="AC25:AH25" si="143">IF(ISNUMBER(SEARCH(AC$1,$AB25)), 1, 0)</f>
        <v>0</v>
      </c>
      <c r="AD25" s="4">
        <f t="shared" si="143"/>
        <v>0</v>
      </c>
      <c r="AE25" s="4">
        <f t="shared" si="143"/>
        <v>0</v>
      </c>
      <c r="AF25" s="4">
        <f t="shared" si="143"/>
        <v>1</v>
      </c>
      <c r="AG25" s="4">
        <f t="shared" si="143"/>
        <v>0</v>
      </c>
      <c r="AH25" s="4">
        <f t="shared" si="143"/>
        <v>1</v>
      </c>
      <c r="AI25" s="1">
        <f t="shared" si="5"/>
        <v>2</v>
      </c>
      <c r="AK25" s="1" t="s">
        <v>317</v>
      </c>
      <c r="AL25" s="4">
        <f t="shared" ref="AL25:AS25" si="144">IF(ISNUMBER(SEARCH(AL$1,$AK25)), 1, 0)</f>
        <v>0</v>
      </c>
      <c r="AM25" s="4">
        <f t="shared" si="144"/>
        <v>1</v>
      </c>
      <c r="AN25" s="4">
        <f t="shared" si="144"/>
        <v>0</v>
      </c>
      <c r="AO25" s="4">
        <f t="shared" si="144"/>
        <v>1</v>
      </c>
      <c r="AP25" s="4">
        <f t="shared" si="144"/>
        <v>1</v>
      </c>
      <c r="AQ25" s="4">
        <f t="shared" si="144"/>
        <v>1</v>
      </c>
      <c r="AR25" s="4">
        <f t="shared" si="144"/>
        <v>0</v>
      </c>
      <c r="AS25" s="4">
        <f t="shared" si="144"/>
        <v>0</v>
      </c>
      <c r="AU25" s="1" t="s">
        <v>47</v>
      </c>
      <c r="AV25" s="1">
        <f t="shared" si="7"/>
        <v>1</v>
      </c>
      <c r="AW25" s="1">
        <f t="shared" si="8"/>
        <v>0</v>
      </c>
      <c r="AX25" s="1">
        <f t="shared" si="9"/>
        <v>0</v>
      </c>
      <c r="AY25" s="1" t="s">
        <v>48</v>
      </c>
      <c r="BA25" s="1" t="s">
        <v>231</v>
      </c>
      <c r="BB25" s="4">
        <f t="shared" ref="BB25:BJ25" si="145">IF(ISNUMBER(SEARCH(BB$1,$BA25)), 1, 0)</f>
        <v>1</v>
      </c>
      <c r="BC25" s="4">
        <f t="shared" si="145"/>
        <v>1</v>
      </c>
      <c r="BD25" s="4">
        <f t="shared" si="145"/>
        <v>1</v>
      </c>
      <c r="BE25" s="4">
        <f t="shared" si="145"/>
        <v>1</v>
      </c>
      <c r="BF25" s="4">
        <f t="shared" si="145"/>
        <v>1</v>
      </c>
      <c r="BG25" s="4">
        <f t="shared" si="145"/>
        <v>1</v>
      </c>
      <c r="BH25" s="4">
        <f t="shared" si="145"/>
        <v>0</v>
      </c>
      <c r="BI25" s="4">
        <f t="shared" si="145"/>
        <v>0</v>
      </c>
      <c r="BJ25" s="4">
        <f t="shared" si="145"/>
        <v>1</v>
      </c>
      <c r="BK25" s="4">
        <f t="shared" si="11"/>
        <v>7</v>
      </c>
      <c r="BM25" s="1" t="s">
        <v>190</v>
      </c>
      <c r="BN25" s="1" t="s">
        <v>677</v>
      </c>
      <c r="BO25" s="4">
        <f t="shared" ref="BO25:BU25" si="146">IF(ISNUMBER(SEARCH(BO$1,$BN25)), 1, 0)</f>
        <v>0</v>
      </c>
      <c r="BP25" s="4">
        <f t="shared" si="146"/>
        <v>1</v>
      </c>
      <c r="BQ25" s="4">
        <f t="shared" si="146"/>
        <v>1</v>
      </c>
      <c r="BR25" s="4">
        <f t="shared" si="146"/>
        <v>0</v>
      </c>
      <c r="BS25" s="4">
        <f t="shared" si="146"/>
        <v>0</v>
      </c>
      <c r="BT25" s="4">
        <f t="shared" si="146"/>
        <v>1</v>
      </c>
      <c r="BU25" s="4">
        <f t="shared" si="146"/>
        <v>0</v>
      </c>
    </row>
    <row r="26" spans="1:107" ht="15.75" customHeight="1" x14ac:dyDescent="0.25">
      <c r="A26" s="1" t="b">
        <v>1</v>
      </c>
      <c r="B26" s="3">
        <v>46167.564583333333</v>
      </c>
      <c r="C26" s="1" t="s">
        <v>695</v>
      </c>
      <c r="D26" s="1" t="s">
        <v>207</v>
      </c>
      <c r="E26" s="4">
        <f t="shared" ref="E26:K26" si="147">IF(ISNUMBER(SEARCH(E$1,$D26)), SEARCH(E$1,$D26), 0)</f>
        <v>1</v>
      </c>
      <c r="F26" s="4">
        <f t="shared" si="147"/>
        <v>30</v>
      </c>
      <c r="G26" s="4">
        <f t="shared" si="147"/>
        <v>0</v>
      </c>
      <c r="H26" s="4">
        <f t="shared" si="147"/>
        <v>0</v>
      </c>
      <c r="I26" s="4">
        <f t="shared" si="147"/>
        <v>0</v>
      </c>
      <c r="J26" s="4">
        <f t="shared" si="147"/>
        <v>0</v>
      </c>
      <c r="K26" s="4">
        <f t="shared" si="147"/>
        <v>0</v>
      </c>
      <c r="L26" s="4">
        <f t="shared" si="1"/>
        <v>30</v>
      </c>
      <c r="N26" s="1" t="s">
        <v>240</v>
      </c>
      <c r="O26" s="4">
        <f t="shared" ref="O26:T26" si="148">IF(ISNUMBER(SEARCH(O$1,$N26)), 1, 0)</f>
        <v>1</v>
      </c>
      <c r="P26" s="4">
        <f t="shared" si="148"/>
        <v>1</v>
      </c>
      <c r="Q26" s="4">
        <f t="shared" si="148"/>
        <v>1</v>
      </c>
      <c r="R26" s="4">
        <f t="shared" si="148"/>
        <v>1</v>
      </c>
      <c r="S26" s="4">
        <f t="shared" si="148"/>
        <v>0</v>
      </c>
      <c r="T26" s="4">
        <f t="shared" si="148"/>
        <v>0</v>
      </c>
      <c r="V26" s="1" t="s">
        <v>26</v>
      </c>
      <c r="W26" s="1" t="str">
        <f t="shared" si="130"/>
        <v>False</v>
      </c>
      <c r="X26" s="1" t="str">
        <f t="shared" si="130"/>
        <v>False</v>
      </c>
      <c r="Y26" s="1" t="str">
        <f t="shared" si="130"/>
        <v>False</v>
      </c>
      <c r="Z26" s="1" t="str">
        <f t="shared" si="130"/>
        <v>False</v>
      </c>
      <c r="AA26" s="1" t="str">
        <f t="shared" si="130"/>
        <v>True</v>
      </c>
      <c r="AB26" s="1" t="s">
        <v>696</v>
      </c>
      <c r="AC26" s="4">
        <f t="shared" ref="AC26:AH26" si="149">IF(ISNUMBER(SEARCH(AC$1,$AB26)), 1, 0)</f>
        <v>0</v>
      </c>
      <c r="AD26" s="4">
        <f t="shared" si="149"/>
        <v>1</v>
      </c>
      <c r="AE26" s="4">
        <f t="shared" si="149"/>
        <v>0</v>
      </c>
      <c r="AF26" s="4">
        <f t="shared" si="149"/>
        <v>0</v>
      </c>
      <c r="AG26" s="4">
        <f t="shared" si="149"/>
        <v>0</v>
      </c>
      <c r="AH26" s="4">
        <f t="shared" si="149"/>
        <v>1</v>
      </c>
      <c r="AI26" s="1">
        <f t="shared" si="5"/>
        <v>2</v>
      </c>
      <c r="AK26" s="1" t="s">
        <v>470</v>
      </c>
      <c r="AL26" s="4">
        <f t="shared" ref="AL26:AS26" si="150">IF(ISNUMBER(SEARCH(AL$1,$AK26)), 1, 0)</f>
        <v>0</v>
      </c>
      <c r="AM26" s="4">
        <f t="shared" si="150"/>
        <v>1</v>
      </c>
      <c r="AN26" s="4">
        <f t="shared" si="150"/>
        <v>0</v>
      </c>
      <c r="AO26" s="4">
        <f t="shared" si="150"/>
        <v>1</v>
      </c>
      <c r="AP26" s="4">
        <f t="shared" si="150"/>
        <v>0</v>
      </c>
      <c r="AQ26" s="4">
        <f t="shared" si="150"/>
        <v>1</v>
      </c>
      <c r="AR26" s="4">
        <f t="shared" si="150"/>
        <v>0</v>
      </c>
      <c r="AS26" s="4">
        <f t="shared" si="150"/>
        <v>0</v>
      </c>
      <c r="AU26" s="1" t="s">
        <v>47</v>
      </c>
      <c r="AV26" s="1">
        <f t="shared" si="7"/>
        <v>1</v>
      </c>
      <c r="AW26" s="1">
        <f t="shared" si="8"/>
        <v>0</v>
      </c>
      <c r="AX26" s="1">
        <f t="shared" si="9"/>
        <v>0</v>
      </c>
      <c r="AY26" s="1" t="s">
        <v>48</v>
      </c>
      <c r="BA26" s="1" t="s">
        <v>318</v>
      </c>
      <c r="BB26" s="4">
        <f t="shared" ref="BB26:BJ26" si="151">IF(ISNUMBER(SEARCH(BB$1,$BA26)), 1, 0)</f>
        <v>0</v>
      </c>
      <c r="BC26" s="4">
        <f t="shared" si="151"/>
        <v>0</v>
      </c>
      <c r="BD26" s="4">
        <f t="shared" si="151"/>
        <v>1</v>
      </c>
      <c r="BE26" s="4">
        <f t="shared" si="151"/>
        <v>1</v>
      </c>
      <c r="BF26" s="4">
        <f t="shared" si="151"/>
        <v>1</v>
      </c>
      <c r="BG26" s="4">
        <f t="shared" si="151"/>
        <v>1</v>
      </c>
      <c r="BH26" s="4">
        <f t="shared" si="151"/>
        <v>0</v>
      </c>
      <c r="BI26" s="4">
        <f t="shared" si="151"/>
        <v>0</v>
      </c>
      <c r="BJ26" s="4">
        <f t="shared" si="151"/>
        <v>1</v>
      </c>
      <c r="BK26" s="4">
        <f t="shared" si="11"/>
        <v>5</v>
      </c>
      <c r="BM26" s="1" t="s">
        <v>166</v>
      </c>
      <c r="BN26" s="1" t="s">
        <v>697</v>
      </c>
      <c r="BO26" s="4">
        <f t="shared" ref="BO26:BU26" si="152">IF(ISNUMBER(SEARCH(BO$1,$BN26)), 1, 0)</f>
        <v>1</v>
      </c>
      <c r="BP26" s="4">
        <f t="shared" si="152"/>
        <v>0</v>
      </c>
      <c r="BQ26" s="4">
        <f t="shared" si="152"/>
        <v>0</v>
      </c>
      <c r="BR26" s="4">
        <f t="shared" si="152"/>
        <v>1</v>
      </c>
      <c r="BS26" s="4">
        <f t="shared" si="152"/>
        <v>0</v>
      </c>
      <c r="BT26" s="4">
        <f t="shared" si="152"/>
        <v>0</v>
      </c>
      <c r="BU26" s="4">
        <f t="shared" si="152"/>
        <v>0</v>
      </c>
      <c r="BV26" s="1" t="s">
        <v>698</v>
      </c>
      <c r="CX26" s="1" t="s">
        <v>643</v>
      </c>
      <c r="CZ26" s="1" t="s">
        <v>178</v>
      </c>
      <c r="DB26" s="1" t="s">
        <v>699</v>
      </c>
      <c r="DC26" s="1" t="s">
        <v>180</v>
      </c>
    </row>
    <row r="27" spans="1:107" ht="15.75" customHeight="1" x14ac:dyDescent="0.25">
      <c r="A27" s="1" t="b">
        <v>1</v>
      </c>
      <c r="B27" s="3">
        <v>46172.989675925928</v>
      </c>
      <c r="C27" s="1" t="s">
        <v>794</v>
      </c>
      <c r="D27" s="1" t="s">
        <v>207</v>
      </c>
      <c r="E27" s="4">
        <f t="shared" ref="E27:K27" si="153">IF(ISNUMBER(SEARCH(E$1,$D27)), SEARCH(E$1,$D27), 0)</f>
        <v>1</v>
      </c>
      <c r="F27" s="4">
        <f t="shared" si="153"/>
        <v>30</v>
      </c>
      <c r="G27" s="4">
        <f t="shared" si="153"/>
        <v>0</v>
      </c>
      <c r="H27" s="4">
        <f t="shared" si="153"/>
        <v>0</v>
      </c>
      <c r="I27" s="4">
        <f t="shared" si="153"/>
        <v>0</v>
      </c>
      <c r="J27" s="4">
        <f t="shared" si="153"/>
        <v>0</v>
      </c>
      <c r="K27" s="4">
        <f t="shared" si="153"/>
        <v>0</v>
      </c>
      <c r="L27" s="4">
        <f t="shared" si="1"/>
        <v>30</v>
      </c>
      <c r="N27" s="1" t="s">
        <v>240</v>
      </c>
      <c r="O27" s="4">
        <f t="shared" ref="O27:T27" si="154">IF(ISNUMBER(SEARCH(O$1,$N27)), 1, 0)</f>
        <v>1</v>
      </c>
      <c r="P27" s="4">
        <f t="shared" si="154"/>
        <v>1</v>
      </c>
      <c r="Q27" s="4">
        <f t="shared" si="154"/>
        <v>1</v>
      </c>
      <c r="R27" s="4">
        <f t="shared" si="154"/>
        <v>1</v>
      </c>
      <c r="S27" s="4">
        <f t="shared" si="154"/>
        <v>0</v>
      </c>
      <c r="T27" s="4">
        <f t="shared" si="154"/>
        <v>0</v>
      </c>
      <c r="W27" s="1" t="str">
        <f t="shared" si="130"/>
        <v>False</v>
      </c>
      <c r="X27" s="1" t="str">
        <f t="shared" si="130"/>
        <v>False</v>
      </c>
      <c r="Y27" s="1" t="str">
        <f t="shared" si="130"/>
        <v>False</v>
      </c>
      <c r="Z27" s="1" t="str">
        <f t="shared" si="130"/>
        <v>False</v>
      </c>
      <c r="AA27" s="1" t="str">
        <f t="shared" si="130"/>
        <v>False</v>
      </c>
      <c r="AB27" s="1" t="s">
        <v>477</v>
      </c>
      <c r="AC27" s="4">
        <f t="shared" ref="AC27:AH27" si="155">IF(ISNUMBER(SEARCH(AC$1,$AB27)), 1, 0)</f>
        <v>1</v>
      </c>
      <c r="AD27" s="4">
        <f t="shared" si="155"/>
        <v>1</v>
      </c>
      <c r="AE27" s="4">
        <f t="shared" si="155"/>
        <v>0</v>
      </c>
      <c r="AF27" s="4">
        <f t="shared" si="155"/>
        <v>0</v>
      </c>
      <c r="AG27" s="4">
        <f t="shared" si="155"/>
        <v>0</v>
      </c>
      <c r="AH27" s="4">
        <f t="shared" si="155"/>
        <v>1</v>
      </c>
      <c r="AI27" s="1">
        <f t="shared" si="5"/>
        <v>3</v>
      </c>
      <c r="AK27" s="1" t="s">
        <v>470</v>
      </c>
      <c r="AL27" s="4">
        <f t="shared" ref="AL27:AS27" si="156">IF(ISNUMBER(SEARCH(AL$1,$AK27)), 1, 0)</f>
        <v>0</v>
      </c>
      <c r="AM27" s="4">
        <f t="shared" si="156"/>
        <v>1</v>
      </c>
      <c r="AN27" s="4">
        <f t="shared" si="156"/>
        <v>0</v>
      </c>
      <c r="AO27" s="4">
        <f t="shared" si="156"/>
        <v>1</v>
      </c>
      <c r="AP27" s="4">
        <f t="shared" si="156"/>
        <v>0</v>
      </c>
      <c r="AQ27" s="4">
        <f t="shared" si="156"/>
        <v>1</v>
      </c>
      <c r="AR27" s="4">
        <f t="shared" si="156"/>
        <v>0</v>
      </c>
      <c r="AS27" s="4">
        <f t="shared" si="156"/>
        <v>0</v>
      </c>
      <c r="AU27" s="1" t="s">
        <v>48</v>
      </c>
      <c r="AV27" s="1">
        <f t="shared" si="7"/>
        <v>0</v>
      </c>
      <c r="AW27" s="1">
        <f t="shared" si="8"/>
        <v>1</v>
      </c>
      <c r="AX27" s="1">
        <f t="shared" si="9"/>
        <v>0</v>
      </c>
      <c r="AY27" s="1" t="s">
        <v>48</v>
      </c>
      <c r="BA27" s="1" t="s">
        <v>457</v>
      </c>
      <c r="BB27" s="4">
        <f t="shared" ref="BB27:BJ27" si="157">IF(ISNUMBER(SEARCH(BB$1,$BA27)), 1, 0)</f>
        <v>0</v>
      </c>
      <c r="BC27" s="4">
        <f t="shared" si="157"/>
        <v>0</v>
      </c>
      <c r="BD27" s="4">
        <f t="shared" si="157"/>
        <v>0</v>
      </c>
      <c r="BE27" s="4">
        <f t="shared" si="157"/>
        <v>0</v>
      </c>
      <c r="BF27" s="4">
        <f t="shared" si="157"/>
        <v>1</v>
      </c>
      <c r="BG27" s="4">
        <f t="shared" si="157"/>
        <v>1</v>
      </c>
      <c r="BH27" s="4">
        <f t="shared" si="157"/>
        <v>0</v>
      </c>
      <c r="BI27" s="4">
        <f t="shared" si="157"/>
        <v>0</v>
      </c>
      <c r="BJ27" s="4">
        <f t="shared" si="157"/>
        <v>1</v>
      </c>
      <c r="BK27" s="4">
        <f t="shared" si="11"/>
        <v>3</v>
      </c>
      <c r="BM27" s="1" t="s">
        <v>232</v>
      </c>
      <c r="BN27" s="1" t="s">
        <v>677</v>
      </c>
      <c r="BO27" s="4">
        <f t="shared" ref="BO27:BU27" si="158">IF(ISNUMBER(SEARCH(BO$1,$BN27)), 1, 0)</f>
        <v>0</v>
      </c>
      <c r="BP27" s="4">
        <f t="shared" si="158"/>
        <v>1</v>
      </c>
      <c r="BQ27" s="4">
        <f t="shared" si="158"/>
        <v>1</v>
      </c>
      <c r="BR27" s="4">
        <f t="shared" si="158"/>
        <v>0</v>
      </c>
      <c r="BS27" s="4">
        <f t="shared" si="158"/>
        <v>0</v>
      </c>
      <c r="BT27" s="4">
        <f t="shared" si="158"/>
        <v>1</v>
      </c>
      <c r="BU27" s="4">
        <f t="shared" si="158"/>
        <v>0</v>
      </c>
      <c r="BW27" s="1" t="s">
        <v>255</v>
      </c>
      <c r="BY27" s="1" t="s">
        <v>795</v>
      </c>
      <c r="BZ27" s="1" t="s">
        <v>278</v>
      </c>
      <c r="CX27" s="1" t="s">
        <v>550</v>
      </c>
      <c r="CZ27" s="1" t="s">
        <v>449</v>
      </c>
      <c r="DC27" s="1" t="s">
        <v>180</v>
      </c>
    </row>
    <row r="28" spans="1:107" ht="15.75" customHeight="1" x14ac:dyDescent="0.25">
      <c r="A28" s="1" t="b">
        <v>1</v>
      </c>
      <c r="B28" s="3">
        <v>46165.181793981479</v>
      </c>
      <c r="C28" s="1" t="s">
        <v>582</v>
      </c>
      <c r="D28" s="1" t="s">
        <v>207</v>
      </c>
      <c r="E28" s="4">
        <f t="shared" ref="E28:K28" si="159">IF(ISNUMBER(SEARCH(E$1,$D28)), SEARCH(E$1,$D28), 0)</f>
        <v>1</v>
      </c>
      <c r="F28" s="4">
        <f t="shared" si="159"/>
        <v>30</v>
      </c>
      <c r="G28" s="4">
        <f t="shared" si="159"/>
        <v>0</v>
      </c>
      <c r="H28" s="4">
        <f t="shared" si="159"/>
        <v>0</v>
      </c>
      <c r="I28" s="4">
        <f t="shared" si="159"/>
        <v>0</v>
      </c>
      <c r="J28" s="4">
        <f t="shared" si="159"/>
        <v>0</v>
      </c>
      <c r="K28" s="4">
        <f t="shared" si="159"/>
        <v>0</v>
      </c>
      <c r="L28" s="4">
        <f t="shared" si="1"/>
        <v>30</v>
      </c>
      <c r="N28" s="1" t="s">
        <v>323</v>
      </c>
      <c r="O28" s="4">
        <f t="shared" ref="O28:T28" si="160">IF(ISNUMBER(SEARCH(O$1,$N28)), 1, 0)</f>
        <v>1</v>
      </c>
      <c r="P28" s="4">
        <f t="shared" si="160"/>
        <v>1</v>
      </c>
      <c r="Q28" s="4">
        <f t="shared" si="160"/>
        <v>1</v>
      </c>
      <c r="R28" s="4">
        <f t="shared" si="160"/>
        <v>1</v>
      </c>
      <c r="S28" s="4">
        <f t="shared" si="160"/>
        <v>0</v>
      </c>
      <c r="T28" s="4">
        <f t="shared" si="160"/>
        <v>1</v>
      </c>
      <c r="V28" s="1" t="s">
        <v>26</v>
      </c>
      <c r="W28" s="1" t="str">
        <f t="shared" si="130"/>
        <v>False</v>
      </c>
      <c r="X28" s="1" t="str">
        <f t="shared" si="130"/>
        <v>False</v>
      </c>
      <c r="Y28" s="1" t="str">
        <f t="shared" si="130"/>
        <v>False</v>
      </c>
      <c r="Z28" s="1" t="str">
        <f t="shared" si="130"/>
        <v>False</v>
      </c>
      <c r="AA28" s="1" t="str">
        <f t="shared" si="130"/>
        <v>True</v>
      </c>
      <c r="AB28" s="1" t="s">
        <v>583</v>
      </c>
      <c r="AC28" s="4">
        <f t="shared" ref="AC28:AH28" si="161">IF(ISNUMBER(SEARCH(AC$1,$AB28)), 1, 0)</f>
        <v>1</v>
      </c>
      <c r="AD28" s="4">
        <f t="shared" si="161"/>
        <v>0</v>
      </c>
      <c r="AE28" s="4">
        <f t="shared" si="161"/>
        <v>0</v>
      </c>
      <c r="AF28" s="4">
        <f t="shared" si="161"/>
        <v>1</v>
      </c>
      <c r="AG28" s="4">
        <f t="shared" si="161"/>
        <v>1</v>
      </c>
      <c r="AH28" s="4">
        <f t="shared" si="161"/>
        <v>1</v>
      </c>
      <c r="AI28" s="1">
        <f t="shared" si="5"/>
        <v>4</v>
      </c>
      <c r="AK28" s="1" t="s">
        <v>470</v>
      </c>
      <c r="AL28" s="4">
        <f t="shared" ref="AL28:AS28" si="162">IF(ISNUMBER(SEARCH(AL$1,$AK28)), 1, 0)</f>
        <v>0</v>
      </c>
      <c r="AM28" s="4">
        <f t="shared" si="162"/>
        <v>1</v>
      </c>
      <c r="AN28" s="4">
        <f t="shared" si="162"/>
        <v>0</v>
      </c>
      <c r="AO28" s="4">
        <f t="shared" si="162"/>
        <v>1</v>
      </c>
      <c r="AP28" s="4">
        <f t="shared" si="162"/>
        <v>0</v>
      </c>
      <c r="AQ28" s="4">
        <f t="shared" si="162"/>
        <v>1</v>
      </c>
      <c r="AR28" s="4">
        <f t="shared" si="162"/>
        <v>0</v>
      </c>
      <c r="AS28" s="4">
        <f t="shared" si="162"/>
        <v>0</v>
      </c>
      <c r="AU28" s="1" t="s">
        <v>48</v>
      </c>
      <c r="AV28" s="1">
        <f t="shared" si="7"/>
        <v>0</v>
      </c>
      <c r="AW28" s="1">
        <f t="shared" si="8"/>
        <v>1</v>
      </c>
      <c r="AX28" s="1">
        <f t="shared" si="9"/>
        <v>0</v>
      </c>
      <c r="AY28" s="1" t="s">
        <v>48</v>
      </c>
      <c r="BA28" s="1" t="s">
        <v>371</v>
      </c>
      <c r="BB28" s="4">
        <f t="shared" ref="BB28:BJ28" si="163">IF(ISNUMBER(SEARCH(BB$1,$BA28)), 1, 0)</f>
        <v>1</v>
      </c>
      <c r="BC28" s="4">
        <f t="shared" si="163"/>
        <v>1</v>
      </c>
      <c r="BD28" s="4">
        <f t="shared" si="163"/>
        <v>1</v>
      </c>
      <c r="BE28" s="4">
        <f t="shared" si="163"/>
        <v>0</v>
      </c>
      <c r="BF28" s="4">
        <f t="shared" si="163"/>
        <v>1</v>
      </c>
      <c r="BG28" s="4">
        <f t="shared" si="163"/>
        <v>1</v>
      </c>
      <c r="BH28" s="4">
        <f t="shared" si="163"/>
        <v>0</v>
      </c>
      <c r="BI28" s="4">
        <f t="shared" si="163"/>
        <v>0</v>
      </c>
      <c r="BJ28" s="4">
        <f t="shared" si="163"/>
        <v>1</v>
      </c>
      <c r="BK28" s="4">
        <f t="shared" si="11"/>
        <v>6</v>
      </c>
      <c r="BM28" s="1" t="s">
        <v>190</v>
      </c>
      <c r="BN28" s="1" t="s">
        <v>584</v>
      </c>
      <c r="BO28" s="4">
        <f t="shared" ref="BO28:BU28" si="164">IF(ISNUMBER(SEARCH(BO$1,$BN28)), 1, 0)</f>
        <v>1</v>
      </c>
      <c r="BP28" s="4">
        <f t="shared" si="164"/>
        <v>0</v>
      </c>
      <c r="BQ28" s="4">
        <f t="shared" si="164"/>
        <v>0</v>
      </c>
      <c r="BR28" s="4">
        <f t="shared" si="164"/>
        <v>0</v>
      </c>
      <c r="BS28" s="4">
        <f t="shared" si="164"/>
        <v>0</v>
      </c>
      <c r="BT28" s="4">
        <f t="shared" si="164"/>
        <v>1</v>
      </c>
      <c r="BU28" s="4">
        <f t="shared" si="164"/>
        <v>0</v>
      </c>
      <c r="BV28" s="1" t="s">
        <v>585</v>
      </c>
      <c r="BW28" s="1" t="s">
        <v>220</v>
      </c>
      <c r="BY28" s="1" t="s">
        <v>586</v>
      </c>
      <c r="CX28" s="1" t="s">
        <v>587</v>
      </c>
      <c r="CY28" s="1" t="s">
        <v>588</v>
      </c>
      <c r="CZ28" s="1" t="s">
        <v>178</v>
      </c>
      <c r="DB28" s="1" t="s">
        <v>589</v>
      </c>
      <c r="DC28" s="1" t="s">
        <v>180</v>
      </c>
    </row>
    <row r="29" spans="1:107" ht="15.75" customHeight="1" x14ac:dyDescent="0.25">
      <c r="A29" s="1" t="b">
        <v>1</v>
      </c>
      <c r="B29" s="3">
        <v>46169.416261574072</v>
      </c>
      <c r="C29" s="1" t="s">
        <v>740</v>
      </c>
      <c r="D29" s="1" t="s">
        <v>207</v>
      </c>
      <c r="E29" s="4">
        <f t="shared" ref="E29:K29" si="165">IF(ISNUMBER(SEARCH(E$1,$D29)), SEARCH(E$1,$D29), 0)</f>
        <v>1</v>
      </c>
      <c r="F29" s="4">
        <f t="shared" si="165"/>
        <v>30</v>
      </c>
      <c r="G29" s="4">
        <f t="shared" si="165"/>
        <v>0</v>
      </c>
      <c r="H29" s="4">
        <f t="shared" si="165"/>
        <v>0</v>
      </c>
      <c r="I29" s="4">
        <f t="shared" si="165"/>
        <v>0</v>
      </c>
      <c r="J29" s="4">
        <f t="shared" si="165"/>
        <v>0</v>
      </c>
      <c r="K29" s="4">
        <f t="shared" si="165"/>
        <v>0</v>
      </c>
      <c r="L29" s="4">
        <f t="shared" si="1"/>
        <v>30</v>
      </c>
      <c r="N29" s="1" t="s">
        <v>187</v>
      </c>
      <c r="O29" s="4">
        <f t="shared" ref="O29:T29" si="166">IF(ISNUMBER(SEARCH(O$1,$N29)), 1, 0)</f>
        <v>1</v>
      </c>
      <c r="P29" s="4">
        <f t="shared" si="166"/>
        <v>1</v>
      </c>
      <c r="Q29" s="4">
        <f t="shared" si="166"/>
        <v>1</v>
      </c>
      <c r="R29" s="4">
        <f t="shared" si="166"/>
        <v>1</v>
      </c>
      <c r="S29" s="4">
        <f t="shared" si="166"/>
        <v>1</v>
      </c>
      <c r="T29" s="4">
        <f t="shared" si="166"/>
        <v>1</v>
      </c>
      <c r="W29" s="1" t="str">
        <f t="shared" si="130"/>
        <v>False</v>
      </c>
      <c r="X29" s="1" t="str">
        <f t="shared" si="130"/>
        <v>False</v>
      </c>
      <c r="Y29" s="1" t="str">
        <f t="shared" si="130"/>
        <v>False</v>
      </c>
      <c r="Z29" s="1" t="str">
        <f t="shared" si="130"/>
        <v>False</v>
      </c>
      <c r="AA29" s="1" t="str">
        <f t="shared" si="130"/>
        <v>False</v>
      </c>
      <c r="AB29" s="1" t="s">
        <v>741</v>
      </c>
      <c r="AC29" s="4">
        <f t="shared" ref="AC29:AH29" si="167">IF(ISNUMBER(SEARCH(AC$1,$AB29)), 1, 0)</f>
        <v>1</v>
      </c>
      <c r="AD29" s="4">
        <f t="shared" si="167"/>
        <v>0</v>
      </c>
      <c r="AE29" s="4">
        <f t="shared" si="167"/>
        <v>1</v>
      </c>
      <c r="AF29" s="4">
        <f t="shared" si="167"/>
        <v>1</v>
      </c>
      <c r="AG29" s="4">
        <f t="shared" si="167"/>
        <v>0</v>
      </c>
      <c r="AH29" s="4">
        <f t="shared" si="167"/>
        <v>1</v>
      </c>
      <c r="AI29" s="1">
        <f t="shared" si="5"/>
        <v>4</v>
      </c>
      <c r="AK29" s="1" t="s">
        <v>470</v>
      </c>
      <c r="AL29" s="4">
        <f t="shared" ref="AL29:AS29" si="168">IF(ISNUMBER(SEARCH(AL$1,$AK29)), 1, 0)</f>
        <v>0</v>
      </c>
      <c r="AM29" s="4">
        <f t="shared" si="168"/>
        <v>1</v>
      </c>
      <c r="AN29" s="4">
        <f t="shared" si="168"/>
        <v>0</v>
      </c>
      <c r="AO29" s="4">
        <f t="shared" si="168"/>
        <v>1</v>
      </c>
      <c r="AP29" s="4">
        <f t="shared" si="168"/>
        <v>0</v>
      </c>
      <c r="AQ29" s="4">
        <f t="shared" si="168"/>
        <v>1</v>
      </c>
      <c r="AR29" s="4">
        <f t="shared" si="168"/>
        <v>0</v>
      </c>
      <c r="AS29" s="4">
        <f t="shared" si="168"/>
        <v>0</v>
      </c>
      <c r="AU29" s="1" t="s">
        <v>48</v>
      </c>
      <c r="AV29" s="1">
        <f t="shared" si="7"/>
        <v>0</v>
      </c>
      <c r="AW29" s="1">
        <f t="shared" si="8"/>
        <v>1</v>
      </c>
      <c r="AX29" s="1">
        <f t="shared" si="9"/>
        <v>0</v>
      </c>
      <c r="AY29" s="1" t="s">
        <v>48</v>
      </c>
      <c r="BA29" s="1" t="s">
        <v>247</v>
      </c>
      <c r="BB29" s="4">
        <f t="shared" ref="BB29:BJ29" si="169">IF(ISNUMBER(SEARCH(BB$1,$BA29)), 1, 0)</f>
        <v>1</v>
      </c>
      <c r="BC29" s="4">
        <f t="shared" si="169"/>
        <v>1</v>
      </c>
      <c r="BD29" s="4">
        <f t="shared" si="169"/>
        <v>1</v>
      </c>
      <c r="BE29" s="4">
        <f t="shared" si="169"/>
        <v>1</v>
      </c>
      <c r="BF29" s="4">
        <f t="shared" si="169"/>
        <v>1</v>
      </c>
      <c r="BG29" s="4">
        <f t="shared" si="169"/>
        <v>0</v>
      </c>
      <c r="BH29" s="4">
        <f t="shared" si="169"/>
        <v>1</v>
      </c>
      <c r="BI29" s="4">
        <f t="shared" si="169"/>
        <v>0</v>
      </c>
      <c r="BJ29" s="4">
        <f t="shared" si="169"/>
        <v>1</v>
      </c>
      <c r="BK29" s="4">
        <f t="shared" si="11"/>
        <v>7</v>
      </c>
      <c r="BM29" s="1" t="s">
        <v>232</v>
      </c>
      <c r="BN29" s="1" t="s">
        <v>441</v>
      </c>
      <c r="BO29" s="4">
        <f t="shared" ref="BO29:BU29" si="170">IF(ISNUMBER(SEARCH(BO$1,$BN29)), 1, 0)</f>
        <v>0</v>
      </c>
      <c r="BP29" s="4">
        <f t="shared" si="170"/>
        <v>1</v>
      </c>
      <c r="BQ29" s="4">
        <f t="shared" si="170"/>
        <v>0</v>
      </c>
      <c r="BR29" s="4">
        <f t="shared" si="170"/>
        <v>1</v>
      </c>
      <c r="BS29" s="4">
        <f t="shared" si="170"/>
        <v>1</v>
      </c>
      <c r="BT29" s="4">
        <f t="shared" si="170"/>
        <v>0</v>
      </c>
      <c r="BU29" s="4">
        <f t="shared" si="170"/>
        <v>0</v>
      </c>
      <c r="BW29" s="1" t="s">
        <v>212</v>
      </c>
      <c r="CX29" s="1" t="s">
        <v>686</v>
      </c>
      <c r="CZ29" s="1" t="s">
        <v>742</v>
      </c>
      <c r="DC29" s="1" t="s">
        <v>180</v>
      </c>
    </row>
    <row r="30" spans="1:107" ht="15.75" customHeight="1" x14ac:dyDescent="0.25">
      <c r="A30" s="1" t="b">
        <v>0</v>
      </c>
      <c r="B30" s="3">
        <v>46167.783055555556</v>
      </c>
      <c r="C30" s="1" t="s">
        <v>708</v>
      </c>
      <c r="D30" s="1" t="s">
        <v>207</v>
      </c>
      <c r="E30" s="4">
        <f t="shared" ref="E30:K30" si="171">IF(ISNUMBER(SEARCH(E$1,$D30)), SEARCH(E$1,$D30), 0)</f>
        <v>1</v>
      </c>
      <c r="F30" s="4">
        <f t="shared" si="171"/>
        <v>30</v>
      </c>
      <c r="G30" s="4">
        <f t="shared" si="171"/>
        <v>0</v>
      </c>
      <c r="H30" s="4">
        <f t="shared" si="171"/>
        <v>0</v>
      </c>
      <c r="I30" s="4">
        <f t="shared" si="171"/>
        <v>0</v>
      </c>
      <c r="J30" s="4">
        <f t="shared" si="171"/>
        <v>0</v>
      </c>
      <c r="K30" s="4">
        <f t="shared" si="171"/>
        <v>0</v>
      </c>
      <c r="L30" s="4">
        <f t="shared" si="1"/>
        <v>30</v>
      </c>
      <c r="N30" s="1" t="s">
        <v>14</v>
      </c>
      <c r="O30" s="4">
        <f t="shared" ref="O30:T30" si="172">IF(ISNUMBER(SEARCH(O$1,$N30)), 1, 0)</f>
        <v>1</v>
      </c>
      <c r="P30" s="4">
        <f t="shared" si="172"/>
        <v>0</v>
      </c>
      <c r="Q30" s="4">
        <f t="shared" si="172"/>
        <v>0</v>
      </c>
      <c r="R30" s="4">
        <f t="shared" si="172"/>
        <v>0</v>
      </c>
      <c r="S30" s="4">
        <f t="shared" si="172"/>
        <v>0</v>
      </c>
      <c r="T30" s="4">
        <f t="shared" si="172"/>
        <v>0</v>
      </c>
      <c r="V30" s="1" t="s">
        <v>25</v>
      </c>
      <c r="W30" s="1" t="str">
        <f t="shared" si="130"/>
        <v>False</v>
      </c>
      <c r="X30" s="1" t="str">
        <f t="shared" si="130"/>
        <v>False</v>
      </c>
      <c r="Y30" s="1" t="str">
        <f t="shared" si="130"/>
        <v>False</v>
      </c>
      <c r="Z30" s="1" t="str">
        <f t="shared" si="130"/>
        <v>True</v>
      </c>
      <c r="AA30" s="1" t="str">
        <f t="shared" si="130"/>
        <v>False</v>
      </c>
      <c r="AB30" s="1" t="s">
        <v>28</v>
      </c>
      <c r="AC30" s="4">
        <f t="shared" ref="AC30:AH30" si="173">IF(ISNUMBER(SEARCH(AC$1,$AB30)), 1, 0)</f>
        <v>1</v>
      </c>
      <c r="AD30" s="4">
        <f t="shared" si="173"/>
        <v>0</v>
      </c>
      <c r="AE30" s="4">
        <f t="shared" si="173"/>
        <v>0</v>
      </c>
      <c r="AF30" s="4">
        <f t="shared" si="173"/>
        <v>0</v>
      </c>
      <c r="AG30" s="4">
        <f t="shared" si="173"/>
        <v>0</v>
      </c>
      <c r="AH30" s="4">
        <f t="shared" si="173"/>
        <v>0</v>
      </c>
      <c r="AI30" s="1">
        <f t="shared" si="5"/>
        <v>1</v>
      </c>
      <c r="AK30" s="1" t="s">
        <v>470</v>
      </c>
      <c r="AL30" s="4">
        <f t="shared" ref="AL30:AS30" si="174">IF(ISNUMBER(SEARCH(AL$1,$AK30)), 1, 0)</f>
        <v>0</v>
      </c>
      <c r="AM30" s="4">
        <f t="shared" si="174"/>
        <v>1</v>
      </c>
      <c r="AN30" s="4">
        <f t="shared" si="174"/>
        <v>0</v>
      </c>
      <c r="AO30" s="4">
        <f t="shared" si="174"/>
        <v>1</v>
      </c>
      <c r="AP30" s="4">
        <f t="shared" si="174"/>
        <v>0</v>
      </c>
      <c r="AQ30" s="4">
        <f t="shared" si="174"/>
        <v>1</v>
      </c>
      <c r="AR30" s="4">
        <f t="shared" si="174"/>
        <v>0</v>
      </c>
      <c r="AS30" s="4">
        <f t="shared" si="174"/>
        <v>0</v>
      </c>
      <c r="AU30" s="1" t="s">
        <v>49</v>
      </c>
      <c r="AV30" s="1">
        <f t="shared" si="7"/>
        <v>0</v>
      </c>
      <c r="AW30" s="1">
        <f t="shared" si="8"/>
        <v>0</v>
      </c>
      <c r="AX30" s="1">
        <f t="shared" si="9"/>
        <v>1</v>
      </c>
      <c r="AY30" s="1" t="s">
        <v>48</v>
      </c>
      <c r="BA30" s="1" t="s">
        <v>581</v>
      </c>
      <c r="BB30" s="4">
        <f t="shared" ref="BB30:BJ30" si="175">IF(ISNUMBER(SEARCH(BB$1,$BA30)), 1, 0)</f>
        <v>0</v>
      </c>
      <c r="BC30" s="4">
        <f t="shared" si="175"/>
        <v>0</v>
      </c>
      <c r="BD30" s="4">
        <f t="shared" si="175"/>
        <v>0</v>
      </c>
      <c r="BE30" s="4">
        <f t="shared" si="175"/>
        <v>0</v>
      </c>
      <c r="BF30" s="4">
        <f t="shared" si="175"/>
        <v>0</v>
      </c>
      <c r="BG30" s="4">
        <f t="shared" si="175"/>
        <v>1</v>
      </c>
      <c r="BH30" s="4">
        <f t="shared" si="175"/>
        <v>0</v>
      </c>
      <c r="BI30" s="4">
        <f t="shared" si="175"/>
        <v>1</v>
      </c>
      <c r="BJ30" s="4">
        <f t="shared" si="175"/>
        <v>1</v>
      </c>
      <c r="BK30" s="4">
        <f t="shared" si="11"/>
        <v>3</v>
      </c>
      <c r="BM30" s="1" t="s">
        <v>218</v>
      </c>
      <c r="BN30" s="1" t="s">
        <v>72</v>
      </c>
      <c r="BO30" s="4">
        <f t="shared" ref="BO30:BU30" si="176">IF(ISNUMBER(SEARCH(BO$1,$BN30)), 1, 0)</f>
        <v>0</v>
      </c>
      <c r="BP30" s="4">
        <f t="shared" si="176"/>
        <v>0</v>
      </c>
      <c r="BQ30" s="4">
        <f t="shared" si="176"/>
        <v>0</v>
      </c>
      <c r="BR30" s="4">
        <f t="shared" si="176"/>
        <v>0</v>
      </c>
      <c r="BS30" s="4">
        <f t="shared" si="176"/>
        <v>0</v>
      </c>
      <c r="BT30" s="4">
        <f t="shared" si="176"/>
        <v>0</v>
      </c>
      <c r="BU30" s="4">
        <f t="shared" si="176"/>
        <v>1</v>
      </c>
    </row>
    <row r="31" spans="1:107" ht="15.75" customHeight="1" x14ac:dyDescent="0.25">
      <c r="A31" s="1" t="b">
        <v>1</v>
      </c>
      <c r="B31" s="3">
        <v>46153.54115740741</v>
      </c>
      <c r="C31" s="1" t="s">
        <v>315</v>
      </c>
      <c r="D31" s="1" t="s">
        <v>207</v>
      </c>
      <c r="E31" s="4">
        <f t="shared" ref="E31:K31" si="177">IF(ISNUMBER(SEARCH(E$1,$D31)), SEARCH(E$1,$D31), 0)</f>
        <v>1</v>
      </c>
      <c r="F31" s="4">
        <f t="shared" si="177"/>
        <v>30</v>
      </c>
      <c r="G31" s="4">
        <f t="shared" si="177"/>
        <v>0</v>
      </c>
      <c r="H31" s="4">
        <f t="shared" si="177"/>
        <v>0</v>
      </c>
      <c r="I31" s="4">
        <f t="shared" si="177"/>
        <v>0</v>
      </c>
      <c r="J31" s="4">
        <f t="shared" si="177"/>
        <v>0</v>
      </c>
      <c r="K31" s="4">
        <f t="shared" si="177"/>
        <v>0</v>
      </c>
      <c r="L31" s="4">
        <f t="shared" si="1"/>
        <v>30</v>
      </c>
      <c r="N31" s="1" t="s">
        <v>316</v>
      </c>
      <c r="O31" s="4">
        <f t="shared" ref="O31:T31" si="178">IF(ISNUMBER(SEARCH(O$1,$N31)), 1, 0)</f>
        <v>1</v>
      </c>
      <c r="P31" s="4">
        <f t="shared" si="178"/>
        <v>0</v>
      </c>
      <c r="Q31" s="4">
        <f t="shared" si="178"/>
        <v>1</v>
      </c>
      <c r="R31" s="4">
        <f t="shared" si="178"/>
        <v>0</v>
      </c>
      <c r="S31" s="4">
        <f t="shared" si="178"/>
        <v>0</v>
      </c>
      <c r="T31" s="4">
        <f t="shared" si="178"/>
        <v>0</v>
      </c>
      <c r="V31" s="1" t="s">
        <v>23</v>
      </c>
      <c r="W31" s="1" t="str">
        <f t="shared" si="130"/>
        <v>False</v>
      </c>
      <c r="X31" s="1" t="str">
        <f t="shared" si="130"/>
        <v>True</v>
      </c>
      <c r="Y31" s="1" t="str">
        <f t="shared" si="130"/>
        <v>False</v>
      </c>
      <c r="Z31" s="1" t="str">
        <f t="shared" si="130"/>
        <v>False</v>
      </c>
      <c r="AA31" s="1" t="str">
        <f t="shared" si="130"/>
        <v>False</v>
      </c>
      <c r="AB31" s="1" t="s">
        <v>28</v>
      </c>
      <c r="AC31" s="4">
        <f t="shared" ref="AC31:AH31" si="179">IF(ISNUMBER(SEARCH(AC$1,$AB31)), 1, 0)</f>
        <v>1</v>
      </c>
      <c r="AD31" s="4">
        <f t="shared" si="179"/>
        <v>0</v>
      </c>
      <c r="AE31" s="4">
        <f t="shared" si="179"/>
        <v>0</v>
      </c>
      <c r="AF31" s="4">
        <f t="shared" si="179"/>
        <v>0</v>
      </c>
      <c r="AG31" s="4">
        <f t="shared" si="179"/>
        <v>0</v>
      </c>
      <c r="AH31" s="4">
        <f t="shared" si="179"/>
        <v>0</v>
      </c>
      <c r="AI31" s="1">
        <f t="shared" si="5"/>
        <v>1</v>
      </c>
      <c r="AK31" s="1" t="s">
        <v>317</v>
      </c>
      <c r="AL31" s="4">
        <f t="shared" ref="AL31:AS31" si="180">IF(ISNUMBER(SEARCH(AL$1,$AK31)), 1, 0)</f>
        <v>0</v>
      </c>
      <c r="AM31" s="4">
        <f t="shared" si="180"/>
        <v>1</v>
      </c>
      <c r="AN31" s="4">
        <f t="shared" si="180"/>
        <v>0</v>
      </c>
      <c r="AO31" s="4">
        <f t="shared" si="180"/>
        <v>1</v>
      </c>
      <c r="AP31" s="4">
        <f t="shared" si="180"/>
        <v>1</v>
      </c>
      <c r="AQ31" s="4">
        <f t="shared" si="180"/>
        <v>1</v>
      </c>
      <c r="AR31" s="4">
        <f t="shared" si="180"/>
        <v>0</v>
      </c>
      <c r="AS31" s="4">
        <f t="shared" si="180"/>
        <v>0</v>
      </c>
      <c r="AU31" s="1" t="s">
        <v>47</v>
      </c>
      <c r="AV31" s="1">
        <f t="shared" si="7"/>
        <v>1</v>
      </c>
      <c r="AW31" s="1">
        <f t="shared" si="8"/>
        <v>0</v>
      </c>
      <c r="AX31" s="1">
        <f t="shared" si="9"/>
        <v>0</v>
      </c>
      <c r="AY31" s="1" t="s">
        <v>48</v>
      </c>
      <c r="BA31" s="1" t="s">
        <v>318</v>
      </c>
      <c r="BB31" s="4">
        <f t="shared" ref="BB31:BJ31" si="181">IF(ISNUMBER(SEARCH(BB$1,$BA31)), 1, 0)</f>
        <v>0</v>
      </c>
      <c r="BC31" s="4">
        <f t="shared" si="181"/>
        <v>0</v>
      </c>
      <c r="BD31" s="4">
        <f t="shared" si="181"/>
        <v>1</v>
      </c>
      <c r="BE31" s="4">
        <f t="shared" si="181"/>
        <v>1</v>
      </c>
      <c r="BF31" s="4">
        <f t="shared" si="181"/>
        <v>1</v>
      </c>
      <c r="BG31" s="4">
        <f t="shared" si="181"/>
        <v>1</v>
      </c>
      <c r="BH31" s="4">
        <f t="shared" si="181"/>
        <v>0</v>
      </c>
      <c r="BI31" s="4">
        <f t="shared" si="181"/>
        <v>0</v>
      </c>
      <c r="BJ31" s="4">
        <f t="shared" si="181"/>
        <v>1</v>
      </c>
      <c r="BK31" s="4">
        <f t="shared" si="11"/>
        <v>5</v>
      </c>
      <c r="BM31" s="1" t="s">
        <v>232</v>
      </c>
      <c r="BN31" s="1" t="s">
        <v>319</v>
      </c>
      <c r="BO31" s="4">
        <f t="shared" ref="BO31:BU31" si="182">IF(ISNUMBER(SEARCH(BO$1,$BN31)), 1, 0)</f>
        <v>1</v>
      </c>
      <c r="BP31" s="4">
        <f t="shared" si="182"/>
        <v>0</v>
      </c>
      <c r="BQ31" s="4">
        <f t="shared" si="182"/>
        <v>0</v>
      </c>
      <c r="BR31" s="4">
        <f t="shared" si="182"/>
        <v>0</v>
      </c>
      <c r="BS31" s="4">
        <f t="shared" si="182"/>
        <v>0</v>
      </c>
      <c r="BT31" s="4">
        <f t="shared" si="182"/>
        <v>1</v>
      </c>
      <c r="BU31" s="4">
        <f t="shared" si="182"/>
        <v>1</v>
      </c>
      <c r="CX31" s="1" t="s">
        <v>320</v>
      </c>
      <c r="DB31" s="1" t="s">
        <v>321</v>
      </c>
      <c r="DC31" s="1" t="s">
        <v>238</v>
      </c>
    </row>
    <row r="32" spans="1:107" ht="15.75" customHeight="1" x14ac:dyDescent="0.25">
      <c r="A32" s="1" t="b">
        <v>1</v>
      </c>
      <c r="B32" s="3">
        <v>46153.833113425928</v>
      </c>
      <c r="C32" s="1" t="s">
        <v>329</v>
      </c>
      <c r="D32" s="1" t="s">
        <v>207</v>
      </c>
      <c r="E32" s="4">
        <f t="shared" ref="E32:K32" si="183">IF(ISNUMBER(SEARCH(E$1,$D32)), SEARCH(E$1,$D32), 0)</f>
        <v>1</v>
      </c>
      <c r="F32" s="4">
        <f t="shared" si="183"/>
        <v>30</v>
      </c>
      <c r="G32" s="4">
        <f t="shared" si="183"/>
        <v>0</v>
      </c>
      <c r="H32" s="4">
        <f t="shared" si="183"/>
        <v>0</v>
      </c>
      <c r="I32" s="4">
        <f t="shared" si="183"/>
        <v>0</v>
      </c>
      <c r="J32" s="4">
        <f t="shared" si="183"/>
        <v>0</v>
      </c>
      <c r="K32" s="4">
        <f t="shared" si="183"/>
        <v>0</v>
      </c>
      <c r="L32" s="4">
        <f t="shared" si="1"/>
        <v>30</v>
      </c>
      <c r="N32" s="1" t="s">
        <v>240</v>
      </c>
      <c r="O32" s="4">
        <f t="shared" ref="O32:T32" si="184">IF(ISNUMBER(SEARCH(O$1,$N32)), 1, 0)</f>
        <v>1</v>
      </c>
      <c r="P32" s="4">
        <f t="shared" si="184"/>
        <v>1</v>
      </c>
      <c r="Q32" s="4">
        <f t="shared" si="184"/>
        <v>1</v>
      </c>
      <c r="R32" s="4">
        <f t="shared" si="184"/>
        <v>1</v>
      </c>
      <c r="S32" s="4">
        <f t="shared" si="184"/>
        <v>0</v>
      </c>
      <c r="T32" s="4">
        <f t="shared" si="184"/>
        <v>0</v>
      </c>
      <c r="V32" s="1" t="s">
        <v>25</v>
      </c>
      <c r="W32" s="1" t="str">
        <f t="shared" si="130"/>
        <v>False</v>
      </c>
      <c r="X32" s="1" t="str">
        <f t="shared" si="130"/>
        <v>False</v>
      </c>
      <c r="Y32" s="1" t="str">
        <f t="shared" si="130"/>
        <v>False</v>
      </c>
      <c r="Z32" s="1" t="str">
        <f t="shared" si="130"/>
        <v>True</v>
      </c>
      <c r="AA32" s="1" t="str">
        <f t="shared" si="130"/>
        <v>False</v>
      </c>
      <c r="AB32" s="1" t="s">
        <v>311</v>
      </c>
      <c r="AC32" s="4">
        <f t="shared" ref="AC32:AH32" si="185">IF(ISNUMBER(SEARCH(AC$1,$AB32)), 1, 0)</f>
        <v>1</v>
      </c>
      <c r="AD32" s="4">
        <f t="shared" si="185"/>
        <v>0</v>
      </c>
      <c r="AE32" s="4">
        <f t="shared" si="185"/>
        <v>0</v>
      </c>
      <c r="AF32" s="4">
        <f t="shared" si="185"/>
        <v>0</v>
      </c>
      <c r="AG32" s="4">
        <f t="shared" si="185"/>
        <v>0</v>
      </c>
      <c r="AH32" s="4">
        <f t="shared" si="185"/>
        <v>0</v>
      </c>
      <c r="AI32" s="1">
        <f t="shared" si="5"/>
        <v>1</v>
      </c>
      <c r="AJ32" s="1" t="s">
        <v>330</v>
      </c>
      <c r="AK32" s="1" t="s">
        <v>317</v>
      </c>
      <c r="AL32" s="4">
        <f t="shared" ref="AL32:AS32" si="186">IF(ISNUMBER(SEARCH(AL$1,$AK32)), 1, 0)</f>
        <v>0</v>
      </c>
      <c r="AM32" s="4">
        <f t="shared" si="186"/>
        <v>1</v>
      </c>
      <c r="AN32" s="4">
        <f t="shared" si="186"/>
        <v>0</v>
      </c>
      <c r="AO32" s="4">
        <f t="shared" si="186"/>
        <v>1</v>
      </c>
      <c r="AP32" s="4">
        <f t="shared" si="186"/>
        <v>1</v>
      </c>
      <c r="AQ32" s="4">
        <f t="shared" si="186"/>
        <v>1</v>
      </c>
      <c r="AR32" s="4">
        <f t="shared" si="186"/>
        <v>0</v>
      </c>
      <c r="AS32" s="4">
        <f t="shared" si="186"/>
        <v>0</v>
      </c>
      <c r="AU32" s="1" t="s">
        <v>47</v>
      </c>
      <c r="AV32" s="1">
        <f t="shared" si="7"/>
        <v>1</v>
      </c>
      <c r="AW32" s="1">
        <f t="shared" si="8"/>
        <v>0</v>
      </c>
      <c r="AX32" s="1">
        <f t="shared" si="9"/>
        <v>0</v>
      </c>
      <c r="AY32" s="1" t="s">
        <v>48</v>
      </c>
      <c r="BA32" s="1" t="s">
        <v>331</v>
      </c>
      <c r="BB32" s="4">
        <f t="shared" ref="BB32:BJ32" si="187">IF(ISNUMBER(SEARCH(BB$1,$BA32)), 1, 0)</f>
        <v>1</v>
      </c>
      <c r="BC32" s="4">
        <f t="shared" si="187"/>
        <v>1</v>
      </c>
      <c r="BD32" s="4">
        <f t="shared" si="187"/>
        <v>1</v>
      </c>
      <c r="BE32" s="4">
        <f t="shared" si="187"/>
        <v>1</v>
      </c>
      <c r="BF32" s="4">
        <f t="shared" si="187"/>
        <v>1</v>
      </c>
      <c r="BG32" s="4">
        <f t="shared" si="187"/>
        <v>0</v>
      </c>
      <c r="BH32" s="4">
        <f t="shared" si="187"/>
        <v>0</v>
      </c>
      <c r="BI32" s="4">
        <f t="shared" si="187"/>
        <v>0</v>
      </c>
      <c r="BJ32" s="4">
        <f t="shared" si="187"/>
        <v>0</v>
      </c>
      <c r="BK32" s="4">
        <f t="shared" si="11"/>
        <v>5</v>
      </c>
      <c r="BL32" s="1" t="s">
        <v>332</v>
      </c>
      <c r="BM32" s="1" t="s">
        <v>166</v>
      </c>
      <c r="BO32" s="4">
        <f t="shared" ref="BO32:BU32" si="188">IF(ISNUMBER(SEARCH(BO$1,$BN32)), 1, 0)</f>
        <v>0</v>
      </c>
      <c r="BP32" s="4">
        <f t="shared" si="188"/>
        <v>0</v>
      </c>
      <c r="BQ32" s="4">
        <f t="shared" si="188"/>
        <v>0</v>
      </c>
      <c r="BR32" s="4">
        <f t="shared" si="188"/>
        <v>0</v>
      </c>
      <c r="BS32" s="4">
        <f t="shared" si="188"/>
        <v>0</v>
      </c>
      <c r="BT32" s="4">
        <f t="shared" si="188"/>
        <v>0</v>
      </c>
      <c r="BU32" s="4">
        <f t="shared" si="188"/>
        <v>0</v>
      </c>
      <c r="CX32" s="1" t="s">
        <v>320</v>
      </c>
      <c r="CZ32" s="1" t="s">
        <v>333</v>
      </c>
      <c r="DA32" s="1" t="s">
        <v>334</v>
      </c>
      <c r="DB32" s="1" t="s">
        <v>335</v>
      </c>
      <c r="DC32" s="1" t="s">
        <v>238</v>
      </c>
    </row>
    <row r="33" spans="1:107" ht="15.75" customHeight="1" x14ac:dyDescent="0.25">
      <c r="A33" s="1" t="b">
        <v>1</v>
      </c>
      <c r="B33" s="3">
        <v>46164.725023148145</v>
      </c>
      <c r="C33" s="1" t="s">
        <v>536</v>
      </c>
      <c r="D33" s="1" t="s">
        <v>207</v>
      </c>
      <c r="E33" s="4">
        <f t="shared" ref="E33:K33" si="189">IF(ISNUMBER(SEARCH(E$1,$D33)), SEARCH(E$1,$D33), 0)</f>
        <v>1</v>
      </c>
      <c r="F33" s="4">
        <f t="shared" si="189"/>
        <v>30</v>
      </c>
      <c r="G33" s="4">
        <f t="shared" si="189"/>
        <v>0</v>
      </c>
      <c r="H33" s="4">
        <f t="shared" si="189"/>
        <v>0</v>
      </c>
      <c r="I33" s="4">
        <f t="shared" si="189"/>
        <v>0</v>
      </c>
      <c r="J33" s="4">
        <f t="shared" si="189"/>
        <v>0</v>
      </c>
      <c r="K33" s="4">
        <f t="shared" si="189"/>
        <v>0</v>
      </c>
      <c r="L33" s="4">
        <f t="shared" si="1"/>
        <v>30</v>
      </c>
      <c r="N33" s="1" t="s">
        <v>306</v>
      </c>
      <c r="O33" s="4">
        <f t="shared" ref="O33:T33" si="190">IF(ISNUMBER(SEARCH(O$1,$N33)), 1, 0)</f>
        <v>1</v>
      </c>
      <c r="P33" s="4">
        <f t="shared" si="190"/>
        <v>1</v>
      </c>
      <c r="Q33" s="4">
        <f t="shared" si="190"/>
        <v>0</v>
      </c>
      <c r="R33" s="4">
        <f t="shared" si="190"/>
        <v>0</v>
      </c>
      <c r="S33" s="4">
        <f t="shared" si="190"/>
        <v>1</v>
      </c>
      <c r="T33" s="4">
        <f t="shared" si="190"/>
        <v>0</v>
      </c>
      <c r="V33" s="1" t="s">
        <v>26</v>
      </c>
      <c r="W33" s="1" t="str">
        <f t="shared" ref="W33:AA42" si="191">IF(W$1=$V33, "True", "False")</f>
        <v>False</v>
      </c>
      <c r="X33" s="1" t="str">
        <f t="shared" si="191"/>
        <v>False</v>
      </c>
      <c r="Y33" s="1" t="str">
        <f t="shared" si="191"/>
        <v>False</v>
      </c>
      <c r="Z33" s="1" t="str">
        <f t="shared" si="191"/>
        <v>False</v>
      </c>
      <c r="AA33" s="1" t="str">
        <f t="shared" si="191"/>
        <v>True</v>
      </c>
      <c r="AB33" s="1" t="s">
        <v>209</v>
      </c>
      <c r="AC33" s="4">
        <f t="shared" ref="AC33:AH33" si="192">IF(ISNUMBER(SEARCH(AC$1,$AB33)), 1, 0)</f>
        <v>1</v>
      </c>
      <c r="AD33" s="4">
        <f t="shared" si="192"/>
        <v>1</v>
      </c>
      <c r="AE33" s="4">
        <f t="shared" si="192"/>
        <v>0</v>
      </c>
      <c r="AF33" s="4">
        <f t="shared" si="192"/>
        <v>1</v>
      </c>
      <c r="AG33" s="4">
        <f t="shared" si="192"/>
        <v>1</v>
      </c>
      <c r="AH33" s="4">
        <f t="shared" si="192"/>
        <v>0</v>
      </c>
      <c r="AI33" s="1">
        <f t="shared" si="5"/>
        <v>4</v>
      </c>
      <c r="AK33" s="1" t="s">
        <v>470</v>
      </c>
      <c r="AL33" s="4">
        <f t="shared" ref="AL33:AS33" si="193">IF(ISNUMBER(SEARCH(AL$1,$AK33)), 1, 0)</f>
        <v>0</v>
      </c>
      <c r="AM33" s="4">
        <f t="shared" si="193"/>
        <v>1</v>
      </c>
      <c r="AN33" s="4">
        <f t="shared" si="193"/>
        <v>0</v>
      </c>
      <c r="AO33" s="4">
        <f t="shared" si="193"/>
        <v>1</v>
      </c>
      <c r="AP33" s="4">
        <f t="shared" si="193"/>
        <v>0</v>
      </c>
      <c r="AQ33" s="4">
        <f t="shared" si="193"/>
        <v>1</v>
      </c>
      <c r="AR33" s="4">
        <f t="shared" si="193"/>
        <v>0</v>
      </c>
      <c r="AS33" s="4">
        <f t="shared" si="193"/>
        <v>0</v>
      </c>
      <c r="AU33" s="1" t="s">
        <v>47</v>
      </c>
      <c r="AV33" s="1">
        <f t="shared" si="7"/>
        <v>1</v>
      </c>
      <c r="AW33" s="1">
        <f t="shared" si="8"/>
        <v>0</v>
      </c>
      <c r="AX33" s="1">
        <f t="shared" si="9"/>
        <v>0</v>
      </c>
      <c r="AY33" s="1" t="s">
        <v>48</v>
      </c>
      <c r="BA33" s="1" t="s">
        <v>537</v>
      </c>
      <c r="BB33" s="4">
        <f t="shared" ref="BB33:BJ33" si="194">IF(ISNUMBER(SEARCH(BB$1,$BA33)), 1, 0)</f>
        <v>1</v>
      </c>
      <c r="BC33" s="4">
        <f t="shared" si="194"/>
        <v>0</v>
      </c>
      <c r="BD33" s="4">
        <f t="shared" si="194"/>
        <v>1</v>
      </c>
      <c r="BE33" s="4">
        <f t="shared" si="194"/>
        <v>1</v>
      </c>
      <c r="BF33" s="4">
        <f t="shared" si="194"/>
        <v>1</v>
      </c>
      <c r="BG33" s="4">
        <f t="shared" si="194"/>
        <v>1</v>
      </c>
      <c r="BH33" s="4">
        <f t="shared" si="194"/>
        <v>0</v>
      </c>
      <c r="BI33" s="4">
        <f t="shared" si="194"/>
        <v>0</v>
      </c>
      <c r="BJ33" s="4">
        <f t="shared" si="194"/>
        <v>0</v>
      </c>
      <c r="BK33" s="4">
        <f t="shared" si="11"/>
        <v>5</v>
      </c>
      <c r="BM33" s="1" t="s">
        <v>166</v>
      </c>
      <c r="BN33" s="1" t="s">
        <v>538</v>
      </c>
      <c r="BO33" s="4">
        <f t="shared" ref="BO33:BU33" si="195">IF(ISNUMBER(SEARCH(BO$1,$BN33)), 1, 0)</f>
        <v>1</v>
      </c>
      <c r="BP33" s="4">
        <f t="shared" si="195"/>
        <v>0</v>
      </c>
      <c r="BQ33" s="4">
        <f t="shared" si="195"/>
        <v>1</v>
      </c>
      <c r="BR33" s="4">
        <f t="shared" si="195"/>
        <v>0</v>
      </c>
      <c r="BS33" s="4">
        <f t="shared" si="195"/>
        <v>0</v>
      </c>
      <c r="BT33" s="4">
        <f t="shared" si="195"/>
        <v>0</v>
      </c>
      <c r="BU33" s="4">
        <f t="shared" si="195"/>
        <v>0</v>
      </c>
      <c r="BV33" s="1" t="s">
        <v>539</v>
      </c>
      <c r="CX33" s="1" t="s">
        <v>540</v>
      </c>
      <c r="CZ33" s="1" t="s">
        <v>250</v>
      </c>
      <c r="DB33" s="1" t="s">
        <v>541</v>
      </c>
    </row>
    <row r="34" spans="1:107" ht="15.75" customHeight="1" x14ac:dyDescent="0.25">
      <c r="A34" s="1" t="b">
        <v>1</v>
      </c>
      <c r="B34" s="3">
        <v>46168.735289351855</v>
      </c>
      <c r="C34" s="1" t="s">
        <v>728</v>
      </c>
      <c r="D34" s="1" t="s">
        <v>439</v>
      </c>
      <c r="E34" s="4">
        <f t="shared" ref="E34:K34" si="196">IF(ISNUMBER(SEARCH(E$1,$D34)), SEARCH(E$1,$D34), 0)</f>
        <v>1</v>
      </c>
      <c r="F34" s="4">
        <f t="shared" si="196"/>
        <v>30</v>
      </c>
      <c r="G34" s="4">
        <f t="shared" si="196"/>
        <v>0</v>
      </c>
      <c r="H34" s="4">
        <f t="shared" si="196"/>
        <v>0</v>
      </c>
      <c r="I34" s="4">
        <f t="shared" si="196"/>
        <v>105</v>
      </c>
      <c r="J34" s="4">
        <f t="shared" si="196"/>
        <v>0</v>
      </c>
      <c r="K34" s="4">
        <f t="shared" si="196"/>
        <v>0</v>
      </c>
      <c r="L34" s="4">
        <f t="shared" si="1"/>
        <v>105</v>
      </c>
      <c r="N34" s="1" t="s">
        <v>328</v>
      </c>
      <c r="O34" s="4">
        <f t="shared" ref="O34:T34" si="197">IF(ISNUMBER(SEARCH(O$1,$N34)), 1, 0)</f>
        <v>1</v>
      </c>
      <c r="P34" s="4">
        <f t="shared" si="197"/>
        <v>1</v>
      </c>
      <c r="Q34" s="4">
        <f t="shared" si="197"/>
        <v>1</v>
      </c>
      <c r="R34" s="4">
        <f t="shared" si="197"/>
        <v>0</v>
      </c>
      <c r="S34" s="4">
        <f t="shared" si="197"/>
        <v>0</v>
      </c>
      <c r="T34" s="4">
        <f t="shared" si="197"/>
        <v>0</v>
      </c>
      <c r="V34" s="1" t="s">
        <v>24</v>
      </c>
      <c r="W34" s="1" t="str">
        <f t="shared" si="191"/>
        <v>False</v>
      </c>
      <c r="X34" s="1" t="str">
        <f t="shared" si="191"/>
        <v>False</v>
      </c>
      <c r="Y34" s="1" t="str">
        <f t="shared" si="191"/>
        <v>True</v>
      </c>
      <c r="Z34" s="1" t="str">
        <f t="shared" si="191"/>
        <v>False</v>
      </c>
      <c r="AA34" s="1" t="str">
        <f t="shared" si="191"/>
        <v>False</v>
      </c>
      <c r="AB34" s="1" t="s">
        <v>357</v>
      </c>
      <c r="AC34" s="4">
        <f t="shared" ref="AC34:AH34" si="198">IF(ISNUMBER(SEARCH(AC$1,$AB34)), 1, 0)</f>
        <v>1</v>
      </c>
      <c r="AD34" s="4">
        <f t="shared" si="198"/>
        <v>0</v>
      </c>
      <c r="AE34" s="4">
        <f t="shared" si="198"/>
        <v>0</v>
      </c>
      <c r="AF34" s="4">
        <f t="shared" si="198"/>
        <v>0</v>
      </c>
      <c r="AG34" s="4">
        <f t="shared" si="198"/>
        <v>0</v>
      </c>
      <c r="AH34" s="4">
        <f t="shared" si="198"/>
        <v>1</v>
      </c>
      <c r="AI34" s="1">
        <f t="shared" si="5"/>
        <v>2</v>
      </c>
      <c r="AK34" s="1" t="s">
        <v>246</v>
      </c>
      <c r="AL34" s="4">
        <f t="shared" ref="AL34:AS34" si="199">IF(ISNUMBER(SEARCH(AL$1,$AK34)), 1, 0)</f>
        <v>1</v>
      </c>
      <c r="AM34" s="4">
        <f t="shared" si="199"/>
        <v>1</v>
      </c>
      <c r="AN34" s="4">
        <f t="shared" si="199"/>
        <v>0</v>
      </c>
      <c r="AO34" s="4">
        <f t="shared" si="199"/>
        <v>1</v>
      </c>
      <c r="AP34" s="4">
        <f t="shared" si="199"/>
        <v>0</v>
      </c>
      <c r="AQ34" s="4">
        <f t="shared" si="199"/>
        <v>1</v>
      </c>
      <c r="AR34" s="4">
        <f t="shared" si="199"/>
        <v>0</v>
      </c>
      <c r="AS34" s="4">
        <f t="shared" si="199"/>
        <v>0</v>
      </c>
      <c r="AU34" s="1" t="s">
        <v>47</v>
      </c>
      <c r="AV34" s="1">
        <f t="shared" si="7"/>
        <v>1</v>
      </c>
      <c r="AW34" s="1">
        <f t="shared" si="8"/>
        <v>0</v>
      </c>
      <c r="AX34" s="1">
        <f t="shared" si="9"/>
        <v>0</v>
      </c>
      <c r="AY34" s="1" t="s">
        <v>48</v>
      </c>
      <c r="BA34" s="1" t="s">
        <v>729</v>
      </c>
      <c r="BB34" s="4">
        <f t="shared" ref="BB34:BJ34" si="200">IF(ISNUMBER(SEARCH(BB$1,$BA34)), 1, 0)</f>
        <v>0</v>
      </c>
      <c r="BC34" s="4">
        <f t="shared" si="200"/>
        <v>1</v>
      </c>
      <c r="BD34" s="4">
        <f t="shared" si="200"/>
        <v>0</v>
      </c>
      <c r="BE34" s="4">
        <f t="shared" si="200"/>
        <v>0</v>
      </c>
      <c r="BF34" s="4">
        <f t="shared" si="200"/>
        <v>1</v>
      </c>
      <c r="BG34" s="4">
        <f t="shared" si="200"/>
        <v>0</v>
      </c>
      <c r="BH34" s="4">
        <f t="shared" si="200"/>
        <v>0</v>
      </c>
      <c r="BI34" s="4">
        <f t="shared" si="200"/>
        <v>0</v>
      </c>
      <c r="BJ34" s="4">
        <f t="shared" si="200"/>
        <v>0</v>
      </c>
      <c r="BK34" s="4">
        <f t="shared" si="11"/>
        <v>2</v>
      </c>
      <c r="BM34" s="1" t="s">
        <v>166</v>
      </c>
      <c r="BN34" s="1" t="s">
        <v>268</v>
      </c>
      <c r="BO34" s="4">
        <f t="shared" ref="BO34:BU34" si="201">IF(ISNUMBER(SEARCH(BO$1,$BN34)), 1, 0)</f>
        <v>1</v>
      </c>
      <c r="BP34" s="4">
        <f t="shared" si="201"/>
        <v>1</v>
      </c>
      <c r="BQ34" s="4">
        <f t="shared" si="201"/>
        <v>0</v>
      </c>
      <c r="BR34" s="4">
        <f t="shared" si="201"/>
        <v>0</v>
      </c>
      <c r="BS34" s="4">
        <f t="shared" si="201"/>
        <v>0</v>
      </c>
      <c r="BT34" s="4">
        <f t="shared" si="201"/>
        <v>0</v>
      </c>
      <c r="BU34" s="4">
        <f t="shared" si="201"/>
        <v>0</v>
      </c>
      <c r="BV34" s="1" t="s">
        <v>730</v>
      </c>
      <c r="CH34" s="1" t="s">
        <v>731</v>
      </c>
      <c r="CI34" s="1" t="s">
        <v>732</v>
      </c>
      <c r="CJ34" s="1" t="s">
        <v>733</v>
      </c>
      <c r="CK34" s="1" t="s">
        <v>734</v>
      </c>
      <c r="CL34" s="1" t="s">
        <v>177</v>
      </c>
      <c r="CX34" s="1" t="s">
        <v>735</v>
      </c>
      <c r="CZ34" s="1" t="s">
        <v>736</v>
      </c>
      <c r="DC34" s="1" t="s">
        <v>180</v>
      </c>
    </row>
    <row r="35" spans="1:107" ht="15.75" customHeight="1" x14ac:dyDescent="0.25">
      <c r="A35" s="1" t="b">
        <v>0</v>
      </c>
      <c r="B35" s="3">
        <v>46157.592962962961</v>
      </c>
      <c r="C35" s="1" t="s">
        <v>379</v>
      </c>
      <c r="D35" s="1" t="s">
        <v>192</v>
      </c>
      <c r="E35" s="4">
        <f t="shared" ref="E35:K35" si="202">IF(ISNUMBER(SEARCH(E$1,$D35)), SEARCH(E$1,$D35), 0)</f>
        <v>1</v>
      </c>
      <c r="F35" s="4">
        <f t="shared" si="202"/>
        <v>30</v>
      </c>
      <c r="G35" s="4">
        <f t="shared" si="202"/>
        <v>0</v>
      </c>
      <c r="H35" s="4">
        <f t="shared" si="202"/>
        <v>0</v>
      </c>
      <c r="I35" s="4">
        <f t="shared" si="202"/>
        <v>0</v>
      </c>
      <c r="J35" s="4">
        <f t="shared" si="202"/>
        <v>0</v>
      </c>
      <c r="K35" s="4">
        <f t="shared" si="202"/>
        <v>105</v>
      </c>
      <c r="L35" s="4">
        <f t="shared" si="1"/>
        <v>105</v>
      </c>
      <c r="N35" s="1" t="s">
        <v>187</v>
      </c>
      <c r="O35" s="4">
        <f t="shared" ref="O35:T35" si="203">IF(ISNUMBER(SEARCH(O$1,$N35)), 1, 0)</f>
        <v>1</v>
      </c>
      <c r="P35" s="4">
        <f t="shared" si="203"/>
        <v>1</v>
      </c>
      <c r="Q35" s="4">
        <f t="shared" si="203"/>
        <v>1</v>
      </c>
      <c r="R35" s="4">
        <f t="shared" si="203"/>
        <v>1</v>
      </c>
      <c r="S35" s="4">
        <f t="shared" si="203"/>
        <v>1</v>
      </c>
      <c r="T35" s="4">
        <f t="shared" si="203"/>
        <v>1</v>
      </c>
      <c r="V35" s="1" t="s">
        <v>26</v>
      </c>
      <c r="W35" s="1" t="str">
        <f t="shared" si="191"/>
        <v>False</v>
      </c>
      <c r="X35" s="1" t="str">
        <f t="shared" si="191"/>
        <v>False</v>
      </c>
      <c r="Y35" s="1" t="str">
        <f t="shared" si="191"/>
        <v>False</v>
      </c>
      <c r="Z35" s="1" t="str">
        <f t="shared" si="191"/>
        <v>False</v>
      </c>
      <c r="AA35" s="1" t="str">
        <f t="shared" si="191"/>
        <v>True</v>
      </c>
      <c r="AB35" s="1" t="s">
        <v>380</v>
      </c>
      <c r="AC35" s="4">
        <f t="shared" ref="AC35:AH35" si="204">IF(ISNUMBER(SEARCH(AC$1,$AB35)), 1, 0)</f>
        <v>1</v>
      </c>
      <c r="AD35" s="4">
        <f t="shared" si="204"/>
        <v>0</v>
      </c>
      <c r="AE35" s="4">
        <f t="shared" si="204"/>
        <v>1</v>
      </c>
      <c r="AF35" s="4">
        <f t="shared" si="204"/>
        <v>1</v>
      </c>
      <c r="AG35" s="4">
        <f t="shared" si="204"/>
        <v>0</v>
      </c>
      <c r="AH35" s="4">
        <f t="shared" si="204"/>
        <v>0</v>
      </c>
      <c r="AI35" s="1">
        <f t="shared" si="5"/>
        <v>3</v>
      </c>
      <c r="AK35" s="1" t="s">
        <v>381</v>
      </c>
      <c r="AL35" s="4">
        <f t="shared" ref="AL35:AS35" si="205">IF(ISNUMBER(SEARCH(AL$1,$AK35)), 1, 0)</f>
        <v>1</v>
      </c>
      <c r="AM35" s="4">
        <f t="shared" si="205"/>
        <v>1</v>
      </c>
      <c r="AN35" s="4">
        <f t="shared" si="205"/>
        <v>1</v>
      </c>
      <c r="AO35" s="4">
        <f t="shared" si="205"/>
        <v>1</v>
      </c>
      <c r="AP35" s="4">
        <f t="shared" si="205"/>
        <v>1</v>
      </c>
      <c r="AQ35" s="4">
        <f t="shared" si="205"/>
        <v>1</v>
      </c>
      <c r="AR35" s="4">
        <f t="shared" si="205"/>
        <v>0</v>
      </c>
      <c r="AS35" s="4">
        <f t="shared" si="205"/>
        <v>0</v>
      </c>
      <c r="AU35" s="1" t="s">
        <v>47</v>
      </c>
      <c r="AV35" s="1">
        <f t="shared" si="7"/>
        <v>1</v>
      </c>
      <c r="AW35" s="1">
        <f t="shared" si="8"/>
        <v>0</v>
      </c>
      <c r="AX35" s="1">
        <f t="shared" si="9"/>
        <v>0</v>
      </c>
      <c r="AY35" s="1" t="s">
        <v>48</v>
      </c>
      <c r="BA35" s="1" t="s">
        <v>358</v>
      </c>
      <c r="BB35" s="4">
        <f t="shared" ref="BB35:BJ35" si="206">IF(ISNUMBER(SEARCH(BB$1,$BA35)), 1, 0)</f>
        <v>1</v>
      </c>
      <c r="BC35" s="4">
        <f t="shared" si="206"/>
        <v>1</v>
      </c>
      <c r="BD35" s="4">
        <f t="shared" si="206"/>
        <v>1</v>
      </c>
      <c r="BE35" s="4">
        <f t="shared" si="206"/>
        <v>1</v>
      </c>
      <c r="BF35" s="4">
        <f t="shared" si="206"/>
        <v>1</v>
      </c>
      <c r="BG35" s="4">
        <f t="shared" si="206"/>
        <v>0</v>
      </c>
      <c r="BH35" s="4">
        <f t="shared" si="206"/>
        <v>0</v>
      </c>
      <c r="BI35" s="4">
        <f t="shared" si="206"/>
        <v>1</v>
      </c>
      <c r="BJ35" s="4">
        <f t="shared" si="206"/>
        <v>1</v>
      </c>
      <c r="BK35" s="4">
        <f t="shared" si="11"/>
        <v>7</v>
      </c>
      <c r="BM35" s="1" t="s">
        <v>232</v>
      </c>
      <c r="BN35" s="1" t="s">
        <v>382</v>
      </c>
      <c r="BO35" s="4">
        <f t="shared" ref="BO35:BU35" si="207">IF(ISNUMBER(SEARCH(BO$1,$BN35)), 1, 0)</f>
        <v>1</v>
      </c>
      <c r="BP35" s="4">
        <f t="shared" si="207"/>
        <v>1</v>
      </c>
      <c r="BQ35" s="4">
        <f t="shared" si="207"/>
        <v>1</v>
      </c>
      <c r="BR35" s="4">
        <f t="shared" si="207"/>
        <v>1</v>
      </c>
      <c r="BS35" s="4">
        <f t="shared" si="207"/>
        <v>1</v>
      </c>
      <c r="BT35" s="4">
        <f t="shared" si="207"/>
        <v>1</v>
      </c>
      <c r="BU35" s="4">
        <f t="shared" si="207"/>
        <v>0</v>
      </c>
    </row>
    <row r="36" spans="1:107" ht="15.75" customHeight="1" x14ac:dyDescent="0.25">
      <c r="A36" s="1" t="b">
        <v>1</v>
      </c>
      <c r="B36" s="3">
        <v>46166.415347222224</v>
      </c>
      <c r="C36" s="1" t="s">
        <v>639</v>
      </c>
      <c r="D36" s="1" t="s">
        <v>439</v>
      </c>
      <c r="E36" s="4">
        <f t="shared" ref="E36:K36" si="208">IF(ISNUMBER(SEARCH(E$1,$D36)), SEARCH(E$1,$D36), 0)</f>
        <v>1</v>
      </c>
      <c r="F36" s="4">
        <f t="shared" si="208"/>
        <v>30</v>
      </c>
      <c r="G36" s="4">
        <f t="shared" si="208"/>
        <v>0</v>
      </c>
      <c r="H36" s="4">
        <f t="shared" si="208"/>
        <v>0</v>
      </c>
      <c r="I36" s="4">
        <f t="shared" si="208"/>
        <v>105</v>
      </c>
      <c r="J36" s="4">
        <f t="shared" si="208"/>
        <v>0</v>
      </c>
      <c r="K36" s="4">
        <f t="shared" si="208"/>
        <v>0</v>
      </c>
      <c r="L36" s="4">
        <f t="shared" si="1"/>
        <v>105</v>
      </c>
      <c r="N36" s="1" t="s">
        <v>272</v>
      </c>
      <c r="O36" s="4">
        <f t="shared" ref="O36:T36" si="209">IF(ISNUMBER(SEARCH(O$1,$N36)), 1, 0)</f>
        <v>1</v>
      </c>
      <c r="P36" s="4">
        <f t="shared" si="209"/>
        <v>1</v>
      </c>
      <c r="Q36" s="4">
        <f t="shared" si="209"/>
        <v>1</v>
      </c>
      <c r="R36" s="4">
        <f t="shared" si="209"/>
        <v>1</v>
      </c>
      <c r="S36" s="4">
        <f t="shared" si="209"/>
        <v>1</v>
      </c>
      <c r="T36" s="4">
        <f t="shared" si="209"/>
        <v>0</v>
      </c>
      <c r="V36" s="1" t="s">
        <v>26</v>
      </c>
      <c r="W36" s="1" t="str">
        <f t="shared" si="191"/>
        <v>False</v>
      </c>
      <c r="X36" s="1" t="str">
        <f t="shared" si="191"/>
        <v>False</v>
      </c>
      <c r="Y36" s="1" t="str">
        <f t="shared" si="191"/>
        <v>False</v>
      </c>
      <c r="Z36" s="1" t="str">
        <f t="shared" si="191"/>
        <v>False</v>
      </c>
      <c r="AA36" s="1" t="str">
        <f t="shared" si="191"/>
        <v>True</v>
      </c>
      <c r="AB36" s="1" t="s">
        <v>568</v>
      </c>
      <c r="AC36" s="4">
        <f t="shared" ref="AC36:AH36" si="210">IF(ISNUMBER(SEARCH(AC$1,$AB36)), 1, 0)</f>
        <v>1</v>
      </c>
      <c r="AD36" s="4">
        <f t="shared" si="210"/>
        <v>0</v>
      </c>
      <c r="AE36" s="4">
        <f t="shared" si="210"/>
        <v>0</v>
      </c>
      <c r="AF36" s="4">
        <f t="shared" si="210"/>
        <v>1</v>
      </c>
      <c r="AG36" s="4">
        <f t="shared" si="210"/>
        <v>0</v>
      </c>
      <c r="AH36" s="4">
        <f t="shared" si="210"/>
        <v>1</v>
      </c>
      <c r="AI36" s="1">
        <f t="shared" si="5"/>
        <v>3</v>
      </c>
      <c r="AK36" s="1" t="s">
        <v>470</v>
      </c>
      <c r="AL36" s="4">
        <f t="shared" ref="AL36:AS36" si="211">IF(ISNUMBER(SEARCH(AL$1,$AK36)), 1, 0)</f>
        <v>0</v>
      </c>
      <c r="AM36" s="4">
        <f t="shared" si="211"/>
        <v>1</v>
      </c>
      <c r="AN36" s="4">
        <f t="shared" si="211"/>
        <v>0</v>
      </c>
      <c r="AO36" s="4">
        <f t="shared" si="211"/>
        <v>1</v>
      </c>
      <c r="AP36" s="4">
        <f t="shared" si="211"/>
        <v>0</v>
      </c>
      <c r="AQ36" s="4">
        <f t="shared" si="211"/>
        <v>1</v>
      </c>
      <c r="AR36" s="4">
        <f t="shared" si="211"/>
        <v>0</v>
      </c>
      <c r="AS36" s="4">
        <f t="shared" si="211"/>
        <v>0</v>
      </c>
      <c r="AU36" s="1" t="s">
        <v>49</v>
      </c>
      <c r="AV36" s="1">
        <f t="shared" si="7"/>
        <v>0</v>
      </c>
      <c r="AW36" s="1">
        <f t="shared" si="8"/>
        <v>0</v>
      </c>
      <c r="AX36" s="1">
        <f t="shared" si="9"/>
        <v>1</v>
      </c>
      <c r="AY36" s="1" t="s">
        <v>48</v>
      </c>
      <c r="BA36" s="1" t="s">
        <v>253</v>
      </c>
      <c r="BB36" s="4">
        <f t="shared" ref="BB36:BJ36" si="212">IF(ISNUMBER(SEARCH(BB$1,$BA36)), 1, 0)</f>
        <v>1</v>
      </c>
      <c r="BC36" s="4">
        <f t="shared" si="212"/>
        <v>1</v>
      </c>
      <c r="BD36" s="4">
        <f t="shared" si="212"/>
        <v>1</v>
      </c>
      <c r="BE36" s="4">
        <f t="shared" si="212"/>
        <v>1</v>
      </c>
      <c r="BF36" s="4">
        <f t="shared" si="212"/>
        <v>1</v>
      </c>
      <c r="BG36" s="4">
        <f t="shared" si="212"/>
        <v>0</v>
      </c>
      <c r="BH36" s="4">
        <f t="shared" si="212"/>
        <v>0</v>
      </c>
      <c r="BI36" s="4">
        <f t="shared" si="212"/>
        <v>0</v>
      </c>
      <c r="BJ36" s="4">
        <f t="shared" si="212"/>
        <v>1</v>
      </c>
      <c r="BK36" s="4">
        <f t="shared" si="11"/>
        <v>6</v>
      </c>
      <c r="BM36" s="1" t="s">
        <v>166</v>
      </c>
      <c r="BN36" s="1" t="s">
        <v>219</v>
      </c>
      <c r="BO36" s="4">
        <f t="shared" ref="BO36:BU36" si="213">IF(ISNUMBER(SEARCH(BO$1,$BN36)), 1, 0)</f>
        <v>1</v>
      </c>
      <c r="BP36" s="4">
        <f t="shared" si="213"/>
        <v>0</v>
      </c>
      <c r="BQ36" s="4">
        <f t="shared" si="213"/>
        <v>0</v>
      </c>
      <c r="BR36" s="4">
        <f t="shared" si="213"/>
        <v>0</v>
      </c>
      <c r="BS36" s="4">
        <f t="shared" si="213"/>
        <v>0</v>
      </c>
      <c r="BT36" s="4">
        <f t="shared" si="213"/>
        <v>1</v>
      </c>
      <c r="BU36" s="4">
        <f t="shared" si="213"/>
        <v>0</v>
      </c>
      <c r="CH36" s="1" t="s">
        <v>640</v>
      </c>
      <c r="CI36" s="1" t="s">
        <v>641</v>
      </c>
      <c r="CJ36" s="1" t="s">
        <v>642</v>
      </c>
      <c r="CL36" s="1" t="s">
        <v>177</v>
      </c>
      <c r="CX36" s="1" t="s">
        <v>643</v>
      </c>
      <c r="CZ36" s="1" t="s">
        <v>644</v>
      </c>
      <c r="DB36" s="1" t="s">
        <v>645</v>
      </c>
    </row>
    <row r="37" spans="1:107" ht="15.75" customHeight="1" x14ac:dyDescent="0.25">
      <c r="A37" s="1" t="b">
        <v>1</v>
      </c>
      <c r="B37" s="3">
        <v>46164.688993055555</v>
      </c>
      <c r="C37" s="1" t="s">
        <v>517</v>
      </c>
      <c r="D37" s="1" t="s">
        <v>518</v>
      </c>
      <c r="E37" s="4">
        <f t="shared" ref="E37:K37" si="214">IF(ISNUMBER(SEARCH(E$1,$D37)), SEARCH(E$1,$D37), 0)</f>
        <v>1</v>
      </c>
      <c r="F37" s="4">
        <f t="shared" si="214"/>
        <v>30</v>
      </c>
      <c r="G37" s="4">
        <f t="shared" si="214"/>
        <v>0</v>
      </c>
      <c r="H37" s="4">
        <f t="shared" si="214"/>
        <v>105</v>
      </c>
      <c r="I37" s="4">
        <f t="shared" si="214"/>
        <v>143</v>
      </c>
      <c r="J37" s="4">
        <f t="shared" si="214"/>
        <v>0</v>
      </c>
      <c r="K37" s="4">
        <f t="shared" si="214"/>
        <v>0</v>
      </c>
      <c r="L37" s="4">
        <f t="shared" si="1"/>
        <v>143</v>
      </c>
      <c r="N37" s="1" t="s">
        <v>240</v>
      </c>
      <c r="O37" s="4">
        <f t="shared" ref="O37:T37" si="215">IF(ISNUMBER(SEARCH(O$1,$N37)), 1, 0)</f>
        <v>1</v>
      </c>
      <c r="P37" s="4">
        <f t="shared" si="215"/>
        <v>1</v>
      </c>
      <c r="Q37" s="4">
        <f t="shared" si="215"/>
        <v>1</v>
      </c>
      <c r="R37" s="4">
        <f t="shared" si="215"/>
        <v>1</v>
      </c>
      <c r="S37" s="4">
        <f t="shared" si="215"/>
        <v>0</v>
      </c>
      <c r="T37" s="4">
        <f t="shared" si="215"/>
        <v>0</v>
      </c>
      <c r="V37" s="1" t="s">
        <v>26</v>
      </c>
      <c r="W37" s="1" t="str">
        <f t="shared" si="191"/>
        <v>False</v>
      </c>
      <c r="X37" s="1" t="str">
        <f t="shared" si="191"/>
        <v>False</v>
      </c>
      <c r="Y37" s="1" t="str">
        <f t="shared" si="191"/>
        <v>False</v>
      </c>
      <c r="Z37" s="1" t="str">
        <f t="shared" si="191"/>
        <v>False</v>
      </c>
      <c r="AA37" s="1" t="str">
        <f t="shared" si="191"/>
        <v>True</v>
      </c>
      <c r="AB37" s="1" t="s">
        <v>519</v>
      </c>
      <c r="AC37" s="4">
        <f t="shared" ref="AC37:AH37" si="216">IF(ISNUMBER(SEARCH(AC$1,$AB37)), 1, 0)</f>
        <v>1</v>
      </c>
      <c r="AD37" s="4">
        <f t="shared" si="216"/>
        <v>0</v>
      </c>
      <c r="AE37" s="4">
        <f t="shared" si="216"/>
        <v>0</v>
      </c>
      <c r="AF37" s="4">
        <f t="shared" si="216"/>
        <v>0</v>
      </c>
      <c r="AG37" s="4">
        <f t="shared" si="216"/>
        <v>1</v>
      </c>
      <c r="AH37" s="4">
        <f t="shared" si="216"/>
        <v>0</v>
      </c>
      <c r="AI37" s="1">
        <f t="shared" si="5"/>
        <v>2</v>
      </c>
      <c r="AK37" s="1" t="s">
        <v>317</v>
      </c>
      <c r="AL37" s="4">
        <f t="shared" ref="AL37:AS37" si="217">IF(ISNUMBER(SEARCH(AL$1,$AK37)), 1, 0)</f>
        <v>0</v>
      </c>
      <c r="AM37" s="4">
        <f t="shared" si="217"/>
        <v>1</v>
      </c>
      <c r="AN37" s="4">
        <f t="shared" si="217"/>
        <v>0</v>
      </c>
      <c r="AO37" s="4">
        <f t="shared" si="217"/>
        <v>1</v>
      </c>
      <c r="AP37" s="4">
        <f t="shared" si="217"/>
        <v>1</v>
      </c>
      <c r="AQ37" s="4">
        <f t="shared" si="217"/>
        <v>1</v>
      </c>
      <c r="AR37" s="4">
        <f t="shared" si="217"/>
        <v>0</v>
      </c>
      <c r="AS37" s="4">
        <f t="shared" si="217"/>
        <v>0</v>
      </c>
      <c r="AU37" s="1" t="s">
        <v>48</v>
      </c>
      <c r="AV37" s="1">
        <f t="shared" si="7"/>
        <v>0</v>
      </c>
      <c r="AW37" s="1">
        <f t="shared" si="8"/>
        <v>1</v>
      </c>
      <c r="AX37" s="1">
        <f t="shared" si="9"/>
        <v>0</v>
      </c>
      <c r="AY37" s="1" t="s">
        <v>48</v>
      </c>
      <c r="BA37" s="1" t="s">
        <v>493</v>
      </c>
      <c r="BB37" s="4">
        <f t="shared" ref="BB37:BJ37" si="218">IF(ISNUMBER(SEARCH(BB$1,$BA37)), 1, 0)</f>
        <v>1</v>
      </c>
      <c r="BC37" s="4">
        <f t="shared" si="218"/>
        <v>1</v>
      </c>
      <c r="BD37" s="4">
        <f t="shared" si="218"/>
        <v>1</v>
      </c>
      <c r="BE37" s="4">
        <f t="shared" si="218"/>
        <v>0</v>
      </c>
      <c r="BF37" s="4">
        <f t="shared" si="218"/>
        <v>1</v>
      </c>
      <c r="BG37" s="4">
        <f t="shared" si="218"/>
        <v>0</v>
      </c>
      <c r="BH37" s="4">
        <f t="shared" si="218"/>
        <v>1</v>
      </c>
      <c r="BI37" s="4">
        <f t="shared" si="218"/>
        <v>0</v>
      </c>
      <c r="BJ37" s="4">
        <f t="shared" si="218"/>
        <v>1</v>
      </c>
      <c r="BK37" s="4">
        <f t="shared" si="11"/>
        <v>6</v>
      </c>
      <c r="BM37" s="1" t="s">
        <v>190</v>
      </c>
      <c r="BN37" s="1" t="s">
        <v>340</v>
      </c>
      <c r="BO37" s="4">
        <f t="shared" ref="BO37:BU37" si="219">IF(ISNUMBER(SEARCH(BO$1,$BN37)), 1, 0)</f>
        <v>1</v>
      </c>
      <c r="BP37" s="4">
        <f t="shared" si="219"/>
        <v>1</v>
      </c>
      <c r="BQ37" s="4">
        <f t="shared" si="219"/>
        <v>0</v>
      </c>
      <c r="BR37" s="4">
        <f t="shared" si="219"/>
        <v>0</v>
      </c>
      <c r="BS37" s="4">
        <f t="shared" si="219"/>
        <v>0</v>
      </c>
      <c r="BT37" s="4">
        <f t="shared" si="219"/>
        <v>0</v>
      </c>
      <c r="BU37" s="4">
        <f t="shared" si="219"/>
        <v>0</v>
      </c>
      <c r="BW37" s="1" t="s">
        <v>220</v>
      </c>
      <c r="CB37" s="1" t="s">
        <v>47</v>
      </c>
      <c r="CF37" s="1" t="s">
        <v>387</v>
      </c>
      <c r="CG37" s="1" t="s">
        <v>388</v>
      </c>
      <c r="CH37" s="1" t="s">
        <v>520</v>
      </c>
      <c r="CL37" s="1" t="s">
        <v>177</v>
      </c>
      <c r="CX37" s="1" t="s">
        <v>450</v>
      </c>
      <c r="CZ37" s="1" t="s">
        <v>250</v>
      </c>
      <c r="DB37" s="1" t="s">
        <v>521</v>
      </c>
      <c r="DC37" s="1" t="s">
        <v>238</v>
      </c>
    </row>
    <row r="38" spans="1:107" ht="15.75" customHeight="1" x14ac:dyDescent="0.25">
      <c r="A38" s="1" t="b">
        <v>1</v>
      </c>
      <c r="B38" s="3">
        <v>46166.38758101852</v>
      </c>
      <c r="C38" s="1" t="s">
        <v>635</v>
      </c>
      <c r="D38" s="1" t="s">
        <v>207</v>
      </c>
      <c r="E38" s="4">
        <f t="shared" ref="E38:K38" si="220">IF(ISNUMBER(SEARCH(E$1,$D38)), SEARCH(E$1,$D38), 0)</f>
        <v>1</v>
      </c>
      <c r="F38" s="4">
        <f t="shared" si="220"/>
        <v>30</v>
      </c>
      <c r="G38" s="4">
        <f t="shared" si="220"/>
        <v>0</v>
      </c>
      <c r="H38" s="4">
        <f t="shared" si="220"/>
        <v>0</v>
      </c>
      <c r="I38" s="4">
        <f t="shared" si="220"/>
        <v>0</v>
      </c>
      <c r="J38" s="4">
        <f t="shared" si="220"/>
        <v>0</v>
      </c>
      <c r="K38" s="4">
        <f t="shared" si="220"/>
        <v>0</v>
      </c>
      <c r="L38" s="4">
        <f t="shared" si="1"/>
        <v>30</v>
      </c>
      <c r="N38" s="1" t="s">
        <v>244</v>
      </c>
      <c r="O38" s="4">
        <f t="shared" ref="O38:T38" si="221">IF(ISNUMBER(SEARCH(O$1,$N38)), 1, 0)</f>
        <v>1</v>
      </c>
      <c r="P38" s="4">
        <f t="shared" si="221"/>
        <v>0</v>
      </c>
      <c r="Q38" s="4">
        <f t="shared" si="221"/>
        <v>1</v>
      </c>
      <c r="R38" s="4">
        <f t="shared" si="221"/>
        <v>1</v>
      </c>
      <c r="S38" s="4">
        <f t="shared" si="221"/>
        <v>0</v>
      </c>
      <c r="T38" s="4">
        <f t="shared" si="221"/>
        <v>0</v>
      </c>
      <c r="V38" s="1" t="s">
        <v>24</v>
      </c>
      <c r="W38" s="1" t="str">
        <f t="shared" si="191"/>
        <v>False</v>
      </c>
      <c r="X38" s="1" t="str">
        <f t="shared" si="191"/>
        <v>False</v>
      </c>
      <c r="Y38" s="1" t="str">
        <f t="shared" si="191"/>
        <v>True</v>
      </c>
      <c r="Z38" s="1" t="str">
        <f t="shared" si="191"/>
        <v>False</v>
      </c>
      <c r="AA38" s="1" t="str">
        <f t="shared" si="191"/>
        <v>False</v>
      </c>
      <c r="AB38" s="1" t="s">
        <v>357</v>
      </c>
      <c r="AC38" s="4">
        <f t="shared" ref="AC38:AH38" si="222">IF(ISNUMBER(SEARCH(AC$1,$AB38)), 1, 0)</f>
        <v>1</v>
      </c>
      <c r="AD38" s="4">
        <f t="shared" si="222"/>
        <v>0</v>
      </c>
      <c r="AE38" s="4">
        <f t="shared" si="222"/>
        <v>0</v>
      </c>
      <c r="AF38" s="4">
        <f t="shared" si="222"/>
        <v>0</v>
      </c>
      <c r="AG38" s="4">
        <f t="shared" si="222"/>
        <v>0</v>
      </c>
      <c r="AH38" s="4">
        <f t="shared" si="222"/>
        <v>1</v>
      </c>
      <c r="AI38" s="1">
        <f t="shared" si="5"/>
        <v>2</v>
      </c>
      <c r="AK38" s="1" t="s">
        <v>259</v>
      </c>
      <c r="AL38" s="4">
        <f t="shared" ref="AL38:AS38" si="223">IF(ISNUMBER(SEARCH(AL$1,$AK38)), 1, 0)</f>
        <v>1</v>
      </c>
      <c r="AM38" s="4">
        <f t="shared" si="223"/>
        <v>1</v>
      </c>
      <c r="AN38" s="4">
        <f t="shared" si="223"/>
        <v>0</v>
      </c>
      <c r="AO38" s="4">
        <f t="shared" si="223"/>
        <v>1</v>
      </c>
      <c r="AP38" s="4">
        <f t="shared" si="223"/>
        <v>0</v>
      </c>
      <c r="AQ38" s="4">
        <f t="shared" si="223"/>
        <v>0</v>
      </c>
      <c r="AR38" s="4">
        <f t="shared" si="223"/>
        <v>0</v>
      </c>
      <c r="AS38" s="4">
        <f t="shared" si="223"/>
        <v>0</v>
      </c>
      <c r="AU38" s="1" t="s">
        <v>47</v>
      </c>
      <c r="AV38" s="1">
        <f t="shared" si="7"/>
        <v>1</v>
      </c>
      <c r="AW38" s="1">
        <f t="shared" si="8"/>
        <v>0</v>
      </c>
      <c r="AX38" s="1">
        <f t="shared" si="9"/>
        <v>0</v>
      </c>
      <c r="AY38" s="1" t="s">
        <v>48</v>
      </c>
      <c r="BA38" s="1" t="s">
        <v>318</v>
      </c>
      <c r="BB38" s="4">
        <f t="shared" ref="BB38:BJ38" si="224">IF(ISNUMBER(SEARCH(BB$1,$BA38)), 1, 0)</f>
        <v>0</v>
      </c>
      <c r="BC38" s="4">
        <f t="shared" si="224"/>
        <v>0</v>
      </c>
      <c r="BD38" s="4">
        <f t="shared" si="224"/>
        <v>1</v>
      </c>
      <c r="BE38" s="4">
        <f t="shared" si="224"/>
        <v>1</v>
      </c>
      <c r="BF38" s="4">
        <f t="shared" si="224"/>
        <v>1</v>
      </c>
      <c r="BG38" s="4">
        <f t="shared" si="224"/>
        <v>1</v>
      </c>
      <c r="BH38" s="4">
        <f t="shared" si="224"/>
        <v>0</v>
      </c>
      <c r="BI38" s="4">
        <f t="shared" si="224"/>
        <v>0</v>
      </c>
      <c r="BJ38" s="4">
        <f t="shared" si="224"/>
        <v>1</v>
      </c>
      <c r="BK38" s="4">
        <f t="shared" si="11"/>
        <v>5</v>
      </c>
      <c r="BM38" s="1" t="s">
        <v>232</v>
      </c>
      <c r="BN38" s="1" t="s">
        <v>340</v>
      </c>
      <c r="BO38" s="4">
        <f t="shared" ref="BO38:BU38" si="225">IF(ISNUMBER(SEARCH(BO$1,$BN38)), 1, 0)</f>
        <v>1</v>
      </c>
      <c r="BP38" s="4">
        <f t="shared" si="225"/>
        <v>1</v>
      </c>
      <c r="BQ38" s="4">
        <f t="shared" si="225"/>
        <v>0</v>
      </c>
      <c r="BR38" s="4">
        <f t="shared" si="225"/>
        <v>0</v>
      </c>
      <c r="BS38" s="4">
        <f t="shared" si="225"/>
        <v>0</v>
      </c>
      <c r="BT38" s="4">
        <f t="shared" si="225"/>
        <v>0</v>
      </c>
      <c r="BU38" s="4">
        <f t="shared" si="225"/>
        <v>0</v>
      </c>
      <c r="CX38" s="1" t="s">
        <v>636</v>
      </c>
      <c r="CZ38" s="1" t="s">
        <v>637</v>
      </c>
      <c r="DB38" s="1" t="s">
        <v>638</v>
      </c>
      <c r="DC38" s="1" t="s">
        <v>180</v>
      </c>
    </row>
    <row r="39" spans="1:107" ht="15.75" customHeight="1" x14ac:dyDescent="0.25">
      <c r="A39" s="1" t="b">
        <v>1</v>
      </c>
      <c r="B39" s="3">
        <v>46168.725011574075</v>
      </c>
      <c r="C39" s="1" t="s">
        <v>724</v>
      </c>
      <c r="D39" s="1" t="s">
        <v>207</v>
      </c>
      <c r="E39" s="4">
        <f t="shared" ref="E39:K39" si="226">IF(ISNUMBER(SEARCH(E$1,$D39)), SEARCH(E$1,$D39), 0)</f>
        <v>1</v>
      </c>
      <c r="F39" s="4">
        <f t="shared" si="226"/>
        <v>30</v>
      </c>
      <c r="G39" s="4">
        <f t="shared" si="226"/>
        <v>0</v>
      </c>
      <c r="H39" s="4">
        <f t="shared" si="226"/>
        <v>0</v>
      </c>
      <c r="I39" s="4">
        <f t="shared" si="226"/>
        <v>0</v>
      </c>
      <c r="J39" s="4">
        <f t="shared" si="226"/>
        <v>0</v>
      </c>
      <c r="K39" s="4">
        <f t="shared" si="226"/>
        <v>0</v>
      </c>
      <c r="L39" s="4">
        <f t="shared" si="1"/>
        <v>30</v>
      </c>
      <c r="N39" s="1" t="s">
        <v>208</v>
      </c>
      <c r="O39" s="4">
        <f t="shared" ref="O39:T39" si="227">IF(ISNUMBER(SEARCH(O$1,$N39)), 1, 0)</f>
        <v>1</v>
      </c>
      <c r="P39" s="4">
        <f t="shared" si="227"/>
        <v>1</v>
      </c>
      <c r="Q39" s="4">
        <f t="shared" si="227"/>
        <v>0</v>
      </c>
      <c r="R39" s="4">
        <f t="shared" si="227"/>
        <v>1</v>
      </c>
      <c r="S39" s="4">
        <f t="shared" si="227"/>
        <v>0</v>
      </c>
      <c r="T39" s="4">
        <f t="shared" si="227"/>
        <v>0</v>
      </c>
      <c r="V39" s="1" t="s">
        <v>24</v>
      </c>
      <c r="W39" s="1" t="str">
        <f t="shared" si="191"/>
        <v>False</v>
      </c>
      <c r="X39" s="1" t="str">
        <f t="shared" si="191"/>
        <v>False</v>
      </c>
      <c r="Y39" s="1" t="str">
        <f t="shared" si="191"/>
        <v>True</v>
      </c>
      <c r="Z39" s="1" t="str">
        <f t="shared" si="191"/>
        <v>False</v>
      </c>
      <c r="AA39" s="1" t="str">
        <f t="shared" si="191"/>
        <v>False</v>
      </c>
      <c r="AB39" s="1" t="s">
        <v>357</v>
      </c>
      <c r="AC39" s="4">
        <f t="shared" ref="AC39:AH39" si="228">IF(ISNUMBER(SEARCH(AC$1,$AB39)), 1, 0)</f>
        <v>1</v>
      </c>
      <c r="AD39" s="4">
        <f t="shared" si="228"/>
        <v>0</v>
      </c>
      <c r="AE39" s="4">
        <f t="shared" si="228"/>
        <v>0</v>
      </c>
      <c r="AF39" s="4">
        <f t="shared" si="228"/>
        <v>0</v>
      </c>
      <c r="AG39" s="4">
        <f t="shared" si="228"/>
        <v>0</v>
      </c>
      <c r="AH39" s="4">
        <f t="shared" si="228"/>
        <v>1</v>
      </c>
      <c r="AI39" s="1">
        <f t="shared" si="5"/>
        <v>2</v>
      </c>
      <c r="AK39" s="1" t="s">
        <v>506</v>
      </c>
      <c r="AL39" s="4">
        <f t="shared" ref="AL39:AS39" si="229">IF(ISNUMBER(SEARCH(AL$1,$AK39)), 1, 0)</f>
        <v>1</v>
      </c>
      <c r="AM39" s="4">
        <f t="shared" si="229"/>
        <v>1</v>
      </c>
      <c r="AN39" s="4">
        <f t="shared" si="229"/>
        <v>0</v>
      </c>
      <c r="AO39" s="4">
        <f t="shared" si="229"/>
        <v>0</v>
      </c>
      <c r="AP39" s="4">
        <f t="shared" si="229"/>
        <v>0</v>
      </c>
      <c r="AQ39" s="4">
        <f t="shared" si="229"/>
        <v>0</v>
      </c>
      <c r="AR39" s="4">
        <f t="shared" si="229"/>
        <v>0</v>
      </c>
      <c r="AS39" s="4">
        <f t="shared" si="229"/>
        <v>0</v>
      </c>
      <c r="AU39" s="1" t="s">
        <v>47</v>
      </c>
      <c r="AV39" s="1">
        <f t="shared" si="7"/>
        <v>1</v>
      </c>
      <c r="AW39" s="1">
        <f t="shared" si="8"/>
        <v>0</v>
      </c>
      <c r="AX39" s="1">
        <f t="shared" si="9"/>
        <v>0</v>
      </c>
      <c r="AY39" s="1" t="s">
        <v>48</v>
      </c>
      <c r="BA39" s="1" t="s">
        <v>725</v>
      </c>
      <c r="BB39" s="4">
        <f t="shared" ref="BB39:BJ39" si="230">IF(ISNUMBER(SEARCH(BB$1,$BA39)), 1, 0)</f>
        <v>0</v>
      </c>
      <c r="BC39" s="4">
        <f t="shared" si="230"/>
        <v>1</v>
      </c>
      <c r="BD39" s="4">
        <f t="shared" si="230"/>
        <v>1</v>
      </c>
      <c r="BE39" s="4">
        <f t="shared" si="230"/>
        <v>0</v>
      </c>
      <c r="BF39" s="4">
        <f t="shared" si="230"/>
        <v>1</v>
      </c>
      <c r="BG39" s="4">
        <f t="shared" si="230"/>
        <v>1</v>
      </c>
      <c r="BH39" s="4">
        <f t="shared" si="230"/>
        <v>0</v>
      </c>
      <c r="BI39" s="4">
        <f t="shared" si="230"/>
        <v>0</v>
      </c>
      <c r="BJ39" s="4">
        <f t="shared" si="230"/>
        <v>1</v>
      </c>
      <c r="BK39" s="4">
        <f t="shared" si="11"/>
        <v>5</v>
      </c>
      <c r="BM39" s="1" t="s">
        <v>232</v>
      </c>
      <c r="BN39" s="1" t="s">
        <v>726</v>
      </c>
      <c r="BO39" s="4">
        <f t="shared" ref="BO39:BU39" si="231">IF(ISNUMBER(SEARCH(BO$1,$BN39)), 1, 0)</f>
        <v>0</v>
      </c>
      <c r="BP39" s="4">
        <f t="shared" si="231"/>
        <v>1</v>
      </c>
      <c r="BQ39" s="4">
        <f t="shared" si="231"/>
        <v>0</v>
      </c>
      <c r="BR39" s="4">
        <f t="shared" si="231"/>
        <v>1</v>
      </c>
      <c r="BS39" s="4">
        <f t="shared" si="231"/>
        <v>0</v>
      </c>
      <c r="BT39" s="4">
        <f t="shared" si="231"/>
        <v>0</v>
      </c>
      <c r="BU39" s="4">
        <f t="shared" si="231"/>
        <v>0</v>
      </c>
      <c r="CX39" s="1" t="s">
        <v>686</v>
      </c>
      <c r="CZ39" s="1" t="s">
        <v>250</v>
      </c>
      <c r="DB39" s="1" t="s">
        <v>727</v>
      </c>
      <c r="DC39" s="1" t="s">
        <v>180</v>
      </c>
    </row>
    <row r="40" spans="1:107" ht="15.75" customHeight="1" x14ac:dyDescent="0.25">
      <c r="A40" s="1" t="b">
        <v>1</v>
      </c>
      <c r="B40" s="3">
        <v>46151.550763888888</v>
      </c>
      <c r="C40" s="1" t="s">
        <v>258</v>
      </c>
      <c r="D40" s="1" t="s">
        <v>207</v>
      </c>
      <c r="E40" s="4">
        <f t="shared" ref="E40:K40" si="232">IF(ISNUMBER(SEARCH(E$1,$D40)), SEARCH(E$1,$D40), 0)</f>
        <v>1</v>
      </c>
      <c r="F40" s="4">
        <f t="shared" si="232"/>
        <v>30</v>
      </c>
      <c r="G40" s="4">
        <f t="shared" si="232"/>
        <v>0</v>
      </c>
      <c r="H40" s="4">
        <f t="shared" si="232"/>
        <v>0</v>
      </c>
      <c r="I40" s="4">
        <f t="shared" si="232"/>
        <v>0</v>
      </c>
      <c r="J40" s="4">
        <f t="shared" si="232"/>
        <v>0</v>
      </c>
      <c r="K40" s="4">
        <f t="shared" si="232"/>
        <v>0</v>
      </c>
      <c r="L40" s="4">
        <f t="shared" si="1"/>
        <v>30</v>
      </c>
      <c r="N40" s="1" t="s">
        <v>208</v>
      </c>
      <c r="O40" s="4">
        <f t="shared" ref="O40:T40" si="233">IF(ISNUMBER(SEARCH(O$1,$N40)), 1, 0)</f>
        <v>1</v>
      </c>
      <c r="P40" s="4">
        <f t="shared" si="233"/>
        <v>1</v>
      </c>
      <c r="Q40" s="4">
        <f t="shared" si="233"/>
        <v>0</v>
      </c>
      <c r="R40" s="4">
        <f t="shared" si="233"/>
        <v>1</v>
      </c>
      <c r="S40" s="4">
        <f t="shared" si="233"/>
        <v>0</v>
      </c>
      <c r="T40" s="4">
        <f t="shared" si="233"/>
        <v>0</v>
      </c>
      <c r="W40" s="1" t="str">
        <f t="shared" si="191"/>
        <v>False</v>
      </c>
      <c r="X40" s="1" t="str">
        <f t="shared" si="191"/>
        <v>False</v>
      </c>
      <c r="Y40" s="1" t="str">
        <f t="shared" si="191"/>
        <v>False</v>
      </c>
      <c r="Z40" s="1" t="str">
        <f t="shared" si="191"/>
        <v>False</v>
      </c>
      <c r="AA40" s="1" t="str">
        <f t="shared" si="191"/>
        <v>False</v>
      </c>
      <c r="AB40" s="1" t="s">
        <v>245</v>
      </c>
      <c r="AC40" s="4">
        <f t="shared" ref="AC40:AH40" si="234">IF(ISNUMBER(SEARCH(AC$1,$AB40)), 1, 0)</f>
        <v>1</v>
      </c>
      <c r="AD40" s="4">
        <f t="shared" si="234"/>
        <v>0</v>
      </c>
      <c r="AE40" s="4">
        <f t="shared" si="234"/>
        <v>0</v>
      </c>
      <c r="AF40" s="4">
        <f t="shared" si="234"/>
        <v>1</v>
      </c>
      <c r="AG40" s="4">
        <f t="shared" si="234"/>
        <v>0</v>
      </c>
      <c r="AH40" s="4">
        <f t="shared" si="234"/>
        <v>0</v>
      </c>
      <c r="AI40" s="1">
        <f t="shared" si="5"/>
        <v>2</v>
      </c>
      <c r="AK40" s="1" t="s">
        <v>259</v>
      </c>
      <c r="AL40" s="4">
        <f t="shared" ref="AL40:AS40" si="235">IF(ISNUMBER(SEARCH(AL$1,$AK40)), 1, 0)</f>
        <v>1</v>
      </c>
      <c r="AM40" s="4">
        <f t="shared" si="235"/>
        <v>1</v>
      </c>
      <c r="AN40" s="4">
        <f t="shared" si="235"/>
        <v>0</v>
      </c>
      <c r="AO40" s="4">
        <f t="shared" si="235"/>
        <v>1</v>
      </c>
      <c r="AP40" s="4">
        <f t="shared" si="235"/>
        <v>0</v>
      </c>
      <c r="AQ40" s="4">
        <f t="shared" si="235"/>
        <v>0</v>
      </c>
      <c r="AR40" s="4">
        <f t="shared" si="235"/>
        <v>0</v>
      </c>
      <c r="AS40" s="4">
        <f t="shared" si="235"/>
        <v>0</v>
      </c>
      <c r="AU40" s="1" t="s">
        <v>48</v>
      </c>
      <c r="AV40" s="1">
        <f t="shared" si="7"/>
        <v>0</v>
      </c>
      <c r="AW40" s="1">
        <f t="shared" si="8"/>
        <v>1</v>
      </c>
      <c r="AX40" s="1">
        <f t="shared" si="9"/>
        <v>0</v>
      </c>
      <c r="AY40" s="1" t="s">
        <v>48</v>
      </c>
      <c r="BA40" s="1" t="s">
        <v>231</v>
      </c>
      <c r="BB40" s="4">
        <f t="shared" ref="BB40:BJ40" si="236">IF(ISNUMBER(SEARCH(BB$1,$BA40)), 1, 0)</f>
        <v>1</v>
      </c>
      <c r="BC40" s="4">
        <f t="shared" si="236"/>
        <v>1</v>
      </c>
      <c r="BD40" s="4">
        <f t="shared" si="236"/>
        <v>1</v>
      </c>
      <c r="BE40" s="4">
        <f t="shared" si="236"/>
        <v>1</v>
      </c>
      <c r="BF40" s="4">
        <f t="shared" si="236"/>
        <v>1</v>
      </c>
      <c r="BG40" s="4">
        <f t="shared" si="236"/>
        <v>1</v>
      </c>
      <c r="BH40" s="4">
        <f t="shared" si="236"/>
        <v>0</v>
      </c>
      <c r="BI40" s="4">
        <f t="shared" si="236"/>
        <v>0</v>
      </c>
      <c r="BJ40" s="4">
        <f t="shared" si="236"/>
        <v>1</v>
      </c>
      <c r="BK40" s="4">
        <f t="shared" si="11"/>
        <v>7</v>
      </c>
      <c r="BM40" s="1" t="s">
        <v>232</v>
      </c>
      <c r="BN40" s="1" t="s">
        <v>260</v>
      </c>
      <c r="BO40" s="4">
        <f t="shared" ref="BO40:BU40" si="237">IF(ISNUMBER(SEARCH(BO$1,$BN40)), 1, 0)</f>
        <v>0</v>
      </c>
      <c r="BP40" s="4">
        <f t="shared" si="237"/>
        <v>1</v>
      </c>
      <c r="BQ40" s="4">
        <f t="shared" si="237"/>
        <v>0</v>
      </c>
      <c r="BR40" s="4">
        <f t="shared" si="237"/>
        <v>1</v>
      </c>
      <c r="BS40" s="4">
        <f t="shared" si="237"/>
        <v>0</v>
      </c>
      <c r="BT40" s="4">
        <f t="shared" si="237"/>
        <v>0</v>
      </c>
      <c r="BU40" s="4">
        <f t="shared" si="237"/>
        <v>1</v>
      </c>
      <c r="BW40" s="1" t="s">
        <v>212</v>
      </c>
      <c r="BZ40" s="1" t="s">
        <v>256</v>
      </c>
      <c r="CX40" s="1" t="s">
        <v>261</v>
      </c>
      <c r="CZ40" s="1" t="s">
        <v>262</v>
      </c>
      <c r="DB40" s="1" t="s">
        <v>263</v>
      </c>
      <c r="DC40" s="1" t="s">
        <v>238</v>
      </c>
    </row>
    <row r="41" spans="1:107" ht="15.75" customHeight="1" x14ac:dyDescent="0.25">
      <c r="A41" s="1" t="b">
        <v>1</v>
      </c>
      <c r="B41" s="3">
        <v>46150.797233796293</v>
      </c>
      <c r="C41" s="1" t="s">
        <v>206</v>
      </c>
      <c r="D41" s="1" t="s">
        <v>207</v>
      </c>
      <c r="E41" s="4">
        <f t="shared" ref="E41:K41" si="238">IF(ISNUMBER(SEARCH(E$1,$D41)), SEARCH(E$1,$D41), 0)</f>
        <v>1</v>
      </c>
      <c r="F41" s="4">
        <f t="shared" si="238"/>
        <v>30</v>
      </c>
      <c r="G41" s="4">
        <f t="shared" si="238"/>
        <v>0</v>
      </c>
      <c r="H41" s="4">
        <f t="shared" si="238"/>
        <v>0</v>
      </c>
      <c r="I41" s="4">
        <f t="shared" si="238"/>
        <v>0</v>
      </c>
      <c r="J41" s="4">
        <f t="shared" si="238"/>
        <v>0</v>
      </c>
      <c r="K41" s="4">
        <f t="shared" si="238"/>
        <v>0</v>
      </c>
      <c r="L41" s="4">
        <f t="shared" si="1"/>
        <v>30</v>
      </c>
      <c r="N41" s="1" t="s">
        <v>208</v>
      </c>
      <c r="O41" s="4">
        <f t="shared" ref="O41:T41" si="239">IF(ISNUMBER(SEARCH(O$1,$N41)), 1, 0)</f>
        <v>1</v>
      </c>
      <c r="P41" s="4">
        <f t="shared" si="239"/>
        <v>1</v>
      </c>
      <c r="Q41" s="4">
        <f t="shared" si="239"/>
        <v>0</v>
      </c>
      <c r="R41" s="4">
        <f t="shared" si="239"/>
        <v>1</v>
      </c>
      <c r="S41" s="4">
        <f t="shared" si="239"/>
        <v>0</v>
      </c>
      <c r="T41" s="4">
        <f t="shared" si="239"/>
        <v>0</v>
      </c>
      <c r="W41" s="1" t="str">
        <f t="shared" si="191"/>
        <v>False</v>
      </c>
      <c r="X41" s="1" t="str">
        <f t="shared" si="191"/>
        <v>False</v>
      </c>
      <c r="Y41" s="1" t="str">
        <f t="shared" si="191"/>
        <v>False</v>
      </c>
      <c r="Z41" s="1" t="str">
        <f t="shared" si="191"/>
        <v>False</v>
      </c>
      <c r="AA41" s="1" t="str">
        <f t="shared" si="191"/>
        <v>False</v>
      </c>
      <c r="AB41" s="1" t="s">
        <v>209</v>
      </c>
      <c r="AC41" s="4">
        <f t="shared" ref="AC41:AH41" si="240">IF(ISNUMBER(SEARCH(AC$1,$AB41)), 1, 0)</f>
        <v>1</v>
      </c>
      <c r="AD41" s="4">
        <f t="shared" si="240"/>
        <v>1</v>
      </c>
      <c r="AE41" s="4">
        <f t="shared" si="240"/>
        <v>0</v>
      </c>
      <c r="AF41" s="4">
        <f t="shared" si="240"/>
        <v>1</v>
      </c>
      <c r="AG41" s="4">
        <f t="shared" si="240"/>
        <v>1</v>
      </c>
      <c r="AH41" s="4">
        <f t="shared" si="240"/>
        <v>0</v>
      </c>
      <c r="AI41" s="1">
        <f t="shared" si="5"/>
        <v>4</v>
      </c>
      <c r="AK41" s="1" t="s">
        <v>210</v>
      </c>
      <c r="AL41" s="4">
        <f t="shared" ref="AL41:AS41" si="241">IF(ISNUMBER(SEARCH(AL$1,$AK41)), 1, 0)</f>
        <v>1</v>
      </c>
      <c r="AM41" s="4">
        <f t="shared" si="241"/>
        <v>1</v>
      </c>
      <c r="AN41" s="4">
        <f t="shared" si="241"/>
        <v>1</v>
      </c>
      <c r="AO41" s="4">
        <f t="shared" si="241"/>
        <v>1</v>
      </c>
      <c r="AP41" s="4">
        <f t="shared" si="241"/>
        <v>0</v>
      </c>
      <c r="AQ41" s="4">
        <f t="shared" si="241"/>
        <v>0</v>
      </c>
      <c r="AR41" s="4">
        <f t="shared" si="241"/>
        <v>0</v>
      </c>
      <c r="AS41" s="4">
        <f t="shared" si="241"/>
        <v>0</v>
      </c>
      <c r="AU41" s="1" t="s">
        <v>48</v>
      </c>
      <c r="AV41" s="1">
        <f t="shared" si="7"/>
        <v>0</v>
      </c>
      <c r="AW41" s="1">
        <f t="shared" si="8"/>
        <v>1</v>
      </c>
      <c r="AX41" s="1">
        <f t="shared" si="9"/>
        <v>0</v>
      </c>
      <c r="AY41" s="1" t="s">
        <v>47</v>
      </c>
      <c r="AZ41" s="1" t="s">
        <v>47</v>
      </c>
      <c r="BA41" s="1" t="s">
        <v>211</v>
      </c>
      <c r="BB41" s="4">
        <f t="shared" ref="BB41:BJ41" si="242">IF(ISNUMBER(SEARCH(BB$1,$BA41)), 1, 0)</f>
        <v>1</v>
      </c>
      <c r="BC41" s="4">
        <f t="shared" si="242"/>
        <v>1</v>
      </c>
      <c r="BD41" s="4">
        <f t="shared" si="242"/>
        <v>1</v>
      </c>
      <c r="BE41" s="4">
        <f t="shared" si="242"/>
        <v>1</v>
      </c>
      <c r="BF41" s="4">
        <f t="shared" si="242"/>
        <v>0</v>
      </c>
      <c r="BG41" s="4">
        <f t="shared" si="242"/>
        <v>1</v>
      </c>
      <c r="BH41" s="4">
        <f t="shared" si="242"/>
        <v>0</v>
      </c>
      <c r="BI41" s="4">
        <f t="shared" si="242"/>
        <v>0</v>
      </c>
      <c r="BJ41" s="4">
        <f t="shared" si="242"/>
        <v>0</v>
      </c>
      <c r="BK41" s="4">
        <f t="shared" si="11"/>
        <v>5</v>
      </c>
      <c r="BO41" s="4">
        <f t="shared" ref="BO41:BU41" si="243">IF(ISNUMBER(SEARCH(BO$1,$BN41)), 1, 0)</f>
        <v>0</v>
      </c>
      <c r="BP41" s="4">
        <f t="shared" si="243"/>
        <v>0</v>
      </c>
      <c r="BQ41" s="4">
        <f t="shared" si="243"/>
        <v>0</v>
      </c>
      <c r="BR41" s="4">
        <f t="shared" si="243"/>
        <v>0</v>
      </c>
      <c r="BS41" s="4">
        <f t="shared" si="243"/>
        <v>0</v>
      </c>
      <c r="BT41" s="4">
        <f t="shared" si="243"/>
        <v>0</v>
      </c>
      <c r="BU41" s="4">
        <f t="shared" si="243"/>
        <v>0</v>
      </c>
      <c r="BW41" s="1" t="s">
        <v>212</v>
      </c>
      <c r="CX41" s="1" t="s">
        <v>213</v>
      </c>
      <c r="CZ41" s="1" t="s">
        <v>214</v>
      </c>
      <c r="DB41" s="1" t="s">
        <v>215</v>
      </c>
      <c r="DC41" s="1" t="s">
        <v>180</v>
      </c>
    </row>
    <row r="42" spans="1:107" ht="15.75" customHeight="1" x14ac:dyDescent="0.25">
      <c r="A42" s="1" t="b">
        <v>1</v>
      </c>
      <c r="B42" s="3">
        <v>46159.974074074074</v>
      </c>
      <c r="C42" s="1" t="s">
        <v>400</v>
      </c>
      <c r="D42" s="1" t="s">
        <v>207</v>
      </c>
      <c r="E42" s="4">
        <f t="shared" ref="E42:K42" si="244">IF(ISNUMBER(SEARCH(E$1,$D42)), SEARCH(E$1,$D42), 0)</f>
        <v>1</v>
      </c>
      <c r="F42" s="4">
        <f t="shared" si="244"/>
        <v>30</v>
      </c>
      <c r="G42" s="4">
        <f t="shared" si="244"/>
        <v>0</v>
      </c>
      <c r="H42" s="4">
        <f t="shared" si="244"/>
        <v>0</v>
      </c>
      <c r="I42" s="4">
        <f t="shared" si="244"/>
        <v>0</v>
      </c>
      <c r="J42" s="4">
        <f t="shared" si="244"/>
        <v>0</v>
      </c>
      <c r="K42" s="4">
        <f t="shared" si="244"/>
        <v>0</v>
      </c>
      <c r="L42" s="4">
        <f t="shared" si="1"/>
        <v>30</v>
      </c>
      <c r="N42" s="1" t="s">
        <v>187</v>
      </c>
      <c r="O42" s="4">
        <f t="shared" ref="O42:T42" si="245">IF(ISNUMBER(SEARCH(O$1,$N42)), 1, 0)</f>
        <v>1</v>
      </c>
      <c r="P42" s="4">
        <f t="shared" si="245"/>
        <v>1</v>
      </c>
      <c r="Q42" s="4">
        <f t="shared" si="245"/>
        <v>1</v>
      </c>
      <c r="R42" s="4">
        <f t="shared" si="245"/>
        <v>1</v>
      </c>
      <c r="S42" s="4">
        <f t="shared" si="245"/>
        <v>1</v>
      </c>
      <c r="T42" s="4">
        <f t="shared" si="245"/>
        <v>1</v>
      </c>
      <c r="W42" s="1" t="str">
        <f t="shared" si="191"/>
        <v>False</v>
      </c>
      <c r="X42" s="1" t="str">
        <f t="shared" si="191"/>
        <v>False</v>
      </c>
      <c r="Y42" s="1" t="str">
        <f t="shared" si="191"/>
        <v>False</v>
      </c>
      <c r="Z42" s="1" t="str">
        <f t="shared" si="191"/>
        <v>False</v>
      </c>
      <c r="AA42" s="1" t="str">
        <f t="shared" si="191"/>
        <v>False</v>
      </c>
      <c r="AB42" s="1" t="s">
        <v>401</v>
      </c>
      <c r="AC42" s="4">
        <f t="shared" ref="AC42:AH42" si="246">IF(ISNUMBER(SEARCH(AC$1,$AB42)), 1, 0)</f>
        <v>0</v>
      </c>
      <c r="AD42" s="4">
        <f t="shared" si="246"/>
        <v>0</v>
      </c>
      <c r="AE42" s="4">
        <f t="shared" si="246"/>
        <v>0</v>
      </c>
      <c r="AF42" s="4">
        <f t="shared" si="246"/>
        <v>0</v>
      </c>
      <c r="AG42" s="4">
        <f t="shared" si="246"/>
        <v>0</v>
      </c>
      <c r="AH42" s="4">
        <f t="shared" si="246"/>
        <v>1</v>
      </c>
      <c r="AI42" s="1">
        <f t="shared" si="5"/>
        <v>1</v>
      </c>
      <c r="AJ42" s="1" t="s">
        <v>402</v>
      </c>
      <c r="AK42" s="1" t="s">
        <v>183</v>
      </c>
      <c r="AL42" s="4">
        <f t="shared" ref="AL42:AS42" si="247">IF(ISNUMBER(SEARCH(AL$1,$AK42)), 1, 0)</f>
        <v>0</v>
      </c>
      <c r="AM42" s="4">
        <f t="shared" si="247"/>
        <v>0</v>
      </c>
      <c r="AN42" s="4">
        <f t="shared" si="247"/>
        <v>0</v>
      </c>
      <c r="AO42" s="4">
        <f t="shared" si="247"/>
        <v>0</v>
      </c>
      <c r="AP42" s="4">
        <f t="shared" si="247"/>
        <v>0</v>
      </c>
      <c r="AQ42" s="4">
        <f t="shared" si="247"/>
        <v>0</v>
      </c>
      <c r="AR42" s="4">
        <f t="shared" si="247"/>
        <v>0</v>
      </c>
      <c r="AS42" s="4">
        <f t="shared" si="247"/>
        <v>0</v>
      </c>
      <c r="AT42" s="1" t="s">
        <v>403</v>
      </c>
      <c r="AU42" s="1" t="s">
        <v>48</v>
      </c>
      <c r="AV42" s="1">
        <f t="shared" si="7"/>
        <v>0</v>
      </c>
      <c r="AW42" s="1">
        <f t="shared" si="8"/>
        <v>1</v>
      </c>
      <c r="AX42" s="1">
        <f t="shared" si="9"/>
        <v>0</v>
      </c>
      <c r="AY42" s="1" t="s">
        <v>48</v>
      </c>
      <c r="BA42" s="1" t="s">
        <v>61</v>
      </c>
      <c r="BB42" s="4">
        <f t="shared" ref="BB42:BJ42" si="248">IF(ISNUMBER(SEARCH(BB$1,$BA42)), 1, 0)</f>
        <v>0</v>
      </c>
      <c r="BC42" s="4">
        <f t="shared" si="248"/>
        <v>0</v>
      </c>
      <c r="BD42" s="4">
        <f t="shared" si="248"/>
        <v>0</v>
      </c>
      <c r="BE42" s="4">
        <f t="shared" si="248"/>
        <v>0</v>
      </c>
      <c r="BF42" s="4">
        <f t="shared" si="248"/>
        <v>0</v>
      </c>
      <c r="BG42" s="4">
        <f t="shared" si="248"/>
        <v>0</v>
      </c>
      <c r="BH42" s="4">
        <f t="shared" si="248"/>
        <v>0</v>
      </c>
      <c r="BI42" s="4">
        <f t="shared" si="248"/>
        <v>0</v>
      </c>
      <c r="BJ42" s="4">
        <f t="shared" si="248"/>
        <v>1</v>
      </c>
      <c r="BK42" s="4">
        <f t="shared" si="11"/>
        <v>1</v>
      </c>
      <c r="BM42" s="1" t="s">
        <v>166</v>
      </c>
      <c r="BN42" s="1" t="s">
        <v>404</v>
      </c>
      <c r="BO42" s="4">
        <f t="shared" ref="BO42:BU42" si="249">IF(ISNUMBER(SEARCH(BO$1,$BN42)), 1, 0)</f>
        <v>0</v>
      </c>
      <c r="BP42" s="4">
        <f t="shared" si="249"/>
        <v>0</v>
      </c>
      <c r="BQ42" s="4">
        <f t="shared" si="249"/>
        <v>0</v>
      </c>
      <c r="BR42" s="4">
        <f t="shared" si="249"/>
        <v>0</v>
      </c>
      <c r="BS42" s="4">
        <f t="shared" si="249"/>
        <v>0</v>
      </c>
      <c r="BT42" s="4">
        <f t="shared" si="249"/>
        <v>0</v>
      </c>
      <c r="BU42" s="4">
        <f t="shared" si="249"/>
        <v>0</v>
      </c>
      <c r="BV42" s="1" t="s">
        <v>405</v>
      </c>
      <c r="BW42" s="1" t="s">
        <v>212</v>
      </c>
      <c r="BZ42" s="1" t="s">
        <v>406</v>
      </c>
      <c r="CX42" s="1" t="s">
        <v>320</v>
      </c>
      <c r="DC42" s="1" t="s">
        <v>238</v>
      </c>
    </row>
    <row r="43" spans="1:107" ht="15.75" customHeight="1" x14ac:dyDescent="0.25">
      <c r="A43" s="1" t="b">
        <v>1</v>
      </c>
      <c r="B43" s="3">
        <v>46173.256076388891</v>
      </c>
      <c r="C43" s="1" t="s">
        <v>798</v>
      </c>
      <c r="D43" s="1" t="s">
        <v>207</v>
      </c>
      <c r="E43" s="4">
        <f t="shared" ref="E43:K43" si="250">IF(ISNUMBER(SEARCH(E$1,$D43)), SEARCH(E$1,$D43), 0)</f>
        <v>1</v>
      </c>
      <c r="F43" s="4">
        <f t="shared" si="250"/>
        <v>30</v>
      </c>
      <c r="G43" s="4">
        <f t="shared" si="250"/>
        <v>0</v>
      </c>
      <c r="H43" s="4">
        <f t="shared" si="250"/>
        <v>0</v>
      </c>
      <c r="I43" s="4">
        <f t="shared" si="250"/>
        <v>0</v>
      </c>
      <c r="J43" s="4">
        <f t="shared" si="250"/>
        <v>0</v>
      </c>
      <c r="K43" s="4">
        <f t="shared" si="250"/>
        <v>0</v>
      </c>
      <c r="L43" s="4">
        <f t="shared" si="1"/>
        <v>30</v>
      </c>
      <c r="N43" s="1" t="s">
        <v>272</v>
      </c>
      <c r="O43" s="4">
        <f t="shared" ref="O43:T43" si="251">IF(ISNUMBER(SEARCH(O$1,$N43)), 1, 0)</f>
        <v>1</v>
      </c>
      <c r="P43" s="4">
        <f t="shared" si="251"/>
        <v>1</v>
      </c>
      <c r="Q43" s="4">
        <f t="shared" si="251"/>
        <v>1</v>
      </c>
      <c r="R43" s="4">
        <f t="shared" si="251"/>
        <v>1</v>
      </c>
      <c r="S43" s="4">
        <f t="shared" si="251"/>
        <v>1</v>
      </c>
      <c r="T43" s="4">
        <f t="shared" si="251"/>
        <v>0</v>
      </c>
      <c r="V43" s="1" t="s">
        <v>23</v>
      </c>
      <c r="W43" s="1" t="str">
        <f t="shared" ref="W43:AA52" si="252">IF(W$1=$V43, "True", "False")</f>
        <v>False</v>
      </c>
      <c r="X43" s="1" t="str">
        <f t="shared" si="252"/>
        <v>True</v>
      </c>
      <c r="Y43" s="1" t="str">
        <f t="shared" si="252"/>
        <v>False</v>
      </c>
      <c r="Z43" s="1" t="str">
        <f t="shared" si="252"/>
        <v>False</v>
      </c>
      <c r="AA43" s="1" t="str">
        <f t="shared" si="252"/>
        <v>False</v>
      </c>
      <c r="AB43" s="1" t="s">
        <v>799</v>
      </c>
      <c r="AC43" s="4">
        <f t="shared" ref="AC43:AH43" si="253">IF(ISNUMBER(SEARCH(AC$1,$AB43)), 1, 0)</f>
        <v>1</v>
      </c>
      <c r="AD43" s="4">
        <f t="shared" si="253"/>
        <v>0</v>
      </c>
      <c r="AE43" s="4">
        <f t="shared" si="253"/>
        <v>0</v>
      </c>
      <c r="AF43" s="4">
        <f t="shared" si="253"/>
        <v>0</v>
      </c>
      <c r="AG43" s="4">
        <f t="shared" si="253"/>
        <v>1</v>
      </c>
      <c r="AH43" s="4">
        <f t="shared" si="253"/>
        <v>1</v>
      </c>
      <c r="AI43" s="1">
        <f t="shared" si="5"/>
        <v>3</v>
      </c>
      <c r="AK43" s="1" t="s">
        <v>346</v>
      </c>
      <c r="AL43" s="4">
        <f t="shared" ref="AL43:AS43" si="254">IF(ISNUMBER(SEARCH(AL$1,$AK43)), 1, 0)</f>
        <v>0</v>
      </c>
      <c r="AM43" s="4">
        <f t="shared" si="254"/>
        <v>1</v>
      </c>
      <c r="AN43" s="4">
        <f t="shared" si="254"/>
        <v>1</v>
      </c>
      <c r="AO43" s="4">
        <f t="shared" si="254"/>
        <v>1</v>
      </c>
      <c r="AP43" s="4">
        <f t="shared" si="254"/>
        <v>0</v>
      </c>
      <c r="AQ43" s="4">
        <f t="shared" si="254"/>
        <v>0</v>
      </c>
      <c r="AR43" s="4">
        <f t="shared" si="254"/>
        <v>0</v>
      </c>
      <c r="AS43" s="4">
        <f t="shared" si="254"/>
        <v>0</v>
      </c>
      <c r="AU43" s="1" t="s">
        <v>48</v>
      </c>
      <c r="AV43" s="1">
        <f t="shared" si="7"/>
        <v>0</v>
      </c>
      <c r="AW43" s="1">
        <f t="shared" si="8"/>
        <v>1</v>
      </c>
      <c r="AX43" s="1">
        <f t="shared" si="9"/>
        <v>0</v>
      </c>
      <c r="AY43" s="1" t="s">
        <v>48</v>
      </c>
      <c r="BA43" s="1" t="s">
        <v>800</v>
      </c>
      <c r="BB43" s="4">
        <f t="shared" ref="BB43:BJ43" si="255">IF(ISNUMBER(SEARCH(BB$1,$BA43)), 1, 0)</f>
        <v>1</v>
      </c>
      <c r="BC43" s="4">
        <f t="shared" si="255"/>
        <v>1</v>
      </c>
      <c r="BD43" s="4">
        <f t="shared" si="255"/>
        <v>1</v>
      </c>
      <c r="BE43" s="4">
        <f t="shared" si="255"/>
        <v>1</v>
      </c>
      <c r="BF43" s="4">
        <f t="shared" si="255"/>
        <v>1</v>
      </c>
      <c r="BG43" s="4">
        <f t="shared" si="255"/>
        <v>1</v>
      </c>
      <c r="BH43" s="4">
        <f t="shared" si="255"/>
        <v>0</v>
      </c>
      <c r="BI43" s="4">
        <f t="shared" si="255"/>
        <v>0</v>
      </c>
      <c r="BJ43" s="4">
        <f t="shared" si="255"/>
        <v>0</v>
      </c>
      <c r="BK43" s="4">
        <f t="shared" si="11"/>
        <v>6</v>
      </c>
      <c r="BM43" s="1" t="s">
        <v>232</v>
      </c>
      <c r="BN43" s="1" t="s">
        <v>666</v>
      </c>
      <c r="BO43" s="4">
        <f t="shared" ref="BO43:BU43" si="256">IF(ISNUMBER(SEARCH(BO$1,$BN43)), 1, 0)</f>
        <v>0</v>
      </c>
      <c r="BP43" s="4">
        <f t="shared" si="256"/>
        <v>0</v>
      </c>
      <c r="BQ43" s="4">
        <f t="shared" si="256"/>
        <v>0</v>
      </c>
      <c r="BR43" s="4">
        <f t="shared" si="256"/>
        <v>1</v>
      </c>
      <c r="BS43" s="4">
        <f t="shared" si="256"/>
        <v>1</v>
      </c>
      <c r="BT43" s="4">
        <f t="shared" si="256"/>
        <v>0</v>
      </c>
      <c r="BU43" s="4">
        <f t="shared" si="256"/>
        <v>1</v>
      </c>
      <c r="BW43" s="1" t="s">
        <v>220</v>
      </c>
      <c r="CX43" s="1" t="s">
        <v>678</v>
      </c>
      <c r="CZ43" s="1" t="s">
        <v>644</v>
      </c>
      <c r="DC43" s="1" t="s">
        <v>180</v>
      </c>
    </row>
    <row r="44" spans="1:107" ht="15.75" customHeight="1" x14ac:dyDescent="0.25">
      <c r="A44" s="1" t="b">
        <v>1</v>
      </c>
      <c r="B44" s="3">
        <v>46165.493495370371</v>
      </c>
      <c r="C44" s="1" t="s">
        <v>618</v>
      </c>
      <c r="D44" s="1" t="s">
        <v>207</v>
      </c>
      <c r="E44" s="4">
        <f t="shared" ref="E44:K44" si="257">IF(ISNUMBER(SEARCH(E$1,$D44)), SEARCH(E$1,$D44), 0)</f>
        <v>1</v>
      </c>
      <c r="F44" s="4">
        <f t="shared" si="257"/>
        <v>30</v>
      </c>
      <c r="G44" s="4">
        <f t="shared" si="257"/>
        <v>0</v>
      </c>
      <c r="H44" s="4">
        <f t="shared" si="257"/>
        <v>0</v>
      </c>
      <c r="I44" s="4">
        <f t="shared" si="257"/>
        <v>0</v>
      </c>
      <c r="J44" s="4">
        <f t="shared" si="257"/>
        <v>0</v>
      </c>
      <c r="K44" s="4">
        <f t="shared" si="257"/>
        <v>0</v>
      </c>
      <c r="L44" s="4">
        <f t="shared" si="1"/>
        <v>30</v>
      </c>
      <c r="N44" s="1" t="s">
        <v>328</v>
      </c>
      <c r="O44" s="4">
        <f t="shared" ref="O44:T44" si="258">IF(ISNUMBER(SEARCH(O$1,$N44)), 1, 0)</f>
        <v>1</v>
      </c>
      <c r="P44" s="4">
        <f t="shared" si="258"/>
        <v>1</v>
      </c>
      <c r="Q44" s="4">
        <f t="shared" si="258"/>
        <v>1</v>
      </c>
      <c r="R44" s="4">
        <f t="shared" si="258"/>
        <v>0</v>
      </c>
      <c r="S44" s="4">
        <f t="shared" si="258"/>
        <v>0</v>
      </c>
      <c r="T44" s="4">
        <f t="shared" si="258"/>
        <v>0</v>
      </c>
      <c r="W44" s="1" t="str">
        <f t="shared" si="252"/>
        <v>False</v>
      </c>
      <c r="X44" s="1" t="str">
        <f t="shared" si="252"/>
        <v>False</v>
      </c>
      <c r="Y44" s="1" t="str">
        <f t="shared" si="252"/>
        <v>False</v>
      </c>
      <c r="Z44" s="1" t="str">
        <f t="shared" si="252"/>
        <v>False</v>
      </c>
      <c r="AA44" s="1" t="str">
        <f t="shared" si="252"/>
        <v>False</v>
      </c>
      <c r="AB44" s="1" t="s">
        <v>183</v>
      </c>
      <c r="AC44" s="4">
        <f t="shared" ref="AC44:AH44" si="259">IF(ISNUMBER(SEARCH(AC$1,$AB44)), 1, 0)</f>
        <v>0</v>
      </c>
      <c r="AD44" s="4">
        <f t="shared" si="259"/>
        <v>0</v>
      </c>
      <c r="AE44" s="4">
        <f t="shared" si="259"/>
        <v>0</v>
      </c>
      <c r="AF44" s="4">
        <f t="shared" si="259"/>
        <v>0</v>
      </c>
      <c r="AG44" s="4">
        <f t="shared" si="259"/>
        <v>0</v>
      </c>
      <c r="AH44" s="4">
        <f t="shared" si="259"/>
        <v>0</v>
      </c>
      <c r="AI44" s="1">
        <f t="shared" si="5"/>
        <v>0</v>
      </c>
      <c r="AJ44" s="1" t="s">
        <v>619</v>
      </c>
      <c r="AK44" s="1" t="s">
        <v>288</v>
      </c>
      <c r="AL44" s="4">
        <f t="shared" ref="AL44:AS44" si="260">IF(ISNUMBER(SEARCH(AL$1,$AK44)), 1, 0)</f>
        <v>0</v>
      </c>
      <c r="AM44" s="4">
        <f t="shared" si="260"/>
        <v>1</v>
      </c>
      <c r="AN44" s="4">
        <f t="shared" si="260"/>
        <v>0</v>
      </c>
      <c r="AO44" s="4">
        <f t="shared" si="260"/>
        <v>1</v>
      </c>
      <c r="AP44" s="4">
        <f t="shared" si="260"/>
        <v>0</v>
      </c>
      <c r="AQ44" s="4">
        <f t="shared" si="260"/>
        <v>0</v>
      </c>
      <c r="AR44" s="4">
        <f t="shared" si="260"/>
        <v>0</v>
      </c>
      <c r="AS44" s="4">
        <f t="shared" si="260"/>
        <v>0</v>
      </c>
      <c r="AU44" s="1" t="s">
        <v>47</v>
      </c>
      <c r="AV44" s="1">
        <f t="shared" si="7"/>
        <v>1</v>
      </c>
      <c r="AW44" s="1">
        <f t="shared" si="8"/>
        <v>0</v>
      </c>
      <c r="AX44" s="1">
        <f t="shared" si="9"/>
        <v>0</v>
      </c>
      <c r="AY44" s="1" t="s">
        <v>48</v>
      </c>
      <c r="BA44" s="1" t="s">
        <v>61</v>
      </c>
      <c r="BB44" s="4">
        <f t="shared" ref="BB44:BJ44" si="261">IF(ISNUMBER(SEARCH(BB$1,$BA44)), 1, 0)</f>
        <v>0</v>
      </c>
      <c r="BC44" s="4">
        <f t="shared" si="261"/>
        <v>0</v>
      </c>
      <c r="BD44" s="4">
        <f t="shared" si="261"/>
        <v>0</v>
      </c>
      <c r="BE44" s="4">
        <f t="shared" si="261"/>
        <v>0</v>
      </c>
      <c r="BF44" s="4">
        <f t="shared" si="261"/>
        <v>0</v>
      </c>
      <c r="BG44" s="4">
        <f t="shared" si="261"/>
        <v>0</v>
      </c>
      <c r="BH44" s="4">
        <f t="shared" si="261"/>
        <v>0</v>
      </c>
      <c r="BI44" s="4">
        <f t="shared" si="261"/>
        <v>0</v>
      </c>
      <c r="BJ44" s="4">
        <f t="shared" si="261"/>
        <v>1</v>
      </c>
      <c r="BK44" s="4">
        <f t="shared" si="11"/>
        <v>1</v>
      </c>
      <c r="BM44" s="1" t="s">
        <v>166</v>
      </c>
      <c r="BN44" s="1" t="s">
        <v>69</v>
      </c>
      <c r="BO44" s="4">
        <f t="shared" ref="BO44:BU44" si="262">IF(ISNUMBER(SEARCH(BO$1,$BN44)), 1, 0)</f>
        <v>0</v>
      </c>
      <c r="BP44" s="4">
        <f t="shared" si="262"/>
        <v>0</v>
      </c>
      <c r="BQ44" s="4">
        <f t="shared" si="262"/>
        <v>0</v>
      </c>
      <c r="BR44" s="4">
        <f t="shared" si="262"/>
        <v>1</v>
      </c>
      <c r="BS44" s="4">
        <f t="shared" si="262"/>
        <v>0</v>
      </c>
      <c r="BT44" s="4">
        <f t="shared" si="262"/>
        <v>0</v>
      </c>
      <c r="BU44" s="4">
        <f t="shared" si="262"/>
        <v>0</v>
      </c>
      <c r="CX44" s="1" t="s">
        <v>620</v>
      </c>
      <c r="CZ44" s="1" t="s">
        <v>178</v>
      </c>
      <c r="DC44" s="1" t="s">
        <v>180</v>
      </c>
    </row>
    <row r="45" spans="1:107" ht="15.75" customHeight="1" x14ac:dyDescent="0.25">
      <c r="A45" s="1" t="b">
        <v>1</v>
      </c>
      <c r="B45" s="3">
        <v>46166.708773148152</v>
      </c>
      <c r="C45" s="1" t="s">
        <v>650</v>
      </c>
      <c r="D45" s="1" t="s">
        <v>207</v>
      </c>
      <c r="E45" s="4">
        <f t="shared" ref="E45:K45" si="263">IF(ISNUMBER(SEARCH(E$1,$D45)), SEARCH(E$1,$D45), 0)</f>
        <v>1</v>
      </c>
      <c r="F45" s="4">
        <f t="shared" si="263"/>
        <v>30</v>
      </c>
      <c r="G45" s="4">
        <f t="shared" si="263"/>
        <v>0</v>
      </c>
      <c r="H45" s="4">
        <f t="shared" si="263"/>
        <v>0</v>
      </c>
      <c r="I45" s="4">
        <f t="shared" si="263"/>
        <v>0</v>
      </c>
      <c r="J45" s="4">
        <f t="shared" si="263"/>
        <v>0</v>
      </c>
      <c r="K45" s="4">
        <f t="shared" si="263"/>
        <v>0</v>
      </c>
      <c r="L45" s="4">
        <f t="shared" si="1"/>
        <v>30</v>
      </c>
      <c r="N45" s="1" t="s">
        <v>240</v>
      </c>
      <c r="O45" s="4">
        <f t="shared" ref="O45:T45" si="264">IF(ISNUMBER(SEARCH(O$1,$N45)), 1, 0)</f>
        <v>1</v>
      </c>
      <c r="P45" s="4">
        <f t="shared" si="264"/>
        <v>1</v>
      </c>
      <c r="Q45" s="4">
        <f t="shared" si="264"/>
        <v>1</v>
      </c>
      <c r="R45" s="4">
        <f t="shared" si="264"/>
        <v>1</v>
      </c>
      <c r="S45" s="4">
        <f t="shared" si="264"/>
        <v>0</v>
      </c>
      <c r="T45" s="4">
        <f t="shared" si="264"/>
        <v>0</v>
      </c>
      <c r="V45" s="1" t="s">
        <v>23</v>
      </c>
      <c r="W45" s="1" t="str">
        <f t="shared" si="252"/>
        <v>False</v>
      </c>
      <c r="X45" s="1" t="str">
        <f t="shared" si="252"/>
        <v>True</v>
      </c>
      <c r="Y45" s="1" t="str">
        <f t="shared" si="252"/>
        <v>False</v>
      </c>
      <c r="Z45" s="1" t="str">
        <f t="shared" si="252"/>
        <v>False</v>
      </c>
      <c r="AA45" s="1" t="str">
        <f t="shared" si="252"/>
        <v>False</v>
      </c>
      <c r="AC45" s="4">
        <f t="shared" ref="AC45:AH45" si="265">IF(ISNUMBER(SEARCH(AC$1,$AB45)), 1, 0)</f>
        <v>0</v>
      </c>
      <c r="AD45" s="4">
        <f t="shared" si="265"/>
        <v>0</v>
      </c>
      <c r="AE45" s="4">
        <f t="shared" si="265"/>
        <v>0</v>
      </c>
      <c r="AF45" s="4">
        <f t="shared" si="265"/>
        <v>0</v>
      </c>
      <c r="AG45" s="4">
        <f t="shared" si="265"/>
        <v>0</v>
      </c>
      <c r="AH45" s="4">
        <f t="shared" si="265"/>
        <v>0</v>
      </c>
      <c r="AI45" s="1">
        <f t="shared" si="5"/>
        <v>0</v>
      </c>
      <c r="AK45" s="1" t="s">
        <v>288</v>
      </c>
      <c r="AL45" s="4">
        <f t="shared" ref="AL45:AS45" si="266">IF(ISNUMBER(SEARCH(AL$1,$AK45)), 1, 0)</f>
        <v>0</v>
      </c>
      <c r="AM45" s="4">
        <f t="shared" si="266"/>
        <v>1</v>
      </c>
      <c r="AN45" s="4">
        <f t="shared" si="266"/>
        <v>0</v>
      </c>
      <c r="AO45" s="4">
        <f t="shared" si="266"/>
        <v>1</v>
      </c>
      <c r="AP45" s="4">
        <f t="shared" si="266"/>
        <v>0</v>
      </c>
      <c r="AQ45" s="4">
        <f t="shared" si="266"/>
        <v>0</v>
      </c>
      <c r="AR45" s="4">
        <f t="shared" si="266"/>
        <v>0</v>
      </c>
      <c r="AS45" s="4">
        <f t="shared" si="266"/>
        <v>0</v>
      </c>
      <c r="AU45" s="1" t="s">
        <v>47</v>
      </c>
      <c r="AV45" s="1">
        <f t="shared" si="7"/>
        <v>1</v>
      </c>
      <c r="AW45" s="1">
        <f t="shared" si="8"/>
        <v>0</v>
      </c>
      <c r="AX45" s="1">
        <f t="shared" si="9"/>
        <v>0</v>
      </c>
      <c r="AY45" s="1" t="s">
        <v>48</v>
      </c>
      <c r="BA45" s="1" t="s">
        <v>411</v>
      </c>
      <c r="BB45" s="4">
        <f t="shared" ref="BB45:BJ45" si="267">IF(ISNUMBER(SEARCH(BB$1,$BA45)), 1, 0)</f>
        <v>0</v>
      </c>
      <c r="BC45" s="4">
        <f t="shared" si="267"/>
        <v>1</v>
      </c>
      <c r="BD45" s="4">
        <f t="shared" si="267"/>
        <v>0</v>
      </c>
      <c r="BE45" s="4">
        <f t="shared" si="267"/>
        <v>0</v>
      </c>
      <c r="BF45" s="4">
        <f t="shared" si="267"/>
        <v>1</v>
      </c>
      <c r="BG45" s="4">
        <f t="shared" si="267"/>
        <v>0</v>
      </c>
      <c r="BH45" s="4">
        <f t="shared" si="267"/>
        <v>0</v>
      </c>
      <c r="BI45" s="4">
        <f t="shared" si="267"/>
        <v>0</v>
      </c>
      <c r="BJ45" s="4">
        <f t="shared" si="267"/>
        <v>1</v>
      </c>
      <c r="BK45" s="4">
        <f t="shared" si="11"/>
        <v>3</v>
      </c>
      <c r="BM45" s="1" t="s">
        <v>232</v>
      </c>
      <c r="BN45" s="1" t="s">
        <v>340</v>
      </c>
      <c r="BO45" s="4">
        <f t="shared" ref="BO45:BU45" si="268">IF(ISNUMBER(SEARCH(BO$1,$BN45)), 1, 0)</f>
        <v>1</v>
      </c>
      <c r="BP45" s="4">
        <f t="shared" si="268"/>
        <v>1</v>
      </c>
      <c r="BQ45" s="4">
        <f t="shared" si="268"/>
        <v>0</v>
      </c>
      <c r="BR45" s="4">
        <f t="shared" si="268"/>
        <v>0</v>
      </c>
      <c r="BS45" s="4">
        <f t="shared" si="268"/>
        <v>0</v>
      </c>
      <c r="BT45" s="4">
        <f t="shared" si="268"/>
        <v>0</v>
      </c>
      <c r="BU45" s="4">
        <f t="shared" si="268"/>
        <v>0</v>
      </c>
      <c r="CX45" s="1" t="s">
        <v>643</v>
      </c>
      <c r="CZ45" s="1" t="s">
        <v>651</v>
      </c>
      <c r="DA45" s="1" t="s">
        <v>652</v>
      </c>
      <c r="DB45" s="1" t="s">
        <v>653</v>
      </c>
      <c r="DC45" s="1" t="s">
        <v>180</v>
      </c>
    </row>
    <row r="46" spans="1:107" ht="15.75" customHeight="1" x14ac:dyDescent="0.25">
      <c r="A46" s="1" t="b">
        <v>1</v>
      </c>
      <c r="B46" s="3">
        <v>46164.591782407406</v>
      </c>
      <c r="C46" s="1" t="s">
        <v>488</v>
      </c>
      <c r="D46" s="1" t="s">
        <v>207</v>
      </c>
      <c r="E46" s="4">
        <f t="shared" ref="E46:K46" si="269">IF(ISNUMBER(SEARCH(E$1,$D46)), SEARCH(E$1,$D46), 0)</f>
        <v>1</v>
      </c>
      <c r="F46" s="4">
        <f t="shared" si="269"/>
        <v>30</v>
      </c>
      <c r="G46" s="4">
        <f t="shared" si="269"/>
        <v>0</v>
      </c>
      <c r="H46" s="4">
        <f t="shared" si="269"/>
        <v>0</v>
      </c>
      <c r="I46" s="4">
        <f t="shared" si="269"/>
        <v>0</v>
      </c>
      <c r="J46" s="4">
        <f t="shared" si="269"/>
        <v>0</v>
      </c>
      <c r="K46" s="4">
        <f t="shared" si="269"/>
        <v>0</v>
      </c>
      <c r="L46" s="4">
        <f t="shared" si="1"/>
        <v>30</v>
      </c>
      <c r="N46" s="1" t="s">
        <v>294</v>
      </c>
      <c r="O46" s="4">
        <f t="shared" ref="O46:T46" si="270">IF(ISNUMBER(SEARCH(O$1,$N46)), 1, 0)</f>
        <v>1</v>
      </c>
      <c r="P46" s="4">
        <f t="shared" si="270"/>
        <v>1</v>
      </c>
      <c r="Q46" s="4">
        <f t="shared" si="270"/>
        <v>0</v>
      </c>
      <c r="R46" s="4">
        <f t="shared" si="270"/>
        <v>0</v>
      </c>
      <c r="S46" s="4">
        <f t="shared" si="270"/>
        <v>0</v>
      </c>
      <c r="T46" s="4">
        <f t="shared" si="270"/>
        <v>0</v>
      </c>
      <c r="W46" s="1" t="str">
        <f t="shared" si="252"/>
        <v>False</v>
      </c>
      <c r="X46" s="1" t="str">
        <f t="shared" si="252"/>
        <v>False</v>
      </c>
      <c r="Y46" s="1" t="str">
        <f t="shared" si="252"/>
        <v>False</v>
      </c>
      <c r="Z46" s="1" t="str">
        <f t="shared" si="252"/>
        <v>False</v>
      </c>
      <c r="AA46" s="1" t="str">
        <f t="shared" si="252"/>
        <v>False</v>
      </c>
      <c r="AB46" s="1" t="s">
        <v>31</v>
      </c>
      <c r="AC46" s="4">
        <f t="shared" ref="AC46:AH46" si="271">IF(ISNUMBER(SEARCH(AC$1,$AB46)), 1, 0)</f>
        <v>0</v>
      </c>
      <c r="AD46" s="4">
        <f t="shared" si="271"/>
        <v>0</v>
      </c>
      <c r="AE46" s="4">
        <f t="shared" si="271"/>
        <v>0</v>
      </c>
      <c r="AF46" s="4">
        <f t="shared" si="271"/>
        <v>1</v>
      </c>
      <c r="AG46" s="4">
        <f t="shared" si="271"/>
        <v>0</v>
      </c>
      <c r="AH46" s="4">
        <f t="shared" si="271"/>
        <v>0</v>
      </c>
      <c r="AI46" s="1">
        <f t="shared" si="5"/>
        <v>1</v>
      </c>
      <c r="AK46" s="1" t="s">
        <v>38</v>
      </c>
      <c r="AL46" s="4">
        <f t="shared" ref="AL46:AS46" si="272">IF(ISNUMBER(SEARCH(AL$1,$AK46)), 1, 0)</f>
        <v>0</v>
      </c>
      <c r="AM46" s="4">
        <f t="shared" si="272"/>
        <v>1</v>
      </c>
      <c r="AN46" s="4">
        <f t="shared" si="272"/>
        <v>0</v>
      </c>
      <c r="AO46" s="4">
        <f t="shared" si="272"/>
        <v>0</v>
      </c>
      <c r="AP46" s="4">
        <f t="shared" si="272"/>
        <v>0</v>
      </c>
      <c r="AQ46" s="4">
        <f t="shared" si="272"/>
        <v>0</v>
      </c>
      <c r="AR46" s="4">
        <f t="shared" si="272"/>
        <v>0</v>
      </c>
      <c r="AS46" s="4">
        <f t="shared" si="272"/>
        <v>0</v>
      </c>
      <c r="AU46" s="1" t="s">
        <v>47</v>
      </c>
      <c r="AV46" s="1">
        <f t="shared" si="7"/>
        <v>1</v>
      </c>
      <c r="AW46" s="1">
        <f t="shared" si="8"/>
        <v>0</v>
      </c>
      <c r="AX46" s="1">
        <f t="shared" si="9"/>
        <v>0</v>
      </c>
      <c r="AY46" s="1" t="s">
        <v>47</v>
      </c>
      <c r="AZ46" s="1" t="s">
        <v>48</v>
      </c>
      <c r="BB46" s="4">
        <f t="shared" ref="BB46:BJ46" si="273">IF(ISNUMBER(SEARCH(BB$1,$BA46)), 1, 0)</f>
        <v>0</v>
      </c>
      <c r="BC46" s="4">
        <f t="shared" si="273"/>
        <v>0</v>
      </c>
      <c r="BD46" s="4">
        <f t="shared" si="273"/>
        <v>0</v>
      </c>
      <c r="BE46" s="4">
        <f t="shared" si="273"/>
        <v>0</v>
      </c>
      <c r="BF46" s="4">
        <f t="shared" si="273"/>
        <v>0</v>
      </c>
      <c r="BG46" s="4">
        <f t="shared" si="273"/>
        <v>0</v>
      </c>
      <c r="BH46" s="4">
        <f t="shared" si="273"/>
        <v>0</v>
      </c>
      <c r="BI46" s="4">
        <f t="shared" si="273"/>
        <v>0</v>
      </c>
      <c r="BJ46" s="4">
        <f t="shared" si="273"/>
        <v>0</v>
      </c>
      <c r="BK46" s="4">
        <f t="shared" si="11"/>
        <v>0</v>
      </c>
      <c r="BO46" s="4">
        <f t="shared" ref="BO46:BU46" si="274">IF(ISNUMBER(SEARCH(BO$1,$BN46)), 1, 0)</f>
        <v>0</v>
      </c>
      <c r="BP46" s="4">
        <f t="shared" si="274"/>
        <v>0</v>
      </c>
      <c r="BQ46" s="4">
        <f t="shared" si="274"/>
        <v>0</v>
      </c>
      <c r="BR46" s="4">
        <f t="shared" si="274"/>
        <v>0</v>
      </c>
      <c r="BS46" s="4">
        <f t="shared" si="274"/>
        <v>0</v>
      </c>
      <c r="BT46" s="4">
        <f t="shared" si="274"/>
        <v>0</v>
      </c>
      <c r="BU46" s="4">
        <f t="shared" si="274"/>
        <v>0</v>
      </c>
      <c r="CX46" s="1" t="s">
        <v>261</v>
      </c>
      <c r="CZ46" s="1" t="s">
        <v>489</v>
      </c>
      <c r="DC46" s="1" t="s">
        <v>180</v>
      </c>
    </row>
    <row r="47" spans="1:107" ht="15.75" customHeight="1" x14ac:dyDescent="0.25">
      <c r="A47" s="1" t="b">
        <v>1</v>
      </c>
      <c r="B47" s="3">
        <v>46156.602488425924</v>
      </c>
      <c r="C47" s="1" t="s">
        <v>377</v>
      </c>
      <c r="D47" s="1" t="s">
        <v>207</v>
      </c>
      <c r="E47" s="4">
        <f t="shared" ref="E47:K47" si="275">IF(ISNUMBER(SEARCH(E$1,$D47)), SEARCH(E$1,$D47), 0)</f>
        <v>1</v>
      </c>
      <c r="F47" s="4">
        <f t="shared" si="275"/>
        <v>30</v>
      </c>
      <c r="G47" s="4">
        <f t="shared" si="275"/>
        <v>0</v>
      </c>
      <c r="H47" s="4">
        <f t="shared" si="275"/>
        <v>0</v>
      </c>
      <c r="I47" s="4">
        <f t="shared" si="275"/>
        <v>0</v>
      </c>
      <c r="J47" s="4">
        <f t="shared" si="275"/>
        <v>0</v>
      </c>
      <c r="K47" s="4">
        <f t="shared" si="275"/>
        <v>0</v>
      </c>
      <c r="L47" s="4">
        <f t="shared" si="1"/>
        <v>30</v>
      </c>
      <c r="N47" s="1" t="s">
        <v>240</v>
      </c>
      <c r="O47" s="4">
        <f t="shared" ref="O47:T47" si="276">IF(ISNUMBER(SEARCH(O$1,$N47)), 1, 0)</f>
        <v>1</v>
      </c>
      <c r="P47" s="4">
        <f t="shared" si="276"/>
        <v>1</v>
      </c>
      <c r="Q47" s="4">
        <f t="shared" si="276"/>
        <v>1</v>
      </c>
      <c r="R47" s="4">
        <f t="shared" si="276"/>
        <v>1</v>
      </c>
      <c r="S47" s="4">
        <f t="shared" si="276"/>
        <v>0</v>
      </c>
      <c r="T47" s="4">
        <f t="shared" si="276"/>
        <v>0</v>
      </c>
      <c r="W47" s="1" t="str">
        <f t="shared" si="252"/>
        <v>False</v>
      </c>
      <c r="X47" s="1" t="str">
        <f t="shared" si="252"/>
        <v>False</v>
      </c>
      <c r="Y47" s="1" t="str">
        <f t="shared" si="252"/>
        <v>False</v>
      </c>
      <c r="Z47" s="1" t="str">
        <f t="shared" si="252"/>
        <v>False</v>
      </c>
      <c r="AA47" s="1" t="str">
        <f t="shared" si="252"/>
        <v>False</v>
      </c>
      <c r="AB47" s="1" t="s">
        <v>28</v>
      </c>
      <c r="AC47" s="4">
        <f t="shared" ref="AC47:AH47" si="277">IF(ISNUMBER(SEARCH(AC$1,$AB47)), 1, 0)</f>
        <v>1</v>
      </c>
      <c r="AD47" s="4">
        <f t="shared" si="277"/>
        <v>0</v>
      </c>
      <c r="AE47" s="4">
        <f t="shared" si="277"/>
        <v>0</v>
      </c>
      <c r="AF47" s="4">
        <f t="shared" si="277"/>
        <v>0</v>
      </c>
      <c r="AG47" s="4">
        <f t="shared" si="277"/>
        <v>0</v>
      </c>
      <c r="AH47" s="4">
        <f t="shared" si="277"/>
        <v>0</v>
      </c>
      <c r="AI47" s="1">
        <f t="shared" si="5"/>
        <v>1</v>
      </c>
      <c r="AK47" s="1" t="s">
        <v>378</v>
      </c>
      <c r="AL47" s="4">
        <f t="shared" ref="AL47:AS47" si="278">IF(ISNUMBER(SEARCH(AL$1,$AK47)), 1, 0)</f>
        <v>0</v>
      </c>
      <c r="AM47" s="4">
        <f t="shared" si="278"/>
        <v>0</v>
      </c>
      <c r="AN47" s="4">
        <f t="shared" si="278"/>
        <v>1</v>
      </c>
      <c r="AO47" s="4">
        <f t="shared" si="278"/>
        <v>1</v>
      </c>
      <c r="AP47" s="4">
        <f t="shared" si="278"/>
        <v>1</v>
      </c>
      <c r="AQ47" s="4">
        <f t="shared" si="278"/>
        <v>0</v>
      </c>
      <c r="AR47" s="4">
        <f t="shared" si="278"/>
        <v>0</v>
      </c>
      <c r="AS47" s="4">
        <f t="shared" si="278"/>
        <v>0</v>
      </c>
      <c r="AU47" s="1" t="s">
        <v>47</v>
      </c>
      <c r="AV47" s="1">
        <f t="shared" si="7"/>
        <v>1</v>
      </c>
      <c r="AW47" s="1">
        <f t="shared" si="8"/>
        <v>0</v>
      </c>
      <c r="AX47" s="1">
        <f t="shared" si="9"/>
        <v>0</v>
      </c>
      <c r="AY47" s="1" t="s">
        <v>48</v>
      </c>
      <c r="BA47" s="1" t="s">
        <v>318</v>
      </c>
      <c r="BB47" s="4">
        <f t="shared" ref="BB47:BJ47" si="279">IF(ISNUMBER(SEARCH(BB$1,$BA47)), 1, 0)</f>
        <v>0</v>
      </c>
      <c r="BC47" s="4">
        <f t="shared" si="279"/>
        <v>0</v>
      </c>
      <c r="BD47" s="4">
        <f t="shared" si="279"/>
        <v>1</v>
      </c>
      <c r="BE47" s="4">
        <f t="shared" si="279"/>
        <v>1</v>
      </c>
      <c r="BF47" s="4">
        <f t="shared" si="279"/>
        <v>1</v>
      </c>
      <c r="BG47" s="4">
        <f t="shared" si="279"/>
        <v>1</v>
      </c>
      <c r="BH47" s="4">
        <f t="shared" si="279"/>
        <v>0</v>
      </c>
      <c r="BI47" s="4">
        <f t="shared" si="279"/>
        <v>0</v>
      </c>
      <c r="BJ47" s="4">
        <f t="shared" si="279"/>
        <v>1</v>
      </c>
      <c r="BK47" s="4">
        <f t="shared" si="11"/>
        <v>5</v>
      </c>
      <c r="BM47" s="1" t="s">
        <v>190</v>
      </c>
      <c r="BN47" s="1" t="s">
        <v>72</v>
      </c>
      <c r="BO47" s="4">
        <f t="shared" ref="BO47:BU47" si="280">IF(ISNUMBER(SEARCH(BO$1,$BN47)), 1, 0)</f>
        <v>0</v>
      </c>
      <c r="BP47" s="4">
        <f t="shared" si="280"/>
        <v>0</v>
      </c>
      <c r="BQ47" s="4">
        <f t="shared" si="280"/>
        <v>0</v>
      </c>
      <c r="BR47" s="4">
        <f t="shared" si="280"/>
        <v>0</v>
      </c>
      <c r="BS47" s="4">
        <f t="shared" si="280"/>
        <v>0</v>
      </c>
      <c r="BT47" s="4">
        <f t="shared" si="280"/>
        <v>0</v>
      </c>
      <c r="BU47" s="4">
        <f t="shared" si="280"/>
        <v>1</v>
      </c>
      <c r="CX47" s="1" t="s">
        <v>249</v>
      </c>
      <c r="CZ47" s="1" t="s">
        <v>178</v>
      </c>
      <c r="DC47" s="1" t="s">
        <v>238</v>
      </c>
    </row>
    <row r="48" spans="1:107" ht="15.75" customHeight="1" x14ac:dyDescent="0.25">
      <c r="A48" s="1" t="b">
        <v>1</v>
      </c>
      <c r="B48" s="3">
        <v>46170.474641203706</v>
      </c>
      <c r="C48" s="1" t="s">
        <v>766</v>
      </c>
      <c r="D48" s="1" t="s">
        <v>207</v>
      </c>
      <c r="E48" s="4">
        <f t="shared" ref="E48:K48" si="281">IF(ISNUMBER(SEARCH(E$1,$D48)), SEARCH(E$1,$D48), 0)</f>
        <v>1</v>
      </c>
      <c r="F48" s="4">
        <f t="shared" si="281"/>
        <v>30</v>
      </c>
      <c r="G48" s="4">
        <f t="shared" si="281"/>
        <v>0</v>
      </c>
      <c r="H48" s="4">
        <f t="shared" si="281"/>
        <v>0</v>
      </c>
      <c r="I48" s="4">
        <f t="shared" si="281"/>
        <v>0</v>
      </c>
      <c r="J48" s="4">
        <f t="shared" si="281"/>
        <v>0</v>
      </c>
      <c r="K48" s="4">
        <f t="shared" si="281"/>
        <v>0</v>
      </c>
      <c r="L48" s="4">
        <f t="shared" si="1"/>
        <v>30</v>
      </c>
      <c r="N48" s="1" t="s">
        <v>240</v>
      </c>
      <c r="O48" s="4">
        <f t="shared" ref="O48:T48" si="282">IF(ISNUMBER(SEARCH(O$1,$N48)), 1, 0)</f>
        <v>1</v>
      </c>
      <c r="P48" s="4">
        <f t="shared" si="282"/>
        <v>1</v>
      </c>
      <c r="Q48" s="4">
        <f t="shared" si="282"/>
        <v>1</v>
      </c>
      <c r="R48" s="4">
        <f t="shared" si="282"/>
        <v>1</v>
      </c>
      <c r="S48" s="4">
        <f t="shared" si="282"/>
        <v>0</v>
      </c>
      <c r="T48" s="4">
        <f t="shared" si="282"/>
        <v>0</v>
      </c>
      <c r="W48" s="1" t="str">
        <f t="shared" si="252"/>
        <v>False</v>
      </c>
      <c r="X48" s="1" t="str">
        <f t="shared" si="252"/>
        <v>False</v>
      </c>
      <c r="Y48" s="1" t="str">
        <f t="shared" si="252"/>
        <v>False</v>
      </c>
      <c r="Z48" s="1" t="str">
        <f t="shared" si="252"/>
        <v>False</v>
      </c>
      <c r="AA48" s="1" t="str">
        <f t="shared" si="252"/>
        <v>False</v>
      </c>
      <c r="AB48" s="1" t="s">
        <v>28</v>
      </c>
      <c r="AC48" s="4">
        <f t="shared" ref="AC48:AH48" si="283">IF(ISNUMBER(SEARCH(AC$1,$AB48)), 1, 0)</f>
        <v>1</v>
      </c>
      <c r="AD48" s="4">
        <f t="shared" si="283"/>
        <v>0</v>
      </c>
      <c r="AE48" s="4">
        <f t="shared" si="283"/>
        <v>0</v>
      </c>
      <c r="AF48" s="4">
        <f t="shared" si="283"/>
        <v>0</v>
      </c>
      <c r="AG48" s="4">
        <f t="shared" si="283"/>
        <v>0</v>
      </c>
      <c r="AH48" s="4">
        <f t="shared" si="283"/>
        <v>0</v>
      </c>
      <c r="AI48" s="1">
        <f t="shared" si="5"/>
        <v>1</v>
      </c>
      <c r="AK48" s="1" t="s">
        <v>346</v>
      </c>
      <c r="AL48" s="4">
        <f t="shared" ref="AL48:AS48" si="284">IF(ISNUMBER(SEARCH(AL$1,$AK48)), 1, 0)</f>
        <v>0</v>
      </c>
      <c r="AM48" s="4">
        <f t="shared" si="284"/>
        <v>1</v>
      </c>
      <c r="AN48" s="4">
        <f t="shared" si="284"/>
        <v>1</v>
      </c>
      <c r="AO48" s="4">
        <f t="shared" si="284"/>
        <v>1</v>
      </c>
      <c r="AP48" s="4">
        <f t="shared" si="284"/>
        <v>0</v>
      </c>
      <c r="AQ48" s="4">
        <f t="shared" si="284"/>
        <v>0</v>
      </c>
      <c r="AR48" s="4">
        <f t="shared" si="284"/>
        <v>0</v>
      </c>
      <c r="AS48" s="4">
        <f t="shared" si="284"/>
        <v>0</v>
      </c>
      <c r="AU48" s="1" t="s">
        <v>47</v>
      </c>
      <c r="AV48" s="1">
        <f t="shared" si="7"/>
        <v>1</v>
      </c>
      <c r="AW48" s="1">
        <f t="shared" si="8"/>
        <v>0</v>
      </c>
      <c r="AX48" s="1">
        <f t="shared" si="9"/>
        <v>0</v>
      </c>
      <c r="AY48" s="1" t="s">
        <v>48</v>
      </c>
      <c r="BA48" s="1" t="s">
        <v>457</v>
      </c>
      <c r="BB48" s="4">
        <f t="shared" ref="BB48:BJ48" si="285">IF(ISNUMBER(SEARCH(BB$1,$BA48)), 1, 0)</f>
        <v>0</v>
      </c>
      <c r="BC48" s="4">
        <f t="shared" si="285"/>
        <v>0</v>
      </c>
      <c r="BD48" s="4">
        <f t="shared" si="285"/>
        <v>0</v>
      </c>
      <c r="BE48" s="4">
        <f t="shared" si="285"/>
        <v>0</v>
      </c>
      <c r="BF48" s="4">
        <f t="shared" si="285"/>
        <v>1</v>
      </c>
      <c r="BG48" s="4">
        <f t="shared" si="285"/>
        <v>1</v>
      </c>
      <c r="BH48" s="4">
        <f t="shared" si="285"/>
        <v>0</v>
      </c>
      <c r="BI48" s="4">
        <f t="shared" si="285"/>
        <v>0</v>
      </c>
      <c r="BJ48" s="4">
        <f t="shared" si="285"/>
        <v>1</v>
      </c>
      <c r="BK48" s="4">
        <f t="shared" si="11"/>
        <v>3</v>
      </c>
      <c r="BM48" s="1" t="s">
        <v>232</v>
      </c>
      <c r="BN48" s="1" t="s">
        <v>69</v>
      </c>
      <c r="BO48" s="4">
        <f t="shared" ref="BO48:BU48" si="286">IF(ISNUMBER(SEARCH(BO$1,$BN48)), 1, 0)</f>
        <v>0</v>
      </c>
      <c r="BP48" s="4">
        <f t="shared" si="286"/>
        <v>0</v>
      </c>
      <c r="BQ48" s="4">
        <f t="shared" si="286"/>
        <v>0</v>
      </c>
      <c r="BR48" s="4">
        <f t="shared" si="286"/>
        <v>1</v>
      </c>
      <c r="BS48" s="4">
        <f t="shared" si="286"/>
        <v>0</v>
      </c>
      <c r="BT48" s="4">
        <f t="shared" si="286"/>
        <v>0</v>
      </c>
      <c r="BU48" s="4">
        <f t="shared" si="286"/>
        <v>0</v>
      </c>
      <c r="CX48" s="1" t="s">
        <v>620</v>
      </c>
      <c r="CZ48" s="1" t="s">
        <v>616</v>
      </c>
      <c r="DC48" s="1" t="s">
        <v>238</v>
      </c>
    </row>
    <row r="49" spans="1:107" ht="15.75" customHeight="1" x14ac:dyDescent="0.25">
      <c r="A49" s="1" t="b">
        <v>1</v>
      </c>
      <c r="B49" s="3">
        <v>46164.020451388889</v>
      </c>
      <c r="C49" s="1" t="s">
        <v>464</v>
      </c>
      <c r="D49" s="1" t="s">
        <v>192</v>
      </c>
      <c r="E49" s="4">
        <f t="shared" ref="E49:K49" si="287">IF(ISNUMBER(SEARCH(E$1,$D49)), SEARCH(E$1,$D49), 0)</f>
        <v>1</v>
      </c>
      <c r="F49" s="4">
        <f t="shared" si="287"/>
        <v>30</v>
      </c>
      <c r="G49" s="4">
        <f t="shared" si="287"/>
        <v>0</v>
      </c>
      <c r="H49" s="4">
        <f t="shared" si="287"/>
        <v>0</v>
      </c>
      <c r="I49" s="4">
        <f t="shared" si="287"/>
        <v>0</v>
      </c>
      <c r="J49" s="4">
        <f t="shared" si="287"/>
        <v>0</v>
      </c>
      <c r="K49" s="4">
        <f t="shared" si="287"/>
        <v>105</v>
      </c>
      <c r="L49" s="4">
        <f t="shared" si="1"/>
        <v>105</v>
      </c>
      <c r="N49" s="1" t="s">
        <v>294</v>
      </c>
      <c r="O49" s="4">
        <f t="shared" ref="O49:T49" si="288">IF(ISNUMBER(SEARCH(O$1,$N49)), 1, 0)</f>
        <v>1</v>
      </c>
      <c r="P49" s="4">
        <f t="shared" si="288"/>
        <v>1</v>
      </c>
      <c r="Q49" s="4">
        <f t="shared" si="288"/>
        <v>0</v>
      </c>
      <c r="R49" s="4">
        <f t="shared" si="288"/>
        <v>0</v>
      </c>
      <c r="S49" s="4">
        <f t="shared" si="288"/>
        <v>0</v>
      </c>
      <c r="T49" s="4">
        <f t="shared" si="288"/>
        <v>0</v>
      </c>
      <c r="V49" s="1" t="s">
        <v>26</v>
      </c>
      <c r="W49" s="1" t="str">
        <f t="shared" si="252"/>
        <v>False</v>
      </c>
      <c r="X49" s="1" t="str">
        <f t="shared" si="252"/>
        <v>False</v>
      </c>
      <c r="Y49" s="1" t="str">
        <f t="shared" si="252"/>
        <v>False</v>
      </c>
      <c r="Z49" s="1" t="str">
        <f t="shared" si="252"/>
        <v>False</v>
      </c>
      <c r="AA49" s="1" t="str">
        <f t="shared" si="252"/>
        <v>True</v>
      </c>
      <c r="AB49" s="1" t="s">
        <v>28</v>
      </c>
      <c r="AC49" s="4">
        <f t="shared" ref="AC49:AH49" si="289">IF(ISNUMBER(SEARCH(AC$1,$AB49)), 1, 0)</f>
        <v>1</v>
      </c>
      <c r="AD49" s="4">
        <f t="shared" si="289"/>
        <v>0</v>
      </c>
      <c r="AE49" s="4">
        <f t="shared" si="289"/>
        <v>0</v>
      </c>
      <c r="AF49" s="4">
        <f t="shared" si="289"/>
        <v>0</v>
      </c>
      <c r="AG49" s="4">
        <f t="shared" si="289"/>
        <v>0</v>
      </c>
      <c r="AH49" s="4">
        <f t="shared" si="289"/>
        <v>0</v>
      </c>
      <c r="AI49" s="1">
        <f t="shared" si="5"/>
        <v>1</v>
      </c>
      <c r="AK49" s="1" t="s">
        <v>259</v>
      </c>
      <c r="AL49" s="4">
        <f t="shared" ref="AL49:AS49" si="290">IF(ISNUMBER(SEARCH(AL$1,$AK49)), 1, 0)</f>
        <v>1</v>
      </c>
      <c r="AM49" s="4">
        <f t="shared" si="290"/>
        <v>1</v>
      </c>
      <c r="AN49" s="4">
        <f t="shared" si="290"/>
        <v>0</v>
      </c>
      <c r="AO49" s="4">
        <f t="shared" si="290"/>
        <v>1</v>
      </c>
      <c r="AP49" s="4">
        <f t="shared" si="290"/>
        <v>0</v>
      </c>
      <c r="AQ49" s="4">
        <f t="shared" si="290"/>
        <v>0</v>
      </c>
      <c r="AR49" s="4">
        <f t="shared" si="290"/>
        <v>0</v>
      </c>
      <c r="AS49" s="4">
        <f t="shared" si="290"/>
        <v>0</v>
      </c>
      <c r="AU49" s="1" t="s">
        <v>48</v>
      </c>
      <c r="AV49" s="1">
        <f t="shared" si="7"/>
        <v>0</v>
      </c>
      <c r="AW49" s="1">
        <f t="shared" si="8"/>
        <v>1</v>
      </c>
      <c r="AX49" s="1">
        <f t="shared" si="9"/>
        <v>0</v>
      </c>
      <c r="AY49" s="1" t="s">
        <v>48</v>
      </c>
      <c r="BA49" s="1" t="s">
        <v>325</v>
      </c>
      <c r="BB49" s="4">
        <f t="shared" ref="BB49:BJ49" si="291">IF(ISNUMBER(SEARCH(BB$1,$BA49)), 1, 0)</f>
        <v>1</v>
      </c>
      <c r="BC49" s="4">
        <f t="shared" si="291"/>
        <v>1</v>
      </c>
      <c r="BD49" s="4">
        <f t="shared" si="291"/>
        <v>1</v>
      </c>
      <c r="BE49" s="4">
        <f t="shared" si="291"/>
        <v>0</v>
      </c>
      <c r="BF49" s="4">
        <f t="shared" si="291"/>
        <v>1</v>
      </c>
      <c r="BG49" s="4">
        <f t="shared" si="291"/>
        <v>0</v>
      </c>
      <c r="BH49" s="4">
        <f t="shared" si="291"/>
        <v>0</v>
      </c>
      <c r="BI49" s="4">
        <f t="shared" si="291"/>
        <v>0</v>
      </c>
      <c r="BJ49" s="4">
        <f t="shared" si="291"/>
        <v>1</v>
      </c>
      <c r="BK49" s="4">
        <f t="shared" si="11"/>
        <v>5</v>
      </c>
      <c r="BM49" s="1" t="s">
        <v>232</v>
      </c>
      <c r="BN49" s="1" t="s">
        <v>340</v>
      </c>
      <c r="BO49" s="4">
        <f t="shared" ref="BO49:BU49" si="292">IF(ISNUMBER(SEARCH(BO$1,$BN49)), 1, 0)</f>
        <v>1</v>
      </c>
      <c r="BP49" s="4">
        <f t="shared" si="292"/>
        <v>1</v>
      </c>
      <c r="BQ49" s="4">
        <f t="shared" si="292"/>
        <v>0</v>
      </c>
      <c r="BR49" s="4">
        <f t="shared" si="292"/>
        <v>0</v>
      </c>
      <c r="BS49" s="4">
        <f t="shared" si="292"/>
        <v>0</v>
      </c>
      <c r="BT49" s="4">
        <f t="shared" si="292"/>
        <v>0</v>
      </c>
      <c r="BU49" s="4">
        <f t="shared" si="292"/>
        <v>0</v>
      </c>
      <c r="BW49" s="1" t="s">
        <v>255</v>
      </c>
      <c r="BZ49" s="1" t="s">
        <v>465</v>
      </c>
      <c r="CM49" s="1" t="s">
        <v>47</v>
      </c>
      <c r="CQ49" s="1" t="s">
        <v>47</v>
      </c>
      <c r="CX49" s="1" t="s">
        <v>466</v>
      </c>
      <c r="CZ49" s="1" t="s">
        <v>467</v>
      </c>
      <c r="DC49" s="1" t="s">
        <v>238</v>
      </c>
    </row>
    <row r="50" spans="1:107" ht="15.75" customHeight="1" x14ac:dyDescent="0.25">
      <c r="A50" s="1" t="b">
        <v>1</v>
      </c>
      <c r="B50" s="3">
        <v>46169.568993055553</v>
      </c>
      <c r="C50" s="1" t="s">
        <v>745</v>
      </c>
      <c r="D50" s="1" t="s">
        <v>439</v>
      </c>
      <c r="E50" s="4">
        <f t="shared" ref="E50:K50" si="293">IF(ISNUMBER(SEARCH(E$1,$D50)), SEARCH(E$1,$D50), 0)</f>
        <v>1</v>
      </c>
      <c r="F50" s="4">
        <f t="shared" si="293"/>
        <v>30</v>
      </c>
      <c r="G50" s="4">
        <f t="shared" si="293"/>
        <v>0</v>
      </c>
      <c r="H50" s="4">
        <f t="shared" si="293"/>
        <v>0</v>
      </c>
      <c r="I50" s="4">
        <f t="shared" si="293"/>
        <v>105</v>
      </c>
      <c r="J50" s="4">
        <f t="shared" si="293"/>
        <v>0</v>
      </c>
      <c r="K50" s="4">
        <f t="shared" si="293"/>
        <v>0</v>
      </c>
      <c r="L50" s="4">
        <f t="shared" si="1"/>
        <v>105</v>
      </c>
      <c r="N50" s="1" t="s">
        <v>208</v>
      </c>
      <c r="O50" s="4">
        <f t="shared" ref="O50:T50" si="294">IF(ISNUMBER(SEARCH(O$1,$N50)), 1, 0)</f>
        <v>1</v>
      </c>
      <c r="P50" s="4">
        <f t="shared" si="294"/>
        <v>1</v>
      </c>
      <c r="Q50" s="4">
        <f t="shared" si="294"/>
        <v>0</v>
      </c>
      <c r="R50" s="4">
        <f t="shared" si="294"/>
        <v>1</v>
      </c>
      <c r="S50" s="4">
        <f t="shared" si="294"/>
        <v>0</v>
      </c>
      <c r="T50" s="4">
        <f t="shared" si="294"/>
        <v>0</v>
      </c>
      <c r="W50" s="1" t="str">
        <f t="shared" si="252"/>
        <v>False</v>
      </c>
      <c r="X50" s="1" t="str">
        <f t="shared" si="252"/>
        <v>False</v>
      </c>
      <c r="Y50" s="1" t="str">
        <f t="shared" si="252"/>
        <v>False</v>
      </c>
      <c r="Z50" s="1" t="str">
        <f t="shared" si="252"/>
        <v>False</v>
      </c>
      <c r="AA50" s="1" t="str">
        <f t="shared" si="252"/>
        <v>False</v>
      </c>
      <c r="AB50" s="1" t="s">
        <v>33</v>
      </c>
      <c r="AC50" s="4">
        <f t="shared" ref="AC50:AH50" si="295">IF(ISNUMBER(SEARCH(AC$1,$AB50)), 1, 0)</f>
        <v>0</v>
      </c>
      <c r="AD50" s="4">
        <f t="shared" si="295"/>
        <v>0</v>
      </c>
      <c r="AE50" s="4">
        <f t="shared" si="295"/>
        <v>0</v>
      </c>
      <c r="AF50" s="4">
        <f t="shared" si="295"/>
        <v>0</v>
      </c>
      <c r="AG50" s="4">
        <f t="shared" si="295"/>
        <v>0</v>
      </c>
      <c r="AH50" s="4">
        <f t="shared" si="295"/>
        <v>1</v>
      </c>
      <c r="AI50" s="1">
        <f t="shared" si="5"/>
        <v>1</v>
      </c>
      <c r="AK50" s="1" t="s">
        <v>38</v>
      </c>
      <c r="AL50" s="4">
        <f t="shared" ref="AL50:AS50" si="296">IF(ISNUMBER(SEARCH(AL$1,$AK50)), 1, 0)</f>
        <v>0</v>
      </c>
      <c r="AM50" s="4">
        <f t="shared" si="296"/>
        <v>1</v>
      </c>
      <c r="AN50" s="4">
        <f t="shared" si="296"/>
        <v>0</v>
      </c>
      <c r="AO50" s="4">
        <f t="shared" si="296"/>
        <v>0</v>
      </c>
      <c r="AP50" s="4">
        <f t="shared" si="296"/>
        <v>0</v>
      </c>
      <c r="AQ50" s="4">
        <f t="shared" si="296"/>
        <v>0</v>
      </c>
      <c r="AR50" s="4">
        <f t="shared" si="296"/>
        <v>0</v>
      </c>
      <c r="AS50" s="4">
        <f t="shared" si="296"/>
        <v>0</v>
      </c>
      <c r="AU50" s="1" t="s">
        <v>47</v>
      </c>
      <c r="AV50" s="1">
        <f t="shared" si="7"/>
        <v>1</v>
      </c>
      <c r="AW50" s="1">
        <f t="shared" si="8"/>
        <v>0</v>
      </c>
      <c r="AX50" s="1">
        <f t="shared" si="9"/>
        <v>0</v>
      </c>
      <c r="AY50" s="1" t="s">
        <v>48</v>
      </c>
      <c r="BA50" s="1" t="s">
        <v>231</v>
      </c>
      <c r="BB50" s="4">
        <f t="shared" ref="BB50:BJ50" si="297">IF(ISNUMBER(SEARCH(BB$1,$BA50)), 1, 0)</f>
        <v>1</v>
      </c>
      <c r="BC50" s="4">
        <f t="shared" si="297"/>
        <v>1</v>
      </c>
      <c r="BD50" s="4">
        <f t="shared" si="297"/>
        <v>1</v>
      </c>
      <c r="BE50" s="4">
        <f t="shared" si="297"/>
        <v>1</v>
      </c>
      <c r="BF50" s="4">
        <f t="shared" si="297"/>
        <v>1</v>
      </c>
      <c r="BG50" s="4">
        <f t="shared" si="297"/>
        <v>1</v>
      </c>
      <c r="BH50" s="4">
        <f t="shared" si="297"/>
        <v>0</v>
      </c>
      <c r="BI50" s="4">
        <f t="shared" si="297"/>
        <v>0</v>
      </c>
      <c r="BJ50" s="4">
        <f t="shared" si="297"/>
        <v>1</v>
      </c>
      <c r="BK50" s="4">
        <f t="shared" si="11"/>
        <v>7</v>
      </c>
      <c r="BM50" s="1" t="s">
        <v>232</v>
      </c>
      <c r="BN50" s="1" t="s">
        <v>746</v>
      </c>
      <c r="BO50" s="4">
        <f t="shared" ref="BO50:BU50" si="298">IF(ISNUMBER(SEARCH(BO$1,$BN50)), 1, 0)</f>
        <v>0</v>
      </c>
      <c r="BP50" s="4">
        <f t="shared" si="298"/>
        <v>0</v>
      </c>
      <c r="BQ50" s="4">
        <f t="shared" si="298"/>
        <v>1</v>
      </c>
      <c r="BR50" s="4">
        <f t="shared" si="298"/>
        <v>1</v>
      </c>
      <c r="BS50" s="4">
        <f t="shared" si="298"/>
        <v>0</v>
      </c>
      <c r="BT50" s="4">
        <f t="shared" si="298"/>
        <v>1</v>
      </c>
      <c r="BU50" s="4">
        <f t="shared" si="298"/>
        <v>1</v>
      </c>
      <c r="CH50" s="1" t="s">
        <v>747</v>
      </c>
      <c r="CJ50" s="1" t="s">
        <v>642</v>
      </c>
      <c r="CL50" s="1" t="s">
        <v>352</v>
      </c>
      <c r="CX50" s="1" t="s">
        <v>748</v>
      </c>
      <c r="CZ50" s="1" t="s">
        <v>178</v>
      </c>
      <c r="DC50" s="1" t="s">
        <v>180</v>
      </c>
    </row>
    <row r="51" spans="1:107" ht="15.75" customHeight="1" x14ac:dyDescent="0.25">
      <c r="A51" s="1" t="b">
        <v>0</v>
      </c>
      <c r="B51" s="3">
        <v>46167.59337962963</v>
      </c>
      <c r="C51" s="1" t="s">
        <v>703</v>
      </c>
      <c r="D51" s="1" t="s">
        <v>192</v>
      </c>
      <c r="E51" s="4">
        <f t="shared" ref="E51:K51" si="299">IF(ISNUMBER(SEARCH(E$1,$D51)), SEARCH(E$1,$D51), 0)</f>
        <v>1</v>
      </c>
      <c r="F51" s="4">
        <f t="shared" si="299"/>
        <v>30</v>
      </c>
      <c r="G51" s="4">
        <f t="shared" si="299"/>
        <v>0</v>
      </c>
      <c r="H51" s="4">
        <f t="shared" si="299"/>
        <v>0</v>
      </c>
      <c r="I51" s="4">
        <f t="shared" si="299"/>
        <v>0</v>
      </c>
      <c r="J51" s="4">
        <f t="shared" si="299"/>
        <v>0</v>
      </c>
      <c r="K51" s="4">
        <f t="shared" si="299"/>
        <v>105</v>
      </c>
      <c r="L51" s="4">
        <f t="shared" si="1"/>
        <v>105</v>
      </c>
      <c r="N51" s="1" t="s">
        <v>240</v>
      </c>
      <c r="O51" s="4">
        <f t="shared" ref="O51:T51" si="300">IF(ISNUMBER(SEARCH(O$1,$N51)), 1, 0)</f>
        <v>1</v>
      </c>
      <c r="P51" s="4">
        <f t="shared" si="300"/>
        <v>1</v>
      </c>
      <c r="Q51" s="4">
        <f t="shared" si="300"/>
        <v>1</v>
      </c>
      <c r="R51" s="4">
        <f t="shared" si="300"/>
        <v>1</v>
      </c>
      <c r="S51" s="4">
        <f t="shared" si="300"/>
        <v>0</v>
      </c>
      <c r="T51" s="4">
        <f t="shared" si="300"/>
        <v>0</v>
      </c>
      <c r="W51" s="1" t="str">
        <f t="shared" si="252"/>
        <v>False</v>
      </c>
      <c r="X51" s="1" t="str">
        <f t="shared" si="252"/>
        <v>False</v>
      </c>
      <c r="Y51" s="1" t="str">
        <f t="shared" si="252"/>
        <v>False</v>
      </c>
      <c r="Z51" s="1" t="str">
        <f t="shared" si="252"/>
        <v>False</v>
      </c>
      <c r="AA51" s="1" t="str">
        <f t="shared" si="252"/>
        <v>False</v>
      </c>
      <c r="AB51" s="1" t="s">
        <v>31</v>
      </c>
      <c r="AC51" s="4">
        <f t="shared" ref="AC51:AH51" si="301">IF(ISNUMBER(SEARCH(AC$1,$AB51)), 1, 0)</f>
        <v>0</v>
      </c>
      <c r="AD51" s="4">
        <f t="shared" si="301"/>
        <v>0</v>
      </c>
      <c r="AE51" s="4">
        <f t="shared" si="301"/>
        <v>0</v>
      </c>
      <c r="AF51" s="4">
        <f t="shared" si="301"/>
        <v>1</v>
      </c>
      <c r="AG51" s="4">
        <f t="shared" si="301"/>
        <v>0</v>
      </c>
      <c r="AH51" s="4">
        <f t="shared" si="301"/>
        <v>0</v>
      </c>
      <c r="AI51" s="1">
        <f t="shared" si="5"/>
        <v>1</v>
      </c>
      <c r="AK51" s="1" t="s">
        <v>183</v>
      </c>
      <c r="AL51" s="4">
        <f t="shared" ref="AL51:AS51" si="302">IF(ISNUMBER(SEARCH(AL$1,$AK51)), 1, 0)</f>
        <v>0</v>
      </c>
      <c r="AM51" s="4">
        <f t="shared" si="302"/>
        <v>0</v>
      </c>
      <c r="AN51" s="4">
        <f t="shared" si="302"/>
        <v>0</v>
      </c>
      <c r="AO51" s="4">
        <f t="shared" si="302"/>
        <v>0</v>
      </c>
      <c r="AP51" s="4">
        <f t="shared" si="302"/>
        <v>0</v>
      </c>
      <c r="AQ51" s="4">
        <f t="shared" si="302"/>
        <v>0</v>
      </c>
      <c r="AR51" s="4">
        <f t="shared" si="302"/>
        <v>0</v>
      </c>
      <c r="AS51" s="4">
        <f t="shared" si="302"/>
        <v>0</v>
      </c>
      <c r="AT51" s="1" t="s">
        <v>704</v>
      </c>
      <c r="AU51" s="1" t="s">
        <v>47</v>
      </c>
      <c r="AV51" s="1">
        <f t="shared" si="7"/>
        <v>1</v>
      </c>
      <c r="AW51" s="1">
        <f t="shared" si="8"/>
        <v>0</v>
      </c>
      <c r="AX51" s="1">
        <f t="shared" si="9"/>
        <v>0</v>
      </c>
      <c r="AY51" s="1" t="s">
        <v>48</v>
      </c>
      <c r="BA51" s="1" t="s">
        <v>705</v>
      </c>
      <c r="BB51" s="4">
        <f t="shared" ref="BB51:BJ51" si="303">IF(ISNUMBER(SEARCH(BB$1,$BA51)), 1, 0)</f>
        <v>0</v>
      </c>
      <c r="BC51" s="4">
        <f t="shared" si="303"/>
        <v>1</v>
      </c>
      <c r="BD51" s="4">
        <f t="shared" si="303"/>
        <v>1</v>
      </c>
      <c r="BE51" s="4">
        <f t="shared" si="303"/>
        <v>0</v>
      </c>
      <c r="BF51" s="4">
        <f t="shared" si="303"/>
        <v>1</v>
      </c>
      <c r="BG51" s="4">
        <f t="shared" si="303"/>
        <v>1</v>
      </c>
      <c r="BH51" s="4">
        <f t="shared" si="303"/>
        <v>0</v>
      </c>
      <c r="BI51" s="4">
        <f t="shared" si="303"/>
        <v>0</v>
      </c>
      <c r="BJ51" s="4">
        <f t="shared" si="303"/>
        <v>1</v>
      </c>
      <c r="BK51" s="4">
        <f t="shared" si="11"/>
        <v>5</v>
      </c>
      <c r="BL51" s="1" t="s">
        <v>706</v>
      </c>
      <c r="BM51" s="1" t="s">
        <v>166</v>
      </c>
      <c r="BN51" s="1" t="s">
        <v>404</v>
      </c>
      <c r="BO51" s="4">
        <f t="shared" ref="BO51:BU51" si="304">IF(ISNUMBER(SEARCH(BO$1,$BN51)), 1, 0)</f>
        <v>0</v>
      </c>
      <c r="BP51" s="4">
        <f t="shared" si="304"/>
        <v>0</v>
      </c>
      <c r="BQ51" s="4">
        <f t="shared" si="304"/>
        <v>0</v>
      </c>
      <c r="BR51" s="4">
        <f t="shared" si="304"/>
        <v>0</v>
      </c>
      <c r="BS51" s="4">
        <f t="shared" si="304"/>
        <v>0</v>
      </c>
      <c r="BT51" s="4">
        <f t="shared" si="304"/>
        <v>0</v>
      </c>
      <c r="BU51" s="4">
        <f t="shared" si="304"/>
        <v>0</v>
      </c>
      <c r="BV51" s="1" t="s">
        <v>707</v>
      </c>
    </row>
    <row r="52" spans="1:107" ht="15.75" customHeight="1" x14ac:dyDescent="0.25">
      <c r="A52" s="1" t="b">
        <v>1</v>
      </c>
      <c r="B52" s="3">
        <v>46171.373171296298</v>
      </c>
      <c r="C52" s="1" t="s">
        <v>768</v>
      </c>
      <c r="D52" s="1" t="s">
        <v>439</v>
      </c>
      <c r="E52" s="4">
        <f t="shared" ref="E52:K52" si="305">IF(ISNUMBER(SEARCH(E$1,$D52)), SEARCH(E$1,$D52), 0)</f>
        <v>1</v>
      </c>
      <c r="F52" s="4">
        <f t="shared" si="305"/>
        <v>30</v>
      </c>
      <c r="G52" s="4">
        <f t="shared" si="305"/>
        <v>0</v>
      </c>
      <c r="H52" s="4">
        <f t="shared" si="305"/>
        <v>0</v>
      </c>
      <c r="I52" s="4">
        <f t="shared" si="305"/>
        <v>105</v>
      </c>
      <c r="J52" s="4">
        <f t="shared" si="305"/>
        <v>0</v>
      </c>
      <c r="K52" s="4">
        <f t="shared" si="305"/>
        <v>0</v>
      </c>
      <c r="L52" s="4">
        <f t="shared" si="1"/>
        <v>105</v>
      </c>
      <c r="N52" s="1" t="s">
        <v>328</v>
      </c>
      <c r="O52" s="4">
        <f t="shared" ref="O52:T52" si="306">IF(ISNUMBER(SEARCH(O$1,$N52)), 1, 0)</f>
        <v>1</v>
      </c>
      <c r="P52" s="4">
        <f t="shared" si="306"/>
        <v>1</v>
      </c>
      <c r="Q52" s="4">
        <f t="shared" si="306"/>
        <v>1</v>
      </c>
      <c r="R52" s="4">
        <f t="shared" si="306"/>
        <v>0</v>
      </c>
      <c r="S52" s="4">
        <f t="shared" si="306"/>
        <v>0</v>
      </c>
      <c r="T52" s="4">
        <f t="shared" si="306"/>
        <v>0</v>
      </c>
      <c r="V52" s="1" t="s">
        <v>25</v>
      </c>
      <c r="W52" s="1" t="str">
        <f t="shared" si="252"/>
        <v>False</v>
      </c>
      <c r="X52" s="1" t="str">
        <f t="shared" si="252"/>
        <v>False</v>
      </c>
      <c r="Y52" s="1" t="str">
        <f t="shared" si="252"/>
        <v>False</v>
      </c>
      <c r="Z52" s="1" t="str">
        <f t="shared" si="252"/>
        <v>True</v>
      </c>
      <c r="AA52" s="1" t="str">
        <f t="shared" si="252"/>
        <v>False</v>
      </c>
      <c r="AB52" s="1" t="s">
        <v>311</v>
      </c>
      <c r="AC52" s="4">
        <f t="shared" ref="AC52:AH52" si="307">IF(ISNUMBER(SEARCH(AC$1,$AB52)), 1, 0)</f>
        <v>1</v>
      </c>
      <c r="AD52" s="4">
        <f t="shared" si="307"/>
        <v>0</v>
      </c>
      <c r="AE52" s="4">
        <f t="shared" si="307"/>
        <v>0</v>
      </c>
      <c r="AF52" s="4">
        <f t="shared" si="307"/>
        <v>0</v>
      </c>
      <c r="AG52" s="4">
        <f t="shared" si="307"/>
        <v>0</v>
      </c>
      <c r="AH52" s="4">
        <f t="shared" si="307"/>
        <v>0</v>
      </c>
      <c r="AI52" s="1">
        <f t="shared" si="5"/>
        <v>1</v>
      </c>
      <c r="AJ52" s="1" t="s">
        <v>769</v>
      </c>
      <c r="AK52" s="1" t="s">
        <v>346</v>
      </c>
      <c r="AL52" s="4">
        <f t="shared" ref="AL52:AS52" si="308">IF(ISNUMBER(SEARCH(AL$1,$AK52)), 1, 0)</f>
        <v>0</v>
      </c>
      <c r="AM52" s="4">
        <f t="shared" si="308"/>
        <v>1</v>
      </c>
      <c r="AN52" s="4">
        <f t="shared" si="308"/>
        <v>1</v>
      </c>
      <c r="AO52" s="4">
        <f t="shared" si="308"/>
        <v>1</v>
      </c>
      <c r="AP52" s="4">
        <f t="shared" si="308"/>
        <v>0</v>
      </c>
      <c r="AQ52" s="4">
        <f t="shared" si="308"/>
        <v>0</v>
      </c>
      <c r="AR52" s="4">
        <f t="shared" si="308"/>
        <v>0</v>
      </c>
      <c r="AS52" s="4">
        <f t="shared" si="308"/>
        <v>0</v>
      </c>
      <c r="AU52" s="1" t="s">
        <v>47</v>
      </c>
      <c r="AV52" s="1">
        <f t="shared" si="7"/>
        <v>1</v>
      </c>
      <c r="AW52" s="1">
        <f t="shared" si="8"/>
        <v>0</v>
      </c>
      <c r="AX52" s="1">
        <f t="shared" si="9"/>
        <v>0</v>
      </c>
      <c r="AY52" s="1" t="s">
        <v>48</v>
      </c>
      <c r="BA52" s="1" t="s">
        <v>419</v>
      </c>
      <c r="BB52" s="4">
        <f t="shared" ref="BB52:BJ52" si="309">IF(ISNUMBER(SEARCH(BB$1,$BA52)), 1, 0)</f>
        <v>0</v>
      </c>
      <c r="BC52" s="4">
        <f t="shared" si="309"/>
        <v>1</v>
      </c>
      <c r="BD52" s="4">
        <f t="shared" si="309"/>
        <v>0</v>
      </c>
      <c r="BE52" s="4">
        <f t="shared" si="309"/>
        <v>1</v>
      </c>
      <c r="BF52" s="4">
        <f t="shared" si="309"/>
        <v>0</v>
      </c>
      <c r="BG52" s="4">
        <f t="shared" si="309"/>
        <v>1</v>
      </c>
      <c r="BH52" s="4">
        <f t="shared" si="309"/>
        <v>0</v>
      </c>
      <c r="BI52" s="4">
        <f t="shared" si="309"/>
        <v>0</v>
      </c>
      <c r="BJ52" s="4">
        <f t="shared" si="309"/>
        <v>1</v>
      </c>
      <c r="BK52" s="4">
        <f t="shared" si="11"/>
        <v>4</v>
      </c>
      <c r="BM52" s="1" t="s">
        <v>232</v>
      </c>
      <c r="BN52" s="1" t="s">
        <v>770</v>
      </c>
      <c r="BO52" s="4">
        <f t="shared" ref="BO52:BU52" si="310">IF(ISNUMBER(SEARCH(BO$1,$BN52)), 1, 0)</f>
        <v>0</v>
      </c>
      <c r="BP52" s="4">
        <f t="shared" si="310"/>
        <v>1</v>
      </c>
      <c r="BQ52" s="4">
        <f t="shared" si="310"/>
        <v>0</v>
      </c>
      <c r="BR52" s="4">
        <f t="shared" si="310"/>
        <v>1</v>
      </c>
      <c r="BS52" s="4">
        <f t="shared" si="310"/>
        <v>0</v>
      </c>
      <c r="BT52" s="4">
        <f t="shared" si="310"/>
        <v>1</v>
      </c>
      <c r="BU52" s="4">
        <f t="shared" si="310"/>
        <v>0</v>
      </c>
      <c r="CH52" s="1" t="s">
        <v>771</v>
      </c>
      <c r="CI52" s="1" t="s">
        <v>772</v>
      </c>
      <c r="CJ52" s="1" t="s">
        <v>549</v>
      </c>
      <c r="CL52" s="1" t="s">
        <v>601</v>
      </c>
      <c r="CX52" s="1" t="s">
        <v>534</v>
      </c>
      <c r="CZ52" s="1" t="s">
        <v>773</v>
      </c>
      <c r="DB52" s="1" t="s">
        <v>774</v>
      </c>
      <c r="DC52" s="1" t="s">
        <v>180</v>
      </c>
    </row>
    <row r="53" spans="1:107" ht="15.75" customHeight="1" x14ac:dyDescent="0.25">
      <c r="A53" s="1" t="b">
        <v>1</v>
      </c>
      <c r="B53" s="3">
        <v>46164.742569444446</v>
      </c>
      <c r="C53" s="1" t="s">
        <v>543</v>
      </c>
      <c r="D53" s="1" t="s">
        <v>544</v>
      </c>
      <c r="E53" s="4">
        <f t="shared" ref="E53:K53" si="311">IF(ISNUMBER(SEARCH(E$1,$D53)), SEARCH(E$1,$D53), 0)</f>
        <v>1</v>
      </c>
      <c r="F53" s="4">
        <f t="shared" si="311"/>
        <v>30</v>
      </c>
      <c r="G53" s="4">
        <f t="shared" si="311"/>
        <v>0</v>
      </c>
      <c r="H53" s="4">
        <f t="shared" si="311"/>
        <v>0</v>
      </c>
      <c r="I53" s="4">
        <f t="shared" si="311"/>
        <v>105</v>
      </c>
      <c r="J53" s="4">
        <f t="shared" si="311"/>
        <v>0</v>
      </c>
      <c r="K53" s="4">
        <f t="shared" si="311"/>
        <v>137</v>
      </c>
      <c r="L53" s="4">
        <f t="shared" si="1"/>
        <v>137</v>
      </c>
      <c r="N53" s="1" t="s">
        <v>187</v>
      </c>
      <c r="O53" s="4">
        <f t="shared" ref="O53:T53" si="312">IF(ISNUMBER(SEARCH(O$1,$N53)), 1, 0)</f>
        <v>1</v>
      </c>
      <c r="P53" s="4">
        <f t="shared" si="312"/>
        <v>1</v>
      </c>
      <c r="Q53" s="4">
        <f t="shared" si="312"/>
        <v>1</v>
      </c>
      <c r="R53" s="4">
        <f t="shared" si="312"/>
        <v>1</v>
      </c>
      <c r="S53" s="4">
        <f t="shared" si="312"/>
        <v>1</v>
      </c>
      <c r="T53" s="4">
        <f t="shared" si="312"/>
        <v>1</v>
      </c>
      <c r="W53" s="1" t="str">
        <f t="shared" ref="W53:AA61" si="313">IF(W$1=$V53, "True", "False")</f>
        <v>False</v>
      </c>
      <c r="X53" s="1" t="str">
        <f t="shared" si="313"/>
        <v>False</v>
      </c>
      <c r="Y53" s="1" t="str">
        <f t="shared" si="313"/>
        <v>False</v>
      </c>
      <c r="Z53" s="1" t="str">
        <f t="shared" si="313"/>
        <v>False</v>
      </c>
      <c r="AA53" s="1" t="str">
        <f t="shared" si="313"/>
        <v>False</v>
      </c>
      <c r="AB53" s="1" t="s">
        <v>29</v>
      </c>
      <c r="AC53" s="4">
        <f t="shared" ref="AC53:AH53" si="314">IF(ISNUMBER(SEARCH(AC$1,$AB53)), 1, 0)</f>
        <v>0</v>
      </c>
      <c r="AD53" s="4">
        <f t="shared" si="314"/>
        <v>1</v>
      </c>
      <c r="AE53" s="4">
        <f t="shared" si="314"/>
        <v>0</v>
      </c>
      <c r="AF53" s="4">
        <f t="shared" si="314"/>
        <v>0</v>
      </c>
      <c r="AG53" s="4">
        <f t="shared" si="314"/>
        <v>0</v>
      </c>
      <c r="AH53" s="4">
        <f t="shared" si="314"/>
        <v>0</v>
      </c>
      <c r="AI53" s="1">
        <f t="shared" si="5"/>
        <v>1</v>
      </c>
      <c r="AK53" s="1" t="s">
        <v>506</v>
      </c>
      <c r="AL53" s="4">
        <f t="shared" ref="AL53:AS53" si="315">IF(ISNUMBER(SEARCH(AL$1,$AK53)), 1, 0)</f>
        <v>1</v>
      </c>
      <c r="AM53" s="4">
        <f t="shared" si="315"/>
        <v>1</v>
      </c>
      <c r="AN53" s="4">
        <f t="shared" si="315"/>
        <v>0</v>
      </c>
      <c r="AO53" s="4">
        <f t="shared" si="315"/>
        <v>0</v>
      </c>
      <c r="AP53" s="4">
        <f t="shared" si="315"/>
        <v>0</v>
      </c>
      <c r="AQ53" s="4">
        <f t="shared" si="315"/>
        <v>0</v>
      </c>
      <c r="AR53" s="4">
        <f t="shared" si="315"/>
        <v>0</v>
      </c>
      <c r="AS53" s="4">
        <f t="shared" si="315"/>
        <v>0</v>
      </c>
      <c r="AU53" s="1" t="s">
        <v>48</v>
      </c>
      <c r="AV53" s="1">
        <f t="shared" si="7"/>
        <v>0</v>
      </c>
      <c r="AW53" s="1">
        <f t="shared" si="8"/>
        <v>1</v>
      </c>
      <c r="AX53" s="1">
        <f t="shared" si="9"/>
        <v>0</v>
      </c>
      <c r="AY53" s="1" t="s">
        <v>48</v>
      </c>
      <c r="BA53" s="1" t="s">
        <v>545</v>
      </c>
      <c r="BB53" s="4">
        <f t="shared" ref="BB53:BJ53" si="316">IF(ISNUMBER(SEARCH(BB$1,$BA53)), 1, 0)</f>
        <v>1</v>
      </c>
      <c r="BC53" s="4">
        <f t="shared" si="316"/>
        <v>0</v>
      </c>
      <c r="BD53" s="4">
        <f t="shared" si="316"/>
        <v>1</v>
      </c>
      <c r="BE53" s="4">
        <f t="shared" si="316"/>
        <v>0</v>
      </c>
      <c r="BF53" s="4">
        <f t="shared" si="316"/>
        <v>1</v>
      </c>
      <c r="BG53" s="4">
        <f t="shared" si="316"/>
        <v>0</v>
      </c>
      <c r="BH53" s="4">
        <f t="shared" si="316"/>
        <v>0</v>
      </c>
      <c r="BI53" s="4">
        <f t="shared" si="316"/>
        <v>0</v>
      </c>
      <c r="BJ53" s="4">
        <f t="shared" si="316"/>
        <v>1</v>
      </c>
      <c r="BK53" s="4">
        <f t="shared" si="11"/>
        <v>4</v>
      </c>
      <c r="BM53" s="1" t="s">
        <v>232</v>
      </c>
      <c r="BN53" s="1" t="s">
        <v>546</v>
      </c>
      <c r="BO53" s="4">
        <f t="shared" ref="BO53:BU53" si="317">IF(ISNUMBER(SEARCH(BO$1,$BN53)), 1, 0)</f>
        <v>0</v>
      </c>
      <c r="BP53" s="4">
        <f t="shared" si="317"/>
        <v>0</v>
      </c>
      <c r="BQ53" s="4">
        <f t="shared" si="317"/>
        <v>0</v>
      </c>
      <c r="BR53" s="4">
        <f t="shared" si="317"/>
        <v>0</v>
      </c>
      <c r="BS53" s="4">
        <f t="shared" si="317"/>
        <v>1</v>
      </c>
      <c r="BT53" s="4">
        <f t="shared" si="317"/>
        <v>0</v>
      </c>
      <c r="BU53" s="4">
        <f t="shared" si="317"/>
        <v>1</v>
      </c>
      <c r="BW53" s="1" t="s">
        <v>547</v>
      </c>
      <c r="BZ53" s="1" t="s">
        <v>548</v>
      </c>
      <c r="CH53" s="1" t="s">
        <v>520</v>
      </c>
      <c r="CJ53" s="1" t="s">
        <v>549</v>
      </c>
      <c r="CL53" s="1" t="s">
        <v>177</v>
      </c>
      <c r="CM53" s="1" t="s">
        <v>49</v>
      </c>
      <c r="CX53" s="1" t="s">
        <v>550</v>
      </c>
      <c r="CZ53" s="1" t="s">
        <v>178</v>
      </c>
      <c r="DC53" s="1" t="s">
        <v>180</v>
      </c>
    </row>
    <row r="54" spans="1:107" ht="15.75" customHeight="1" x14ac:dyDescent="0.25">
      <c r="A54" s="1" t="b">
        <v>1</v>
      </c>
      <c r="B54" s="3">
        <v>46167.40320601852</v>
      </c>
      <c r="C54" s="1" t="s">
        <v>684</v>
      </c>
      <c r="D54" s="1" t="s">
        <v>5</v>
      </c>
      <c r="E54" s="4">
        <f t="shared" ref="E54:K54" si="318">IF(ISNUMBER(SEARCH(E$1,$D54)), SEARCH(E$1,$D54), 0)</f>
        <v>0</v>
      </c>
      <c r="F54" s="4">
        <f t="shared" si="318"/>
        <v>1</v>
      </c>
      <c r="G54" s="4">
        <f t="shared" si="318"/>
        <v>0</v>
      </c>
      <c r="H54" s="4">
        <f t="shared" si="318"/>
        <v>0</v>
      </c>
      <c r="I54" s="4">
        <f t="shared" si="318"/>
        <v>0</v>
      </c>
      <c r="J54" s="4">
        <f t="shared" si="318"/>
        <v>0</v>
      </c>
      <c r="K54" s="4">
        <f t="shared" si="318"/>
        <v>0</v>
      </c>
      <c r="L54" s="4">
        <f t="shared" si="1"/>
        <v>1</v>
      </c>
      <c r="N54" s="1" t="s">
        <v>323</v>
      </c>
      <c r="O54" s="4">
        <f t="shared" ref="O54:T54" si="319">IF(ISNUMBER(SEARCH(O$1,$N54)), 1, 0)</f>
        <v>1</v>
      </c>
      <c r="P54" s="4">
        <f t="shared" si="319"/>
        <v>1</v>
      </c>
      <c r="Q54" s="4">
        <f t="shared" si="319"/>
        <v>1</v>
      </c>
      <c r="R54" s="4">
        <f t="shared" si="319"/>
        <v>1</v>
      </c>
      <c r="S54" s="4">
        <f t="shared" si="319"/>
        <v>0</v>
      </c>
      <c r="T54" s="4">
        <f t="shared" si="319"/>
        <v>1</v>
      </c>
      <c r="V54" s="1" t="s">
        <v>24</v>
      </c>
      <c r="W54" s="1" t="str">
        <f t="shared" si="313"/>
        <v>False</v>
      </c>
      <c r="X54" s="1" t="str">
        <f t="shared" si="313"/>
        <v>False</v>
      </c>
      <c r="Y54" s="1" t="str">
        <f t="shared" si="313"/>
        <v>True</v>
      </c>
      <c r="Z54" s="1" t="str">
        <f t="shared" si="313"/>
        <v>False</v>
      </c>
      <c r="AA54" s="1" t="str">
        <f t="shared" si="313"/>
        <v>False</v>
      </c>
      <c r="AB54" s="1" t="s">
        <v>685</v>
      </c>
      <c r="AC54" s="4">
        <f t="shared" ref="AC54:AH54" si="320">IF(ISNUMBER(SEARCH(AC$1,$AB54)), 1, 0)</f>
        <v>0</v>
      </c>
      <c r="AD54" s="4">
        <f t="shared" si="320"/>
        <v>0</v>
      </c>
      <c r="AE54" s="4">
        <f t="shared" si="320"/>
        <v>0</v>
      </c>
      <c r="AF54" s="4">
        <f t="shared" si="320"/>
        <v>1</v>
      </c>
      <c r="AG54" s="4">
        <f t="shared" si="320"/>
        <v>1</v>
      </c>
      <c r="AH54" s="4">
        <f t="shared" si="320"/>
        <v>1</v>
      </c>
      <c r="AI54" s="1">
        <f t="shared" si="5"/>
        <v>3</v>
      </c>
      <c r="AK54" s="1" t="s">
        <v>317</v>
      </c>
      <c r="AL54" s="4">
        <f t="shared" ref="AL54:AS54" si="321">IF(ISNUMBER(SEARCH(AL$1,$AK54)), 1, 0)</f>
        <v>0</v>
      </c>
      <c r="AM54" s="4">
        <f t="shared" si="321"/>
        <v>1</v>
      </c>
      <c r="AN54" s="4">
        <f t="shared" si="321"/>
        <v>0</v>
      </c>
      <c r="AO54" s="4">
        <f t="shared" si="321"/>
        <v>1</v>
      </c>
      <c r="AP54" s="4">
        <f t="shared" si="321"/>
        <v>1</v>
      </c>
      <c r="AQ54" s="4">
        <f t="shared" si="321"/>
        <v>1</v>
      </c>
      <c r="AR54" s="4">
        <f t="shared" si="321"/>
        <v>0</v>
      </c>
      <c r="AS54" s="4">
        <f t="shared" si="321"/>
        <v>0</v>
      </c>
      <c r="AU54" s="1" t="s">
        <v>48</v>
      </c>
      <c r="AV54" s="1">
        <f t="shared" si="7"/>
        <v>0</v>
      </c>
      <c r="AW54" s="1">
        <f t="shared" si="8"/>
        <v>1</v>
      </c>
      <c r="AX54" s="1">
        <f t="shared" si="9"/>
        <v>0</v>
      </c>
      <c r="AY54" s="1" t="s">
        <v>48</v>
      </c>
      <c r="BA54" s="1" t="s">
        <v>225</v>
      </c>
      <c r="BB54" s="4">
        <f t="shared" ref="BB54:BJ54" si="322">IF(ISNUMBER(SEARCH(BB$1,$BA54)), 1, 0)</f>
        <v>0</v>
      </c>
      <c r="BC54" s="4">
        <f t="shared" si="322"/>
        <v>0</v>
      </c>
      <c r="BD54" s="4">
        <f t="shared" si="322"/>
        <v>0</v>
      </c>
      <c r="BE54" s="4">
        <f t="shared" si="322"/>
        <v>1</v>
      </c>
      <c r="BF54" s="4">
        <f t="shared" si="322"/>
        <v>0</v>
      </c>
      <c r="BG54" s="4">
        <f t="shared" si="322"/>
        <v>0</v>
      </c>
      <c r="BH54" s="4">
        <f t="shared" si="322"/>
        <v>0</v>
      </c>
      <c r="BI54" s="4">
        <f t="shared" si="322"/>
        <v>0</v>
      </c>
      <c r="BJ54" s="4">
        <f t="shared" si="322"/>
        <v>1</v>
      </c>
      <c r="BK54" s="4">
        <f t="shared" si="11"/>
        <v>2</v>
      </c>
      <c r="BM54" s="1" t="s">
        <v>190</v>
      </c>
      <c r="BN54" s="1" t="s">
        <v>72</v>
      </c>
      <c r="BO54" s="4">
        <f t="shared" ref="BO54:BU54" si="323">IF(ISNUMBER(SEARCH(BO$1,$BN54)), 1, 0)</f>
        <v>0</v>
      </c>
      <c r="BP54" s="4">
        <f t="shared" si="323"/>
        <v>0</v>
      </c>
      <c r="BQ54" s="4">
        <f t="shared" si="323"/>
        <v>0</v>
      </c>
      <c r="BR54" s="4">
        <f t="shared" si="323"/>
        <v>0</v>
      </c>
      <c r="BS54" s="4">
        <f t="shared" si="323"/>
        <v>0</v>
      </c>
      <c r="BT54" s="4">
        <f t="shared" si="323"/>
        <v>0</v>
      </c>
      <c r="BU54" s="4">
        <f t="shared" si="323"/>
        <v>1</v>
      </c>
      <c r="BW54" s="1" t="s">
        <v>220</v>
      </c>
      <c r="BZ54" s="1" t="s">
        <v>278</v>
      </c>
      <c r="CX54" s="1" t="s">
        <v>686</v>
      </c>
      <c r="CZ54" s="1" t="s">
        <v>333</v>
      </c>
      <c r="DA54" s="1" t="s">
        <v>687</v>
      </c>
      <c r="DB54" s="1" t="s">
        <v>688</v>
      </c>
      <c r="DC54" s="1" t="s">
        <v>180</v>
      </c>
    </row>
    <row r="55" spans="1:107" ht="15.75" customHeight="1" x14ac:dyDescent="0.25">
      <c r="A55" s="1" t="b">
        <v>1</v>
      </c>
      <c r="B55" s="3">
        <v>46151.410277777781</v>
      </c>
      <c r="C55" s="1" t="s">
        <v>251</v>
      </c>
      <c r="D55" s="1" t="s">
        <v>5</v>
      </c>
      <c r="E55" s="4">
        <f t="shared" ref="E55:K55" si="324">IF(ISNUMBER(SEARCH(E$1,$D55)), SEARCH(E$1,$D55), 0)</f>
        <v>0</v>
      </c>
      <c r="F55" s="4">
        <f t="shared" si="324"/>
        <v>1</v>
      </c>
      <c r="G55" s="4">
        <f t="shared" si="324"/>
        <v>0</v>
      </c>
      <c r="H55" s="4">
        <f t="shared" si="324"/>
        <v>0</v>
      </c>
      <c r="I55" s="4">
        <f t="shared" si="324"/>
        <v>0</v>
      </c>
      <c r="J55" s="4">
        <f t="shared" si="324"/>
        <v>0</v>
      </c>
      <c r="K55" s="4">
        <f t="shared" si="324"/>
        <v>0</v>
      </c>
      <c r="L55" s="4">
        <f t="shared" si="1"/>
        <v>1</v>
      </c>
      <c r="N55" s="1" t="s">
        <v>240</v>
      </c>
      <c r="O55" s="4">
        <f t="shared" ref="O55:T55" si="325">IF(ISNUMBER(SEARCH(O$1,$N55)), 1, 0)</f>
        <v>1</v>
      </c>
      <c r="P55" s="4">
        <f t="shared" si="325"/>
        <v>1</v>
      </c>
      <c r="Q55" s="4">
        <f t="shared" si="325"/>
        <v>1</v>
      </c>
      <c r="R55" s="4">
        <f t="shared" si="325"/>
        <v>1</v>
      </c>
      <c r="S55" s="4">
        <f t="shared" si="325"/>
        <v>0</v>
      </c>
      <c r="T55" s="4">
        <f t="shared" si="325"/>
        <v>0</v>
      </c>
      <c r="V55" s="1" t="s">
        <v>24</v>
      </c>
      <c r="W55" s="1" t="str">
        <f t="shared" si="313"/>
        <v>False</v>
      </c>
      <c r="X55" s="1" t="str">
        <f t="shared" si="313"/>
        <v>False</v>
      </c>
      <c r="Y55" s="1" t="str">
        <f t="shared" si="313"/>
        <v>True</v>
      </c>
      <c r="Z55" s="1" t="str">
        <f t="shared" si="313"/>
        <v>False</v>
      </c>
      <c r="AA55" s="1" t="str">
        <f t="shared" si="313"/>
        <v>False</v>
      </c>
      <c r="AB55" s="1" t="s">
        <v>28</v>
      </c>
      <c r="AC55" s="4">
        <f t="shared" ref="AC55:AH55" si="326">IF(ISNUMBER(SEARCH(AC$1,$AB55)), 1, 0)</f>
        <v>1</v>
      </c>
      <c r="AD55" s="4">
        <f t="shared" si="326"/>
        <v>0</v>
      </c>
      <c r="AE55" s="4">
        <f t="shared" si="326"/>
        <v>0</v>
      </c>
      <c r="AF55" s="4">
        <f t="shared" si="326"/>
        <v>0</v>
      </c>
      <c r="AG55" s="4">
        <f t="shared" si="326"/>
        <v>0</v>
      </c>
      <c r="AH55" s="4">
        <f t="shared" si="326"/>
        <v>0</v>
      </c>
      <c r="AI55" s="1">
        <f t="shared" si="5"/>
        <v>1</v>
      </c>
      <c r="AK55" s="1" t="s">
        <v>252</v>
      </c>
      <c r="AL55" s="4">
        <f t="shared" ref="AL55:AS55" si="327">IF(ISNUMBER(SEARCH(AL$1,$AK55)), 1, 0)</f>
        <v>0</v>
      </c>
      <c r="AM55" s="4">
        <f t="shared" si="327"/>
        <v>1</v>
      </c>
      <c r="AN55" s="4">
        <f t="shared" si="327"/>
        <v>1</v>
      </c>
      <c r="AO55" s="4">
        <f t="shared" si="327"/>
        <v>0</v>
      </c>
      <c r="AP55" s="4">
        <f t="shared" si="327"/>
        <v>0</v>
      </c>
      <c r="AQ55" s="4">
        <f t="shared" si="327"/>
        <v>1</v>
      </c>
      <c r="AR55" s="4">
        <f t="shared" si="327"/>
        <v>0</v>
      </c>
      <c r="AS55" s="4">
        <f t="shared" si="327"/>
        <v>0</v>
      </c>
      <c r="AU55" s="1" t="s">
        <v>48</v>
      </c>
      <c r="AV55" s="1">
        <f t="shared" si="7"/>
        <v>0</v>
      </c>
      <c r="AW55" s="1">
        <f t="shared" si="8"/>
        <v>1</v>
      </c>
      <c r="AX55" s="1">
        <f t="shared" si="9"/>
        <v>0</v>
      </c>
      <c r="AY55" s="1" t="s">
        <v>48</v>
      </c>
      <c r="BA55" s="1" t="s">
        <v>253</v>
      </c>
      <c r="BB55" s="4">
        <f t="shared" ref="BB55:BJ55" si="328">IF(ISNUMBER(SEARCH(BB$1,$BA55)), 1, 0)</f>
        <v>1</v>
      </c>
      <c r="BC55" s="4">
        <f t="shared" si="328"/>
        <v>1</v>
      </c>
      <c r="BD55" s="4">
        <f t="shared" si="328"/>
        <v>1</v>
      </c>
      <c r="BE55" s="4">
        <f t="shared" si="328"/>
        <v>1</v>
      </c>
      <c r="BF55" s="4">
        <f t="shared" si="328"/>
        <v>1</v>
      </c>
      <c r="BG55" s="4">
        <f t="shared" si="328"/>
        <v>0</v>
      </c>
      <c r="BH55" s="4">
        <f t="shared" si="328"/>
        <v>0</v>
      </c>
      <c r="BI55" s="4">
        <f t="shared" si="328"/>
        <v>0</v>
      </c>
      <c r="BJ55" s="4">
        <f t="shared" si="328"/>
        <v>1</v>
      </c>
      <c r="BK55" s="4">
        <f t="shared" si="11"/>
        <v>6</v>
      </c>
      <c r="BM55" s="1" t="s">
        <v>218</v>
      </c>
      <c r="BN55" s="1" t="s">
        <v>254</v>
      </c>
      <c r="BO55" s="4">
        <f t="shared" ref="BO55:BU55" si="329">IF(ISNUMBER(SEARCH(BO$1,$BN55)), 1, 0)</f>
        <v>1</v>
      </c>
      <c r="BP55" s="4">
        <f t="shared" si="329"/>
        <v>1</v>
      </c>
      <c r="BQ55" s="4">
        <f t="shared" si="329"/>
        <v>0</v>
      </c>
      <c r="BR55" s="4">
        <f t="shared" si="329"/>
        <v>1</v>
      </c>
      <c r="BS55" s="4">
        <f t="shared" si="329"/>
        <v>0</v>
      </c>
      <c r="BT55" s="4">
        <f t="shared" si="329"/>
        <v>1</v>
      </c>
      <c r="BU55" s="4">
        <f t="shared" si="329"/>
        <v>0</v>
      </c>
      <c r="BW55" s="1" t="s">
        <v>255</v>
      </c>
      <c r="BZ55" s="1" t="s">
        <v>256</v>
      </c>
      <c r="CX55" s="1" t="s">
        <v>257</v>
      </c>
      <c r="CZ55" s="1" t="s">
        <v>178</v>
      </c>
      <c r="DC55" s="1" t="s">
        <v>238</v>
      </c>
    </row>
    <row r="56" spans="1:107" ht="15.75" customHeight="1" x14ac:dyDescent="0.25">
      <c r="A56" s="1" t="b">
        <v>1</v>
      </c>
      <c r="B56" s="3">
        <v>46155.428888888891</v>
      </c>
      <c r="C56" s="1" t="s">
        <v>366</v>
      </c>
      <c r="D56" s="1" t="s">
        <v>5</v>
      </c>
      <c r="E56" s="4">
        <f t="shared" ref="E56:K56" si="330">IF(ISNUMBER(SEARCH(E$1,$D56)), SEARCH(E$1,$D56), 0)</f>
        <v>0</v>
      </c>
      <c r="F56" s="4">
        <f t="shared" si="330"/>
        <v>1</v>
      </c>
      <c r="G56" s="4">
        <f t="shared" si="330"/>
        <v>0</v>
      </c>
      <c r="H56" s="4">
        <f t="shared" si="330"/>
        <v>0</v>
      </c>
      <c r="I56" s="4">
        <f t="shared" si="330"/>
        <v>0</v>
      </c>
      <c r="J56" s="4">
        <f t="shared" si="330"/>
        <v>0</v>
      </c>
      <c r="K56" s="4">
        <f t="shared" si="330"/>
        <v>0</v>
      </c>
      <c r="L56" s="4">
        <f t="shared" si="1"/>
        <v>1</v>
      </c>
      <c r="N56" s="1" t="s">
        <v>367</v>
      </c>
      <c r="O56" s="4">
        <f t="shared" ref="O56:T56" si="331">IF(ISNUMBER(SEARCH(O$1,$N56)), 1, 0)</f>
        <v>1</v>
      </c>
      <c r="P56" s="4">
        <f t="shared" si="331"/>
        <v>1</v>
      </c>
      <c r="Q56" s="4">
        <f t="shared" si="331"/>
        <v>1</v>
      </c>
      <c r="R56" s="4">
        <f t="shared" si="331"/>
        <v>1</v>
      </c>
      <c r="S56" s="4">
        <f t="shared" si="331"/>
        <v>0</v>
      </c>
      <c r="T56" s="4">
        <f t="shared" si="331"/>
        <v>0</v>
      </c>
      <c r="U56" s="1" t="s">
        <v>368</v>
      </c>
      <c r="V56" s="1" t="s">
        <v>23</v>
      </c>
      <c r="W56" s="1" t="str">
        <f t="shared" si="313"/>
        <v>False</v>
      </c>
      <c r="X56" s="1" t="str">
        <f t="shared" si="313"/>
        <v>True</v>
      </c>
      <c r="Y56" s="1" t="str">
        <f t="shared" si="313"/>
        <v>False</v>
      </c>
      <c r="Z56" s="1" t="str">
        <f t="shared" si="313"/>
        <v>False</v>
      </c>
      <c r="AA56" s="1" t="str">
        <f t="shared" si="313"/>
        <v>False</v>
      </c>
      <c r="AB56" s="1" t="s">
        <v>28</v>
      </c>
      <c r="AC56" s="4">
        <f t="shared" ref="AC56:AH56" si="332">IF(ISNUMBER(SEARCH(AC$1,$AB56)), 1, 0)</f>
        <v>1</v>
      </c>
      <c r="AD56" s="4">
        <f t="shared" si="332"/>
        <v>0</v>
      </c>
      <c r="AE56" s="4">
        <f t="shared" si="332"/>
        <v>0</v>
      </c>
      <c r="AF56" s="4">
        <f t="shared" si="332"/>
        <v>0</v>
      </c>
      <c r="AG56" s="4">
        <f t="shared" si="332"/>
        <v>0</v>
      </c>
      <c r="AH56" s="4">
        <f t="shared" si="332"/>
        <v>0</v>
      </c>
      <c r="AI56" s="1">
        <f t="shared" si="5"/>
        <v>1</v>
      </c>
      <c r="AK56" s="1" t="s">
        <v>369</v>
      </c>
      <c r="AL56" s="4">
        <f t="shared" ref="AL56:AS56" si="333">IF(ISNUMBER(SEARCH(AL$1,$AK56)), 1, 0)</f>
        <v>0</v>
      </c>
      <c r="AM56" s="4">
        <f t="shared" si="333"/>
        <v>1</v>
      </c>
      <c r="AN56" s="4">
        <f t="shared" si="333"/>
        <v>0</v>
      </c>
      <c r="AO56" s="4">
        <f t="shared" si="333"/>
        <v>1</v>
      </c>
      <c r="AP56" s="4">
        <f t="shared" si="333"/>
        <v>0</v>
      </c>
      <c r="AQ56" s="4">
        <f t="shared" si="333"/>
        <v>1</v>
      </c>
      <c r="AR56" s="4">
        <f t="shared" si="333"/>
        <v>0</v>
      </c>
      <c r="AS56" s="4">
        <f t="shared" si="333"/>
        <v>0</v>
      </c>
      <c r="AT56" s="1" t="s">
        <v>370</v>
      </c>
      <c r="AU56" s="1" t="s">
        <v>47</v>
      </c>
      <c r="AV56" s="1">
        <f t="shared" si="7"/>
        <v>1</v>
      </c>
      <c r="AW56" s="1">
        <f t="shared" si="8"/>
        <v>0</v>
      </c>
      <c r="AX56" s="1">
        <f t="shared" si="9"/>
        <v>0</v>
      </c>
      <c r="AY56" s="1" t="s">
        <v>48</v>
      </c>
      <c r="BA56" s="1" t="s">
        <v>371</v>
      </c>
      <c r="BB56" s="4">
        <f t="shared" ref="BB56:BJ56" si="334">IF(ISNUMBER(SEARCH(BB$1,$BA56)), 1, 0)</f>
        <v>1</v>
      </c>
      <c r="BC56" s="4">
        <f t="shared" si="334"/>
        <v>1</v>
      </c>
      <c r="BD56" s="4">
        <f t="shared" si="334"/>
        <v>1</v>
      </c>
      <c r="BE56" s="4">
        <f t="shared" si="334"/>
        <v>0</v>
      </c>
      <c r="BF56" s="4">
        <f t="shared" si="334"/>
        <v>1</v>
      </c>
      <c r="BG56" s="4">
        <f t="shared" si="334"/>
        <v>1</v>
      </c>
      <c r="BH56" s="4">
        <f t="shared" si="334"/>
        <v>0</v>
      </c>
      <c r="BI56" s="4">
        <f t="shared" si="334"/>
        <v>0</v>
      </c>
      <c r="BJ56" s="4">
        <f t="shared" si="334"/>
        <v>1</v>
      </c>
      <c r="BK56" s="4">
        <f t="shared" si="11"/>
        <v>6</v>
      </c>
      <c r="BM56" s="1" t="s">
        <v>190</v>
      </c>
      <c r="BN56" s="1" t="s">
        <v>372</v>
      </c>
      <c r="BO56" s="4">
        <f t="shared" ref="BO56:BU56" si="335">IF(ISNUMBER(SEARCH(BO$1,$BN56)), 1, 0)</f>
        <v>0</v>
      </c>
      <c r="BP56" s="4">
        <f t="shared" si="335"/>
        <v>0</v>
      </c>
      <c r="BQ56" s="4">
        <f t="shared" si="335"/>
        <v>0</v>
      </c>
      <c r="BR56" s="4">
        <f t="shared" si="335"/>
        <v>0</v>
      </c>
      <c r="BS56" s="4">
        <f t="shared" si="335"/>
        <v>0</v>
      </c>
      <c r="BT56" s="4">
        <f t="shared" si="335"/>
        <v>1</v>
      </c>
      <c r="BU56" s="4">
        <f t="shared" si="335"/>
        <v>1</v>
      </c>
      <c r="CX56" s="1" t="s">
        <v>373</v>
      </c>
      <c r="CZ56" s="1" t="s">
        <v>374</v>
      </c>
      <c r="DB56" s="1" t="s">
        <v>375</v>
      </c>
      <c r="DC56" s="1" t="s">
        <v>238</v>
      </c>
    </row>
    <row r="57" spans="1:107" ht="15.75" customHeight="1" x14ac:dyDescent="0.25">
      <c r="A57" s="1" t="b">
        <v>1</v>
      </c>
      <c r="B57" s="3">
        <v>46165.828402777777</v>
      </c>
      <c r="C57" s="1" t="s">
        <v>626</v>
      </c>
      <c r="D57" s="1" t="s">
        <v>5</v>
      </c>
      <c r="E57" s="4">
        <f t="shared" ref="E57:K57" si="336">IF(ISNUMBER(SEARCH(E$1,$D57)), SEARCH(E$1,$D57), 0)</f>
        <v>0</v>
      </c>
      <c r="F57" s="4">
        <f t="shared" si="336"/>
        <v>1</v>
      </c>
      <c r="G57" s="4">
        <f t="shared" si="336"/>
        <v>0</v>
      </c>
      <c r="H57" s="4">
        <f t="shared" si="336"/>
        <v>0</v>
      </c>
      <c r="I57" s="4">
        <f t="shared" si="336"/>
        <v>0</v>
      </c>
      <c r="J57" s="4">
        <f t="shared" si="336"/>
        <v>0</v>
      </c>
      <c r="K57" s="4">
        <f t="shared" si="336"/>
        <v>0</v>
      </c>
      <c r="L57" s="4">
        <f t="shared" si="1"/>
        <v>1</v>
      </c>
      <c r="N57" s="1" t="s">
        <v>14</v>
      </c>
      <c r="O57" s="4">
        <f t="shared" ref="O57:T57" si="337">IF(ISNUMBER(SEARCH(O$1,$N57)), 1, 0)</f>
        <v>1</v>
      </c>
      <c r="P57" s="4">
        <f t="shared" si="337"/>
        <v>0</v>
      </c>
      <c r="Q57" s="4">
        <f t="shared" si="337"/>
        <v>0</v>
      </c>
      <c r="R57" s="4">
        <f t="shared" si="337"/>
        <v>0</v>
      </c>
      <c r="S57" s="4">
        <f t="shared" si="337"/>
        <v>0</v>
      </c>
      <c r="T57" s="4">
        <f t="shared" si="337"/>
        <v>0</v>
      </c>
      <c r="W57" s="1" t="str">
        <f t="shared" si="313"/>
        <v>False</v>
      </c>
      <c r="X57" s="1" t="str">
        <f t="shared" si="313"/>
        <v>False</v>
      </c>
      <c r="Y57" s="1" t="str">
        <f t="shared" si="313"/>
        <v>False</v>
      </c>
      <c r="Z57" s="1" t="str">
        <f t="shared" si="313"/>
        <v>False</v>
      </c>
      <c r="AA57" s="1" t="str">
        <f t="shared" si="313"/>
        <v>False</v>
      </c>
      <c r="AB57" s="1" t="s">
        <v>311</v>
      </c>
      <c r="AC57" s="4">
        <f t="shared" ref="AC57:AH57" si="338">IF(ISNUMBER(SEARCH(AC$1,$AB57)), 1, 0)</f>
        <v>1</v>
      </c>
      <c r="AD57" s="4">
        <f t="shared" si="338"/>
        <v>0</v>
      </c>
      <c r="AE57" s="4">
        <f t="shared" si="338"/>
        <v>0</v>
      </c>
      <c r="AF57" s="4">
        <f t="shared" si="338"/>
        <v>0</v>
      </c>
      <c r="AG57" s="4">
        <f t="shared" si="338"/>
        <v>0</v>
      </c>
      <c r="AH57" s="4">
        <f t="shared" si="338"/>
        <v>0</v>
      </c>
      <c r="AI57" s="1">
        <f t="shared" si="5"/>
        <v>1</v>
      </c>
      <c r="AJ57" s="1" t="s">
        <v>627</v>
      </c>
      <c r="AK57" s="1" t="s">
        <v>470</v>
      </c>
      <c r="AL57" s="4">
        <f t="shared" ref="AL57:AS57" si="339">IF(ISNUMBER(SEARCH(AL$1,$AK57)), 1, 0)</f>
        <v>0</v>
      </c>
      <c r="AM57" s="4">
        <f t="shared" si="339"/>
        <v>1</v>
      </c>
      <c r="AN57" s="4">
        <f t="shared" si="339"/>
        <v>0</v>
      </c>
      <c r="AO57" s="4">
        <f t="shared" si="339"/>
        <v>1</v>
      </c>
      <c r="AP57" s="4">
        <f t="shared" si="339"/>
        <v>0</v>
      </c>
      <c r="AQ57" s="4">
        <f t="shared" si="339"/>
        <v>1</v>
      </c>
      <c r="AR57" s="4">
        <f t="shared" si="339"/>
        <v>0</v>
      </c>
      <c r="AS57" s="4">
        <f t="shared" si="339"/>
        <v>0</v>
      </c>
      <c r="AU57" s="1" t="s">
        <v>47</v>
      </c>
      <c r="AV57" s="1">
        <f t="shared" si="7"/>
        <v>1</v>
      </c>
      <c r="AW57" s="1">
        <f t="shared" si="8"/>
        <v>0</v>
      </c>
      <c r="AX57" s="1">
        <f t="shared" si="9"/>
        <v>0</v>
      </c>
      <c r="AY57" s="1" t="s">
        <v>48</v>
      </c>
      <c r="BA57" s="1" t="s">
        <v>628</v>
      </c>
      <c r="BB57" s="4">
        <f t="shared" ref="BB57:BJ57" si="340">IF(ISNUMBER(SEARCH(BB$1,$BA57)), 1, 0)</f>
        <v>1</v>
      </c>
      <c r="BC57" s="4">
        <f t="shared" si="340"/>
        <v>0</v>
      </c>
      <c r="BD57" s="4">
        <f t="shared" si="340"/>
        <v>1</v>
      </c>
      <c r="BE57" s="4">
        <f t="shared" si="340"/>
        <v>1</v>
      </c>
      <c r="BF57" s="4">
        <f t="shared" si="340"/>
        <v>1</v>
      </c>
      <c r="BG57" s="4">
        <f t="shared" si="340"/>
        <v>0</v>
      </c>
      <c r="BH57" s="4">
        <f t="shared" si="340"/>
        <v>0</v>
      </c>
      <c r="BI57" s="4">
        <f t="shared" si="340"/>
        <v>0</v>
      </c>
      <c r="BJ57" s="4">
        <f t="shared" si="340"/>
        <v>1</v>
      </c>
      <c r="BK57" s="4">
        <f t="shared" si="11"/>
        <v>5</v>
      </c>
      <c r="BM57" s="1" t="s">
        <v>232</v>
      </c>
      <c r="BN57" s="1" t="s">
        <v>629</v>
      </c>
      <c r="BO57" s="4">
        <f t="shared" ref="BO57:BU57" si="341">IF(ISNUMBER(SEARCH(BO$1,$BN57)), 1, 0)</f>
        <v>0</v>
      </c>
      <c r="BP57" s="4">
        <f t="shared" si="341"/>
        <v>0</v>
      </c>
      <c r="BQ57" s="4">
        <f t="shared" si="341"/>
        <v>0</v>
      </c>
      <c r="BR57" s="4">
        <f t="shared" si="341"/>
        <v>0</v>
      </c>
      <c r="BS57" s="4">
        <f t="shared" si="341"/>
        <v>1</v>
      </c>
      <c r="BT57" s="4">
        <f t="shared" si="341"/>
        <v>1</v>
      </c>
      <c r="BU57" s="4">
        <f t="shared" si="341"/>
        <v>0</v>
      </c>
      <c r="CX57" s="1" t="s">
        <v>630</v>
      </c>
      <c r="CZ57" s="1" t="s">
        <v>631</v>
      </c>
      <c r="DC57" s="1" t="s">
        <v>238</v>
      </c>
    </row>
    <row r="58" spans="1:107" ht="15.75" customHeight="1" x14ac:dyDescent="0.25">
      <c r="A58" s="1" t="b">
        <v>1</v>
      </c>
      <c r="B58" s="3">
        <v>46164.563344907408</v>
      </c>
      <c r="C58" s="1" t="s">
        <v>482</v>
      </c>
      <c r="D58" s="1" t="s">
        <v>5</v>
      </c>
      <c r="E58" s="4">
        <f t="shared" ref="E58:K58" si="342">IF(ISNUMBER(SEARCH(E$1,$D58)), SEARCH(E$1,$D58), 0)</f>
        <v>0</v>
      </c>
      <c r="F58" s="4">
        <f t="shared" si="342"/>
        <v>1</v>
      </c>
      <c r="G58" s="4">
        <f t="shared" si="342"/>
        <v>0</v>
      </c>
      <c r="H58" s="4">
        <f t="shared" si="342"/>
        <v>0</v>
      </c>
      <c r="I58" s="4">
        <f t="shared" si="342"/>
        <v>0</v>
      </c>
      <c r="J58" s="4">
        <f t="shared" si="342"/>
        <v>0</v>
      </c>
      <c r="K58" s="4">
        <f t="shared" si="342"/>
        <v>0</v>
      </c>
      <c r="L58" s="4">
        <f t="shared" si="1"/>
        <v>1</v>
      </c>
      <c r="N58" s="1" t="s">
        <v>240</v>
      </c>
      <c r="O58" s="4">
        <f t="shared" ref="O58:T58" si="343">IF(ISNUMBER(SEARCH(O$1,$N58)), 1, 0)</f>
        <v>1</v>
      </c>
      <c r="P58" s="4">
        <f t="shared" si="343"/>
        <v>1</v>
      </c>
      <c r="Q58" s="4">
        <f t="shared" si="343"/>
        <v>1</v>
      </c>
      <c r="R58" s="4">
        <f t="shared" si="343"/>
        <v>1</v>
      </c>
      <c r="S58" s="4">
        <f t="shared" si="343"/>
        <v>0</v>
      </c>
      <c r="T58" s="4">
        <f t="shared" si="343"/>
        <v>0</v>
      </c>
      <c r="V58" s="1" t="s">
        <v>26</v>
      </c>
      <c r="W58" s="1" t="str">
        <f t="shared" si="313"/>
        <v>False</v>
      </c>
      <c r="X58" s="1" t="str">
        <f t="shared" si="313"/>
        <v>False</v>
      </c>
      <c r="Y58" s="1" t="str">
        <f t="shared" si="313"/>
        <v>False</v>
      </c>
      <c r="Z58" s="1" t="str">
        <f t="shared" si="313"/>
        <v>False</v>
      </c>
      <c r="AA58" s="1" t="str">
        <f t="shared" si="313"/>
        <v>True</v>
      </c>
      <c r="AB58" s="1" t="s">
        <v>28</v>
      </c>
      <c r="AC58" s="4">
        <f t="shared" ref="AC58:AH58" si="344">IF(ISNUMBER(SEARCH(AC$1,$AB58)), 1, 0)</f>
        <v>1</v>
      </c>
      <c r="AD58" s="4">
        <f t="shared" si="344"/>
        <v>0</v>
      </c>
      <c r="AE58" s="4">
        <f t="shared" si="344"/>
        <v>0</v>
      </c>
      <c r="AF58" s="4">
        <f t="shared" si="344"/>
        <v>0</v>
      </c>
      <c r="AG58" s="4">
        <f t="shared" si="344"/>
        <v>0</v>
      </c>
      <c r="AH58" s="4">
        <f t="shared" si="344"/>
        <v>0</v>
      </c>
      <c r="AI58" s="1">
        <f t="shared" si="5"/>
        <v>1</v>
      </c>
      <c r="AK58" s="1" t="s">
        <v>483</v>
      </c>
      <c r="AL58" s="4">
        <f t="shared" ref="AL58:AS58" si="345">IF(ISNUMBER(SEARCH(AL$1,$AK58)), 1, 0)</f>
        <v>1</v>
      </c>
      <c r="AM58" s="4">
        <f t="shared" si="345"/>
        <v>1</v>
      </c>
      <c r="AN58" s="4">
        <f t="shared" si="345"/>
        <v>1</v>
      </c>
      <c r="AO58" s="4">
        <f t="shared" si="345"/>
        <v>0</v>
      </c>
      <c r="AP58" s="4">
        <f t="shared" si="345"/>
        <v>0</v>
      </c>
      <c r="AQ58" s="4">
        <f t="shared" si="345"/>
        <v>0</v>
      </c>
      <c r="AR58" s="4">
        <f t="shared" si="345"/>
        <v>0</v>
      </c>
      <c r="AS58" s="4">
        <f t="shared" si="345"/>
        <v>0</v>
      </c>
      <c r="AU58" s="1" t="s">
        <v>47</v>
      </c>
      <c r="AV58" s="1">
        <f t="shared" si="7"/>
        <v>1</v>
      </c>
      <c r="AW58" s="1">
        <f t="shared" si="8"/>
        <v>0</v>
      </c>
      <c r="AX58" s="1">
        <f t="shared" si="9"/>
        <v>0</v>
      </c>
      <c r="AY58" s="1" t="s">
        <v>48</v>
      </c>
      <c r="BA58" s="1" t="s">
        <v>484</v>
      </c>
      <c r="BB58" s="4">
        <f t="shared" ref="BB58:BJ58" si="346">IF(ISNUMBER(SEARCH(BB$1,$BA58)), 1, 0)</f>
        <v>0</v>
      </c>
      <c r="BC58" s="4">
        <f t="shared" si="346"/>
        <v>0</v>
      </c>
      <c r="BD58" s="4">
        <f t="shared" si="346"/>
        <v>1</v>
      </c>
      <c r="BE58" s="4">
        <f t="shared" si="346"/>
        <v>0</v>
      </c>
      <c r="BF58" s="4">
        <f t="shared" si="346"/>
        <v>0</v>
      </c>
      <c r="BG58" s="4">
        <f t="shared" si="346"/>
        <v>0</v>
      </c>
      <c r="BH58" s="4">
        <f t="shared" si="346"/>
        <v>1</v>
      </c>
      <c r="BI58" s="4">
        <f t="shared" si="346"/>
        <v>0</v>
      </c>
      <c r="BJ58" s="4">
        <f t="shared" si="346"/>
        <v>0</v>
      </c>
      <c r="BK58" s="4">
        <f t="shared" si="11"/>
        <v>2</v>
      </c>
      <c r="BM58" s="1" t="s">
        <v>166</v>
      </c>
      <c r="BN58" s="1" t="s">
        <v>340</v>
      </c>
      <c r="BO58" s="4">
        <f t="shared" ref="BO58:BU58" si="347">IF(ISNUMBER(SEARCH(BO$1,$BN58)), 1, 0)</f>
        <v>1</v>
      </c>
      <c r="BP58" s="4">
        <f t="shared" si="347"/>
        <v>1</v>
      </c>
      <c r="BQ58" s="4">
        <f t="shared" si="347"/>
        <v>0</v>
      </c>
      <c r="BR58" s="4">
        <f t="shared" si="347"/>
        <v>0</v>
      </c>
      <c r="BS58" s="4">
        <f t="shared" si="347"/>
        <v>0</v>
      </c>
      <c r="BT58" s="4">
        <f t="shared" si="347"/>
        <v>0</v>
      </c>
      <c r="BU58" s="4">
        <f t="shared" si="347"/>
        <v>0</v>
      </c>
      <c r="CX58" s="1" t="s">
        <v>249</v>
      </c>
      <c r="CZ58" s="1" t="s">
        <v>485</v>
      </c>
      <c r="DC58" s="1" t="s">
        <v>180</v>
      </c>
    </row>
    <row r="59" spans="1:107" ht="15.75" customHeight="1" x14ac:dyDescent="0.25">
      <c r="A59" s="1" t="b">
        <v>1</v>
      </c>
      <c r="B59" s="3">
        <v>46167.020335648151</v>
      </c>
      <c r="C59" s="1" t="s">
        <v>669</v>
      </c>
      <c r="D59" s="1" t="s">
        <v>5</v>
      </c>
      <c r="E59" s="4">
        <f t="shared" ref="E59:K59" si="348">IF(ISNUMBER(SEARCH(E$1,$D59)), SEARCH(E$1,$D59), 0)</f>
        <v>0</v>
      </c>
      <c r="F59" s="4">
        <f t="shared" si="348"/>
        <v>1</v>
      </c>
      <c r="G59" s="4">
        <f t="shared" si="348"/>
        <v>0</v>
      </c>
      <c r="H59" s="4">
        <f t="shared" si="348"/>
        <v>0</v>
      </c>
      <c r="I59" s="4">
        <f t="shared" si="348"/>
        <v>0</v>
      </c>
      <c r="J59" s="4">
        <f t="shared" si="348"/>
        <v>0</v>
      </c>
      <c r="K59" s="4">
        <f t="shared" si="348"/>
        <v>0</v>
      </c>
      <c r="L59" s="4">
        <f t="shared" si="1"/>
        <v>1</v>
      </c>
      <c r="N59" s="1" t="s">
        <v>187</v>
      </c>
      <c r="O59" s="4">
        <f t="shared" ref="O59:T59" si="349">IF(ISNUMBER(SEARCH(O$1,$N59)), 1, 0)</f>
        <v>1</v>
      </c>
      <c r="P59" s="4">
        <f t="shared" si="349"/>
        <v>1</v>
      </c>
      <c r="Q59" s="4">
        <f t="shared" si="349"/>
        <v>1</v>
      </c>
      <c r="R59" s="4">
        <f t="shared" si="349"/>
        <v>1</v>
      </c>
      <c r="S59" s="4">
        <f t="shared" si="349"/>
        <v>1</v>
      </c>
      <c r="T59" s="4">
        <f t="shared" si="349"/>
        <v>1</v>
      </c>
      <c r="V59" s="1" t="s">
        <v>25</v>
      </c>
      <c r="W59" s="1" t="str">
        <f t="shared" si="313"/>
        <v>False</v>
      </c>
      <c r="X59" s="1" t="str">
        <f t="shared" si="313"/>
        <v>False</v>
      </c>
      <c r="Y59" s="1" t="str">
        <f t="shared" si="313"/>
        <v>False</v>
      </c>
      <c r="Z59" s="1" t="str">
        <f t="shared" si="313"/>
        <v>True</v>
      </c>
      <c r="AA59" s="1" t="str">
        <f t="shared" si="313"/>
        <v>False</v>
      </c>
      <c r="AB59" s="1" t="s">
        <v>560</v>
      </c>
      <c r="AC59" s="4">
        <f t="shared" ref="AC59:AH59" si="350">IF(ISNUMBER(SEARCH(AC$1,$AB59)), 1, 0)</f>
        <v>1</v>
      </c>
      <c r="AD59" s="4">
        <f t="shared" si="350"/>
        <v>0</v>
      </c>
      <c r="AE59" s="4">
        <f t="shared" si="350"/>
        <v>1</v>
      </c>
      <c r="AF59" s="4">
        <f t="shared" si="350"/>
        <v>0</v>
      </c>
      <c r="AG59" s="4">
        <f t="shared" si="350"/>
        <v>0</v>
      </c>
      <c r="AH59" s="4">
        <f t="shared" si="350"/>
        <v>1</v>
      </c>
      <c r="AI59" s="1">
        <f t="shared" si="5"/>
        <v>3</v>
      </c>
      <c r="AK59" s="1" t="s">
        <v>288</v>
      </c>
      <c r="AL59" s="4">
        <f t="shared" ref="AL59:AS59" si="351">IF(ISNUMBER(SEARCH(AL$1,$AK59)), 1, 0)</f>
        <v>0</v>
      </c>
      <c r="AM59" s="4">
        <f t="shared" si="351"/>
        <v>1</v>
      </c>
      <c r="AN59" s="4">
        <f t="shared" si="351"/>
        <v>0</v>
      </c>
      <c r="AO59" s="4">
        <f t="shared" si="351"/>
        <v>1</v>
      </c>
      <c r="AP59" s="4">
        <f t="shared" si="351"/>
        <v>0</v>
      </c>
      <c r="AQ59" s="4">
        <f t="shared" si="351"/>
        <v>0</v>
      </c>
      <c r="AR59" s="4">
        <f t="shared" si="351"/>
        <v>0</v>
      </c>
      <c r="AS59" s="4">
        <f t="shared" si="351"/>
        <v>0</v>
      </c>
      <c r="AU59" s="1" t="s">
        <v>48</v>
      </c>
      <c r="AV59" s="1">
        <f t="shared" si="7"/>
        <v>0</v>
      </c>
      <c r="AW59" s="1">
        <f t="shared" si="8"/>
        <v>1</v>
      </c>
      <c r="AX59" s="1">
        <f t="shared" si="9"/>
        <v>0</v>
      </c>
      <c r="AY59" s="1" t="s">
        <v>48</v>
      </c>
      <c r="BA59" s="1" t="s">
        <v>231</v>
      </c>
      <c r="BB59" s="4">
        <f t="shared" ref="BB59:BJ59" si="352">IF(ISNUMBER(SEARCH(BB$1,$BA59)), 1, 0)</f>
        <v>1</v>
      </c>
      <c r="BC59" s="4">
        <f t="shared" si="352"/>
        <v>1</v>
      </c>
      <c r="BD59" s="4">
        <f t="shared" si="352"/>
        <v>1</v>
      </c>
      <c r="BE59" s="4">
        <f t="shared" si="352"/>
        <v>1</v>
      </c>
      <c r="BF59" s="4">
        <f t="shared" si="352"/>
        <v>1</v>
      </c>
      <c r="BG59" s="4">
        <f t="shared" si="352"/>
        <v>1</v>
      </c>
      <c r="BH59" s="4">
        <f t="shared" si="352"/>
        <v>0</v>
      </c>
      <c r="BI59" s="4">
        <f t="shared" si="352"/>
        <v>0</v>
      </c>
      <c r="BJ59" s="4">
        <f t="shared" si="352"/>
        <v>1</v>
      </c>
      <c r="BK59" s="4">
        <f t="shared" si="11"/>
        <v>7</v>
      </c>
      <c r="BM59" s="1" t="s">
        <v>166</v>
      </c>
      <c r="BN59" s="1" t="s">
        <v>404</v>
      </c>
      <c r="BO59" s="4">
        <f t="shared" ref="BO59:BU59" si="353">IF(ISNUMBER(SEARCH(BO$1,$BN59)), 1, 0)</f>
        <v>0</v>
      </c>
      <c r="BP59" s="4">
        <f t="shared" si="353"/>
        <v>0</v>
      </c>
      <c r="BQ59" s="4">
        <f t="shared" si="353"/>
        <v>0</v>
      </c>
      <c r="BR59" s="4">
        <f t="shared" si="353"/>
        <v>0</v>
      </c>
      <c r="BS59" s="4">
        <f t="shared" si="353"/>
        <v>0</v>
      </c>
      <c r="BT59" s="4">
        <f t="shared" si="353"/>
        <v>0</v>
      </c>
      <c r="BU59" s="4">
        <f t="shared" si="353"/>
        <v>0</v>
      </c>
      <c r="BV59" s="1" t="s">
        <v>670</v>
      </c>
      <c r="BW59" s="1" t="s">
        <v>212</v>
      </c>
      <c r="CX59" s="1" t="s">
        <v>671</v>
      </c>
      <c r="CY59" s="1" t="s">
        <v>672</v>
      </c>
      <c r="CZ59" s="1" t="s">
        <v>250</v>
      </c>
      <c r="DB59" s="1" t="s">
        <v>673</v>
      </c>
      <c r="DC59" s="1" t="s">
        <v>180</v>
      </c>
    </row>
    <row r="60" spans="1:107" ht="15.75" customHeight="1" x14ac:dyDescent="0.25">
      <c r="A60" s="1" t="b">
        <v>0</v>
      </c>
      <c r="B60" s="3">
        <v>46170.840462962966</v>
      </c>
      <c r="C60" s="1" t="s">
        <v>767</v>
      </c>
      <c r="D60" s="1" t="s">
        <v>5</v>
      </c>
      <c r="E60" s="4">
        <f t="shared" ref="E60:K60" si="354">IF(ISNUMBER(SEARCH(E$1,$D60)), SEARCH(E$1,$D60), 0)</f>
        <v>0</v>
      </c>
      <c r="F60" s="4">
        <f t="shared" si="354"/>
        <v>1</v>
      </c>
      <c r="G60" s="4">
        <f t="shared" si="354"/>
        <v>0</v>
      </c>
      <c r="H60" s="4">
        <f t="shared" si="354"/>
        <v>0</v>
      </c>
      <c r="I60" s="4">
        <f t="shared" si="354"/>
        <v>0</v>
      </c>
      <c r="J60" s="4">
        <f t="shared" si="354"/>
        <v>0</v>
      </c>
      <c r="K60" s="4">
        <f t="shared" si="354"/>
        <v>0</v>
      </c>
      <c r="L60" s="4">
        <f t="shared" si="1"/>
        <v>1</v>
      </c>
      <c r="N60" s="1" t="s">
        <v>739</v>
      </c>
      <c r="O60" s="4">
        <f t="shared" ref="O60:T60" si="355">IF(ISNUMBER(SEARCH(O$1,$N60)), 1, 0)</f>
        <v>0</v>
      </c>
      <c r="P60" s="4">
        <f t="shared" si="355"/>
        <v>0</v>
      </c>
      <c r="Q60" s="4">
        <f t="shared" si="355"/>
        <v>1</v>
      </c>
      <c r="R60" s="4">
        <f t="shared" si="355"/>
        <v>1</v>
      </c>
      <c r="S60" s="4">
        <f t="shared" si="355"/>
        <v>0</v>
      </c>
      <c r="T60" s="4">
        <f t="shared" si="355"/>
        <v>0</v>
      </c>
      <c r="W60" s="1" t="str">
        <f t="shared" si="313"/>
        <v>False</v>
      </c>
      <c r="X60" s="1" t="str">
        <f t="shared" si="313"/>
        <v>False</v>
      </c>
      <c r="Y60" s="1" t="str">
        <f t="shared" si="313"/>
        <v>False</v>
      </c>
      <c r="Z60" s="1" t="str">
        <f t="shared" si="313"/>
        <v>False</v>
      </c>
      <c r="AA60" s="1" t="str">
        <f t="shared" si="313"/>
        <v>False</v>
      </c>
      <c r="AC60" s="4">
        <f t="shared" ref="AC60:AH60" si="356">IF(ISNUMBER(SEARCH(AC$1,$AB60)), 1, 0)</f>
        <v>0</v>
      </c>
      <c r="AD60" s="4">
        <f t="shared" si="356"/>
        <v>0</v>
      </c>
      <c r="AE60" s="4">
        <f t="shared" si="356"/>
        <v>0</v>
      </c>
      <c r="AF60" s="4">
        <f t="shared" si="356"/>
        <v>0</v>
      </c>
      <c r="AG60" s="4">
        <f t="shared" si="356"/>
        <v>0</v>
      </c>
      <c r="AH60" s="4">
        <f t="shared" si="356"/>
        <v>0</v>
      </c>
      <c r="AI60" s="1">
        <f t="shared" si="5"/>
        <v>0</v>
      </c>
      <c r="AL60" s="4">
        <f t="shared" ref="AL60:AS60" si="357">IF(ISNUMBER(SEARCH(AL$1,$AK60)), 1, 0)</f>
        <v>0</v>
      </c>
      <c r="AM60" s="4">
        <f t="shared" si="357"/>
        <v>0</v>
      </c>
      <c r="AN60" s="4">
        <f t="shared" si="357"/>
        <v>0</v>
      </c>
      <c r="AO60" s="4">
        <f t="shared" si="357"/>
        <v>0</v>
      </c>
      <c r="AP60" s="4">
        <f t="shared" si="357"/>
        <v>0</v>
      </c>
      <c r="AQ60" s="4">
        <f t="shared" si="357"/>
        <v>0</v>
      </c>
      <c r="AR60" s="4">
        <f t="shared" si="357"/>
        <v>0</v>
      </c>
      <c r="AS60" s="4">
        <f t="shared" si="357"/>
        <v>0</v>
      </c>
      <c r="AV60" s="1">
        <f t="shared" si="7"/>
        <v>0</v>
      </c>
      <c r="AW60" s="1">
        <f t="shared" si="8"/>
        <v>0</v>
      </c>
      <c r="AX60" s="1">
        <f t="shared" si="9"/>
        <v>0</v>
      </c>
      <c r="BB60" s="4">
        <f t="shared" ref="BB60:BJ60" si="358">IF(ISNUMBER(SEARCH(BB$1,$BA60)), 1, 0)</f>
        <v>0</v>
      </c>
      <c r="BC60" s="4">
        <f t="shared" si="358"/>
        <v>0</v>
      </c>
      <c r="BD60" s="4">
        <f t="shared" si="358"/>
        <v>0</v>
      </c>
      <c r="BE60" s="4">
        <f t="shared" si="358"/>
        <v>0</v>
      </c>
      <c r="BF60" s="4">
        <f t="shared" si="358"/>
        <v>0</v>
      </c>
      <c r="BG60" s="4">
        <f t="shared" si="358"/>
        <v>0</v>
      </c>
      <c r="BH60" s="4">
        <f t="shared" si="358"/>
        <v>0</v>
      </c>
      <c r="BI60" s="4">
        <f t="shared" si="358"/>
        <v>0</v>
      </c>
      <c r="BJ60" s="4">
        <f t="shared" si="358"/>
        <v>0</v>
      </c>
      <c r="BK60" s="4">
        <f t="shared" si="11"/>
        <v>0</v>
      </c>
      <c r="BO60" s="4">
        <f t="shared" ref="BO60:BU60" si="359">IF(ISNUMBER(SEARCH(BO$1,$BN60)), 1, 0)</f>
        <v>0</v>
      </c>
      <c r="BP60" s="4">
        <f t="shared" si="359"/>
        <v>0</v>
      </c>
      <c r="BQ60" s="4">
        <f t="shared" si="359"/>
        <v>0</v>
      </c>
      <c r="BR60" s="4">
        <f t="shared" si="359"/>
        <v>0</v>
      </c>
      <c r="BS60" s="4">
        <f t="shared" si="359"/>
        <v>0</v>
      </c>
      <c r="BT60" s="4">
        <f t="shared" si="359"/>
        <v>0</v>
      </c>
      <c r="BU60" s="4">
        <f t="shared" si="359"/>
        <v>0</v>
      </c>
    </row>
    <row r="61" spans="1:107" ht="15.75" customHeight="1" x14ac:dyDescent="0.25">
      <c r="A61" s="1" t="b">
        <v>1</v>
      </c>
      <c r="B61" s="3">
        <v>46164.596678240741</v>
      </c>
      <c r="C61" s="1" t="s">
        <v>503</v>
      </c>
      <c r="D61" s="1" t="s">
        <v>183</v>
      </c>
      <c r="E61" s="4">
        <f t="shared" ref="E61:K61" si="360">IF(ISNUMBER(SEARCH(E$1,$D61)), SEARCH(E$1,$D61), 0)</f>
        <v>0</v>
      </c>
      <c r="F61" s="4">
        <f t="shared" si="360"/>
        <v>0</v>
      </c>
      <c r="G61" s="4">
        <f t="shared" si="360"/>
        <v>0</v>
      </c>
      <c r="H61" s="4">
        <f t="shared" si="360"/>
        <v>0</v>
      </c>
      <c r="I61" s="4">
        <f t="shared" si="360"/>
        <v>0</v>
      </c>
      <c r="J61" s="4">
        <f t="shared" si="360"/>
        <v>0</v>
      </c>
      <c r="K61" s="4">
        <f t="shared" si="360"/>
        <v>0</v>
      </c>
      <c r="L61" s="4">
        <f t="shared" si="1"/>
        <v>0</v>
      </c>
      <c r="M61" s="1" t="s">
        <v>504</v>
      </c>
      <c r="N61" s="1" t="s">
        <v>505</v>
      </c>
      <c r="O61" s="4">
        <f t="shared" ref="O61:T61" si="361">IF(ISNUMBER(SEARCH(O$1,$N61)), 1, 0)</f>
        <v>1</v>
      </c>
      <c r="P61" s="4">
        <f t="shared" si="361"/>
        <v>1</v>
      </c>
      <c r="Q61" s="4">
        <f t="shared" si="361"/>
        <v>0</v>
      </c>
      <c r="R61" s="4">
        <f t="shared" si="361"/>
        <v>1</v>
      </c>
      <c r="S61" s="4">
        <f t="shared" si="361"/>
        <v>1</v>
      </c>
      <c r="T61" s="4">
        <f t="shared" si="361"/>
        <v>1</v>
      </c>
      <c r="V61" s="1" t="s">
        <v>24</v>
      </c>
      <c r="W61" s="1" t="str">
        <f t="shared" si="313"/>
        <v>False</v>
      </c>
      <c r="X61" s="1" t="str">
        <f t="shared" si="313"/>
        <v>False</v>
      </c>
      <c r="Y61" s="1" t="str">
        <f t="shared" si="313"/>
        <v>True</v>
      </c>
      <c r="Z61" s="1" t="str">
        <f t="shared" si="313"/>
        <v>False</v>
      </c>
      <c r="AA61" s="1" t="str">
        <f t="shared" si="313"/>
        <v>False</v>
      </c>
      <c r="AB61" s="1" t="s">
        <v>487</v>
      </c>
      <c r="AC61" s="4">
        <f t="shared" ref="AC61:AH61" si="362">IF(ISNUMBER(SEARCH(AC$1,$AB61)), 1, 0)</f>
        <v>0</v>
      </c>
      <c r="AD61" s="4">
        <f t="shared" si="362"/>
        <v>0</v>
      </c>
      <c r="AE61" s="4">
        <f t="shared" si="362"/>
        <v>0</v>
      </c>
      <c r="AF61" s="4">
        <f t="shared" si="362"/>
        <v>1</v>
      </c>
      <c r="AG61" s="4">
        <f t="shared" si="362"/>
        <v>0</v>
      </c>
      <c r="AH61" s="4">
        <f t="shared" si="362"/>
        <v>1</v>
      </c>
      <c r="AI61" s="1">
        <f t="shared" si="5"/>
        <v>2</v>
      </c>
      <c r="AK61" s="1" t="s">
        <v>506</v>
      </c>
      <c r="AL61" s="4">
        <f t="shared" ref="AL61:AS61" si="363">IF(ISNUMBER(SEARCH(AL$1,$AK61)), 1, 0)</f>
        <v>1</v>
      </c>
      <c r="AM61" s="4">
        <f t="shared" si="363"/>
        <v>1</v>
      </c>
      <c r="AN61" s="4">
        <f t="shared" si="363"/>
        <v>0</v>
      </c>
      <c r="AO61" s="4">
        <f t="shared" si="363"/>
        <v>0</v>
      </c>
      <c r="AP61" s="4">
        <f t="shared" si="363"/>
        <v>0</v>
      </c>
      <c r="AQ61" s="4">
        <f t="shared" si="363"/>
        <v>0</v>
      </c>
      <c r="AR61" s="4">
        <f t="shared" si="363"/>
        <v>0</v>
      </c>
      <c r="AS61" s="4">
        <f t="shared" si="363"/>
        <v>0</v>
      </c>
      <c r="AU61" s="1" t="s">
        <v>47</v>
      </c>
      <c r="AV61" s="1">
        <f t="shared" si="7"/>
        <v>1</v>
      </c>
      <c r="AW61" s="1">
        <f t="shared" si="8"/>
        <v>0</v>
      </c>
      <c r="AX61" s="1">
        <f t="shared" si="9"/>
        <v>0</v>
      </c>
      <c r="AY61" s="1" t="s">
        <v>48</v>
      </c>
      <c r="BA61" s="1" t="s">
        <v>507</v>
      </c>
      <c r="BB61" s="4">
        <f t="shared" ref="BB61:BJ61" si="364">IF(ISNUMBER(SEARCH(BB$1,$BA61)), 1, 0)</f>
        <v>0</v>
      </c>
      <c r="BC61" s="4">
        <f t="shared" si="364"/>
        <v>0</v>
      </c>
      <c r="BD61" s="4">
        <f t="shared" si="364"/>
        <v>1</v>
      </c>
      <c r="BE61" s="4">
        <f t="shared" si="364"/>
        <v>1</v>
      </c>
      <c r="BF61" s="4">
        <f t="shared" si="364"/>
        <v>1</v>
      </c>
      <c r="BG61" s="4">
        <f t="shared" si="364"/>
        <v>0</v>
      </c>
      <c r="BH61" s="4">
        <f t="shared" si="364"/>
        <v>1</v>
      </c>
      <c r="BI61" s="4">
        <f t="shared" si="364"/>
        <v>1</v>
      </c>
      <c r="BJ61" s="4">
        <f t="shared" si="364"/>
        <v>0</v>
      </c>
      <c r="BK61" s="4">
        <f t="shared" si="11"/>
        <v>5</v>
      </c>
      <c r="BM61" s="1" t="s">
        <v>190</v>
      </c>
      <c r="BN61" s="1" t="s">
        <v>72</v>
      </c>
      <c r="BO61" s="4">
        <f t="shared" ref="BO61:BU61" si="365">IF(ISNUMBER(SEARCH(BO$1,$BN61)), 1, 0)</f>
        <v>0</v>
      </c>
      <c r="BP61" s="4">
        <f t="shared" si="365"/>
        <v>0</v>
      </c>
      <c r="BQ61" s="4">
        <f t="shared" si="365"/>
        <v>0</v>
      </c>
      <c r="BR61" s="4">
        <f t="shared" si="365"/>
        <v>0</v>
      </c>
      <c r="BS61" s="4">
        <f t="shared" si="365"/>
        <v>0</v>
      </c>
      <c r="BT61" s="4">
        <f t="shared" si="365"/>
        <v>0</v>
      </c>
      <c r="BU61" s="4">
        <f t="shared" si="365"/>
        <v>1</v>
      </c>
      <c r="DC61" s="1" t="s">
        <v>238</v>
      </c>
    </row>
    <row r="62" spans="1:107" ht="15.75" customHeight="1" x14ac:dyDescent="0.25">
      <c r="A62" s="1"/>
      <c r="B62" s="1"/>
      <c r="C62" s="1"/>
      <c r="D62" s="1"/>
      <c r="E62" s="1"/>
      <c r="F62" s="1"/>
      <c r="G62" s="1"/>
      <c r="H62" s="1"/>
      <c r="I62" s="1"/>
      <c r="J62" s="1"/>
      <c r="K62" s="1"/>
      <c r="L62" s="1"/>
      <c r="M62" s="1"/>
      <c r="N62" s="1"/>
      <c r="O62" s="4">
        <f>SUM(O$2:O61)</f>
        <v>57</v>
      </c>
      <c r="P62" s="4">
        <f>SUM(P$2:P61)</f>
        <v>50</v>
      </c>
      <c r="Q62" s="4">
        <f>SUM(Q$2:Q61)</f>
        <v>44</v>
      </c>
      <c r="R62" s="4">
        <f>SUM(R$2:R61)</f>
        <v>45</v>
      </c>
      <c r="S62" s="4">
        <f>SUM(S$2:S61)</f>
        <v>20</v>
      </c>
      <c r="T62" s="4">
        <f>SUM(T$2:T61)</f>
        <v>16</v>
      </c>
      <c r="U62" s="1"/>
      <c r="V62" s="1"/>
      <c r="W62" s="1"/>
      <c r="X62" s="1"/>
      <c r="Y62" s="1"/>
      <c r="Z62" s="1"/>
      <c r="AA62" s="1"/>
      <c r="AB62" s="1"/>
      <c r="AC62" s="4">
        <f>SUM(AC$2:AC61)</f>
        <v>37</v>
      </c>
      <c r="AD62" s="4">
        <f>SUM(AD$2:AD61)</f>
        <v>16</v>
      </c>
      <c r="AE62" s="4">
        <f>SUM(AE$2:AE61)</f>
        <v>10</v>
      </c>
      <c r="AF62" s="4">
        <f>SUM(AF$2:AF61)</f>
        <v>20</v>
      </c>
      <c r="AG62" s="4">
        <f>SUM(AG$2:AG61)</f>
        <v>10</v>
      </c>
      <c r="AH62" s="4">
        <f>SUM(AH$2:AH61)</f>
        <v>25</v>
      </c>
      <c r="AI62" s="1"/>
      <c r="AJ62" s="1"/>
      <c r="AK62" s="1"/>
      <c r="AL62" s="4">
        <f>SUM(AL$2:AL61)</f>
        <v>22</v>
      </c>
      <c r="AM62" s="4">
        <f>SUM(AM$2:AM61)</f>
        <v>50</v>
      </c>
      <c r="AN62" s="4">
        <f>SUM(AN$2:AN61)</f>
        <v>20</v>
      </c>
      <c r="AO62" s="4">
        <f>SUM(AO$2:AO61)</f>
        <v>43</v>
      </c>
      <c r="AP62" s="4">
        <f>SUM(AP$2:AP61)</f>
        <v>14</v>
      </c>
      <c r="AQ62" s="4">
        <f>SUM(AQ$2:AQ61)</f>
        <v>33</v>
      </c>
      <c r="AR62" s="4">
        <f>SUM(AR$2:AR61)</f>
        <v>10</v>
      </c>
      <c r="AS62" s="4">
        <f>SUM(AS$2:AS61)</f>
        <v>7</v>
      </c>
      <c r="AT62" s="1"/>
      <c r="AU62" s="1"/>
      <c r="AV62" s="4">
        <f>SUM(AV$2:AV61)</f>
        <v>30</v>
      </c>
      <c r="AW62" s="4">
        <f>SUM(AW$2:AW61)</f>
        <v>22</v>
      </c>
      <c r="AX62" s="4">
        <f>SUM(AX$2:AX61)</f>
        <v>4</v>
      </c>
      <c r="AY62" s="1"/>
      <c r="AZ62" s="1"/>
      <c r="BA62" s="1"/>
      <c r="BB62" s="4">
        <f>SUM(BB$2:BB61)</f>
        <v>30</v>
      </c>
      <c r="BC62" s="4">
        <f>SUM(BC$2:BC61)</f>
        <v>31</v>
      </c>
      <c r="BD62" s="4">
        <f>SUM(BD$2:BD61)</f>
        <v>40</v>
      </c>
      <c r="BE62" s="4">
        <f>SUM(BE$2:BE61)</f>
        <v>33</v>
      </c>
      <c r="BF62" s="4">
        <f>SUM(BF$2:BF61)</f>
        <v>42</v>
      </c>
      <c r="BG62" s="4">
        <f>SUM(BG$2:BG61)</f>
        <v>28</v>
      </c>
      <c r="BH62" s="4">
        <f>SUM(BH$2:BH61)</f>
        <v>13</v>
      </c>
      <c r="BI62" s="4">
        <f>SUM(BI$2:BI61)</f>
        <v>10</v>
      </c>
      <c r="BJ62" s="4">
        <f>SUM(BJ$2:BJ61)</f>
        <v>44</v>
      </c>
      <c r="BK62" s="1"/>
      <c r="BL62" s="1"/>
      <c r="BM62" s="1"/>
      <c r="BN62" s="1"/>
      <c r="BO62" s="4">
        <f>SUM(BO$2:BO61)</f>
        <v>21</v>
      </c>
      <c r="BP62" s="4">
        <f>SUM(BP$2:BP61)</f>
        <v>22</v>
      </c>
      <c r="BQ62" s="4">
        <f>SUM(BQ$2:BQ61)</f>
        <v>13</v>
      </c>
      <c r="BR62" s="4">
        <f>SUM(BR$2:BR61)</f>
        <v>20</v>
      </c>
      <c r="BS62" s="4">
        <f>SUM(BS$2:BS61)</f>
        <v>12</v>
      </c>
      <c r="BT62" s="4">
        <f>SUM(BT$2:BT61)</f>
        <v>18</v>
      </c>
      <c r="BU62" s="4">
        <f>SUM(BU$2:BU61)</f>
        <v>15</v>
      </c>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row>
    <row r="63" spans="1:107" ht="15.75" customHeight="1" x14ac:dyDescent="0.25">
      <c r="A63" s="1"/>
      <c r="B63" s="3"/>
      <c r="C63" s="1"/>
      <c r="D63" s="1"/>
      <c r="N63" s="1"/>
      <c r="O63" s="4">
        <f>(O62/COUNT(O$2:O61))*100</f>
        <v>96.610169491525426</v>
      </c>
      <c r="P63" s="4">
        <f>(P62/COUNT(P$2:P61))*100</f>
        <v>84.745762711864401</v>
      </c>
      <c r="Q63" s="4">
        <f>(Q62/COUNT(Q$2:Q61))*100</f>
        <v>74.576271186440678</v>
      </c>
      <c r="R63" s="4">
        <f>(R62/COUNT(R$2:R61))*100</f>
        <v>76.271186440677965</v>
      </c>
      <c r="S63" s="4">
        <f>(S62/COUNT(S$2:S61))*100</f>
        <v>33.898305084745758</v>
      </c>
      <c r="T63" s="4">
        <f>(T62/COUNT(T$2:T61))*100</f>
        <v>27.118644067796609</v>
      </c>
      <c r="W63" s="1"/>
      <c r="X63" s="1"/>
      <c r="Y63" s="1"/>
      <c r="Z63" s="1"/>
      <c r="AA63" s="1"/>
      <c r="AC63" s="4">
        <f>(AC62/COUNT(AC$2:AC61))*100</f>
        <v>62.711864406779661</v>
      </c>
      <c r="AD63" s="4">
        <f>(AD62/COUNT(AD$2:AD61))*100</f>
        <v>27.118644067796609</v>
      </c>
      <c r="AE63" s="4">
        <f>(AE62/COUNT(AE$2:AE61))*100</f>
        <v>16.949152542372879</v>
      </c>
      <c r="AF63" s="4">
        <f>(AF62/COUNT(AF$2:AF61))*100</f>
        <v>33.898305084745758</v>
      </c>
      <c r="AG63" s="4">
        <f>(AG62/COUNT(AG$2:AG61))*100</f>
        <v>16.949152542372879</v>
      </c>
      <c r="AH63" s="4">
        <f>(AH62/COUNT(AH$2:AH61))*100</f>
        <v>42.372881355932201</v>
      </c>
      <c r="AI63" s="1"/>
      <c r="AL63" s="4">
        <f>(AL62/COUNT(AL$2:AL61))*100</f>
        <v>37.288135593220339</v>
      </c>
      <c r="AM63" s="4">
        <f>(AM62/COUNT(AM$2:AM61))*100</f>
        <v>84.745762711864401</v>
      </c>
      <c r="AN63" s="4">
        <f>(AN62/COUNT(AN$2:AN61))*100</f>
        <v>33.898305084745758</v>
      </c>
      <c r="AO63" s="4">
        <f>(AO62/COUNT(AO$2:AO61))*100</f>
        <v>72.881355932203391</v>
      </c>
      <c r="AP63" s="4">
        <f>(AP62/COUNT(AP$2:AP61))*100</f>
        <v>23.728813559322035</v>
      </c>
      <c r="AQ63" s="4">
        <f>(AQ62/COUNT(AQ$2:AQ61))*100</f>
        <v>55.932203389830505</v>
      </c>
      <c r="AR63" s="4">
        <f>(AR62/COUNT(AR$2:AR61))*100</f>
        <v>16.949152542372879</v>
      </c>
      <c r="AS63" s="4">
        <f>(AS62/COUNT(AS$2:AS61))*100</f>
        <v>11.864406779661017</v>
      </c>
      <c r="AV63" s="4">
        <f>(AV62/COUNT(AV$2:AV61))*100</f>
        <v>50.847457627118644</v>
      </c>
      <c r="AW63" s="4">
        <f>(AW62/COUNT(AW$2:AW61))*100</f>
        <v>37.288135593220339</v>
      </c>
      <c r="AX63" s="4">
        <f>(AX62/COUNT(AX$2:AX61))*100</f>
        <v>6.7796610169491522</v>
      </c>
      <c r="BB63" s="4">
        <f>(BB62/COUNT(BB$2:BB61))*100</f>
        <v>50.847457627118644</v>
      </c>
      <c r="BC63" s="4">
        <f>(BC62/COUNT(BC$2:BC61))*100</f>
        <v>52.542372881355938</v>
      </c>
      <c r="BD63" s="4">
        <f>(BD62/COUNT(BD$2:BD61))*100</f>
        <v>67.796610169491515</v>
      </c>
      <c r="BE63" s="4">
        <f>(BE62/COUNT(BE$2:BE61))*100</f>
        <v>55.932203389830505</v>
      </c>
      <c r="BF63" s="4">
        <f>(BF62/COUNT(BF$2:BF61))*100</f>
        <v>71.186440677966104</v>
      </c>
      <c r="BG63" s="4">
        <f>(BG62/COUNT(BG$2:BG61))*100</f>
        <v>47.457627118644069</v>
      </c>
      <c r="BH63" s="4">
        <f>(BH62/COUNT(BH$2:BH61))*100</f>
        <v>22.033898305084744</v>
      </c>
      <c r="BI63" s="4">
        <f>(BI62/COUNT(BI$2:BI61))*100</f>
        <v>16.949152542372879</v>
      </c>
      <c r="BJ63" s="4">
        <f>(BJ62/COUNT(BJ$2:BJ61))*100</f>
        <v>74.576271186440678</v>
      </c>
      <c r="BO63" s="4">
        <f>(BO62/COUNT(BO$2:BO61))*100</f>
        <v>35.593220338983052</v>
      </c>
      <c r="BP63" s="4">
        <f>(BP62/COUNT(BP$2:BP61))*100</f>
        <v>37.288135593220339</v>
      </c>
      <c r="BQ63" s="4">
        <f>(BQ62/COUNT(BQ$2:BQ61))*100</f>
        <v>22.033898305084744</v>
      </c>
      <c r="BR63" s="4">
        <f>(BR62/COUNT(BR$2:BR61))*100</f>
        <v>33.898305084745758</v>
      </c>
      <c r="BS63" s="4">
        <f>(BS62/COUNT(BS$2:BS61))*100</f>
        <v>20.33898305084746</v>
      </c>
      <c r="BT63" s="4">
        <f>(BT62/COUNT(BT$2:BT61))*100</f>
        <v>30.508474576271187</v>
      </c>
      <c r="BU63" s="4">
        <f>(BU62/COUNT(BU$2:BU61))*100</f>
        <v>25.423728813559322</v>
      </c>
    </row>
    <row r="64" spans="1:107" ht="15.75" customHeight="1" x14ac:dyDescent="0.25">
      <c r="A64" s="1"/>
      <c r="B64" s="3"/>
      <c r="C64" s="1"/>
      <c r="D64" s="1"/>
      <c r="N64" s="1"/>
      <c r="W64" s="1"/>
      <c r="X64" s="1"/>
      <c r="Y64" s="1"/>
      <c r="Z64" s="1"/>
      <c r="AA64" s="1"/>
      <c r="AI64" s="1"/>
      <c r="AV64" s="1"/>
      <c r="AW64" s="1"/>
      <c r="AX64" s="1"/>
    </row>
    <row r="65" spans="1:107" ht="15.75" customHeight="1" x14ac:dyDescent="0.25">
      <c r="A65" s="1"/>
      <c r="B65" s="3"/>
      <c r="C65" s="1"/>
      <c r="D65" s="1"/>
      <c r="N65" s="1"/>
      <c r="V65" s="1"/>
      <c r="W65" s="1"/>
      <c r="X65" s="1"/>
      <c r="Y65" s="1"/>
      <c r="Z65" s="1"/>
      <c r="AA65" s="1"/>
      <c r="AB65" s="1"/>
      <c r="AI65" s="1"/>
      <c r="AK65" s="1"/>
      <c r="AU65" s="1"/>
      <c r="AV65" s="1"/>
      <c r="AW65" s="1"/>
      <c r="AX65" s="1"/>
      <c r="AY65" s="1"/>
      <c r="BA65" s="1"/>
      <c r="BM65" s="1"/>
      <c r="BN65" s="1"/>
      <c r="BW65" s="1"/>
      <c r="CB65" s="1"/>
      <c r="CF65" s="1"/>
      <c r="CG65" s="1"/>
      <c r="CU65" s="1"/>
    </row>
    <row r="66" spans="1:107" ht="15.75" customHeight="1" x14ac:dyDescent="0.25">
      <c r="A66" s="1"/>
      <c r="B66" s="3"/>
      <c r="C66" s="1"/>
      <c r="D66" s="1"/>
      <c r="N66" s="1"/>
      <c r="W66" s="1"/>
      <c r="X66" s="1"/>
      <c r="Y66" s="1"/>
      <c r="Z66" s="1"/>
      <c r="AA66" s="1"/>
      <c r="AB66" s="1"/>
      <c r="AI66" s="1"/>
      <c r="AK66" s="1"/>
      <c r="AU66" s="1"/>
      <c r="AV66" s="1"/>
      <c r="AW66" s="1"/>
      <c r="AX66" s="1"/>
      <c r="AY66" s="1"/>
      <c r="BA66" s="1"/>
      <c r="BM66" s="1"/>
      <c r="BN66" s="1"/>
    </row>
    <row r="67" spans="1:107" ht="15.75" customHeight="1" x14ac:dyDescent="0.25">
      <c r="A67" s="1"/>
      <c r="B67" s="3"/>
      <c r="C67" s="1"/>
      <c r="D67" s="1"/>
      <c r="N67" s="1"/>
      <c r="V67" s="1"/>
      <c r="W67" s="1"/>
      <c r="X67" s="1"/>
      <c r="Y67" s="1"/>
      <c r="Z67" s="1"/>
      <c r="AA67" s="1"/>
      <c r="AI67" s="1"/>
      <c r="AK67" s="1"/>
      <c r="AU67" s="1"/>
      <c r="AV67" s="1"/>
      <c r="AW67" s="1"/>
      <c r="AX67" s="1"/>
      <c r="AY67" s="1"/>
      <c r="BA67" s="1"/>
      <c r="BM67" s="1"/>
      <c r="BN67" s="1"/>
      <c r="BV67" s="1"/>
      <c r="DC67" s="1"/>
    </row>
    <row r="68" spans="1:107" ht="15.75" customHeight="1" x14ac:dyDescent="0.25">
      <c r="A68" s="1"/>
      <c r="B68" s="3"/>
      <c r="C68" s="1"/>
      <c r="D68" s="1"/>
      <c r="N68" s="1"/>
      <c r="V68" s="1"/>
      <c r="W68" s="1"/>
      <c r="X68" s="1"/>
      <c r="Y68" s="1"/>
      <c r="Z68" s="1"/>
      <c r="AA68" s="1"/>
      <c r="AB68" s="1"/>
      <c r="AI68" s="1"/>
      <c r="AJ68" s="1"/>
      <c r="AK68" s="1"/>
      <c r="AU68" s="1"/>
      <c r="AV68" s="1"/>
      <c r="AW68" s="1"/>
      <c r="AX68" s="1"/>
      <c r="AY68" s="1"/>
      <c r="BA68" s="1"/>
      <c r="BM68" s="1"/>
      <c r="BN68" s="1"/>
      <c r="DC68" s="1"/>
    </row>
    <row r="69" spans="1:107" ht="15.75" customHeight="1" x14ac:dyDescent="0.25">
      <c r="A69" s="1"/>
      <c r="B69" s="3"/>
      <c r="C69" s="1"/>
      <c r="D69" s="1"/>
      <c r="N69" s="1"/>
      <c r="V69" s="1"/>
      <c r="W69" s="1"/>
      <c r="X69" s="1"/>
      <c r="Y69" s="1"/>
      <c r="Z69" s="1"/>
      <c r="AA69" s="1"/>
      <c r="AB69" s="1"/>
      <c r="AI69" s="1"/>
      <c r="AK69" s="1"/>
      <c r="AU69" s="1"/>
      <c r="AV69" s="1"/>
      <c r="AW69" s="1"/>
      <c r="AX69" s="1"/>
      <c r="AY69" s="1"/>
      <c r="BA69" s="1"/>
      <c r="BM69" s="1"/>
      <c r="BN69" s="1"/>
      <c r="BW69" s="1"/>
      <c r="BZ69" s="1"/>
      <c r="DC69" s="1"/>
    </row>
    <row r="70" spans="1:107" ht="15.75" customHeight="1" x14ac:dyDescent="0.25">
      <c r="A70" s="1"/>
      <c r="B70" s="3"/>
      <c r="C70" s="1"/>
      <c r="D70" s="1"/>
      <c r="N70" s="1"/>
      <c r="V70" s="1"/>
      <c r="W70" s="1"/>
      <c r="X70" s="1"/>
      <c r="Y70" s="1"/>
      <c r="Z70" s="1"/>
      <c r="AA70" s="1"/>
      <c r="AB70" s="1"/>
      <c r="AI70" s="1"/>
      <c r="AK70" s="1"/>
      <c r="AU70" s="1"/>
      <c r="AV70" s="1"/>
      <c r="AW70" s="1"/>
      <c r="AX70" s="1"/>
      <c r="AY70" s="1"/>
      <c r="BA70" s="1"/>
      <c r="BM70" s="1"/>
      <c r="BN70" s="1"/>
      <c r="DC70" s="1"/>
    </row>
    <row r="71" spans="1:107" ht="15.75" customHeight="1" x14ac:dyDescent="0.25">
      <c r="A71" s="1"/>
      <c r="B71" s="3"/>
      <c r="C71" s="1"/>
      <c r="D71" s="1"/>
      <c r="N71" s="1"/>
      <c r="V71" s="1"/>
      <c r="W71" s="1"/>
      <c r="X71" s="1"/>
      <c r="Y71" s="1"/>
      <c r="Z71" s="1"/>
      <c r="AA71" s="1"/>
      <c r="AB71" s="1"/>
      <c r="AI71" s="1"/>
      <c r="AK71" s="1"/>
      <c r="AU71" s="1"/>
      <c r="AV71" s="1"/>
      <c r="AW71" s="1"/>
      <c r="AX71" s="1"/>
      <c r="AY71" s="1"/>
      <c r="BA71" s="1"/>
      <c r="BM71" s="1"/>
      <c r="BN71" s="1"/>
      <c r="BV71" s="1"/>
      <c r="DC71" s="1"/>
    </row>
    <row r="72" spans="1:107" ht="15.75" customHeight="1" x14ac:dyDescent="0.25">
      <c r="A72" s="1"/>
      <c r="B72" s="3"/>
      <c r="C72" s="1"/>
      <c r="D72" s="1"/>
      <c r="N72" s="1"/>
      <c r="V72" s="1"/>
      <c r="W72" s="1"/>
      <c r="X72" s="1"/>
      <c r="Y72" s="1"/>
      <c r="Z72" s="1"/>
      <c r="AA72" s="1"/>
      <c r="AB72" s="1"/>
      <c r="AI72" s="1"/>
      <c r="AJ72" s="1"/>
      <c r="AK72" s="1"/>
      <c r="AU72" s="1"/>
      <c r="AV72" s="1"/>
      <c r="AW72" s="1"/>
      <c r="AX72" s="1"/>
      <c r="AY72" s="1"/>
      <c r="AZ72" s="1"/>
      <c r="BA72" s="1"/>
      <c r="BW72" s="1"/>
      <c r="BY72" s="1"/>
      <c r="BZ72" s="1"/>
      <c r="CB72" s="1"/>
      <c r="CF72" s="1"/>
      <c r="CG72" s="1"/>
      <c r="DC72" s="1"/>
    </row>
    <row r="73" spans="1:107" ht="15.75" customHeight="1" x14ac:dyDescent="0.25">
      <c r="A73" s="1"/>
      <c r="B73" s="3"/>
      <c r="C73" s="1"/>
      <c r="D73" s="1"/>
      <c r="N73" s="1"/>
      <c r="U73" s="1"/>
      <c r="W73" s="1"/>
      <c r="X73" s="1"/>
      <c r="Y73" s="1"/>
      <c r="Z73" s="1"/>
      <c r="AA73" s="1"/>
      <c r="AB73" s="1"/>
      <c r="AI73" s="1"/>
      <c r="AJ73" s="1"/>
      <c r="AK73" s="1"/>
      <c r="AU73" s="1"/>
      <c r="AV73" s="1"/>
      <c r="AW73" s="1"/>
      <c r="AX73" s="1"/>
      <c r="AY73" s="1"/>
      <c r="BA73" s="1"/>
      <c r="BM73" s="1"/>
      <c r="BN73" s="1"/>
      <c r="BV73" s="1"/>
      <c r="BW73" s="1"/>
      <c r="BY73" s="1"/>
      <c r="BZ73" s="1"/>
      <c r="CA73" s="1"/>
      <c r="CH73" s="1"/>
      <c r="CI73" s="1"/>
      <c r="CJ73" s="1"/>
      <c r="CK73" s="1"/>
      <c r="CL73" s="1"/>
      <c r="CR73" s="1"/>
      <c r="CT73" s="1"/>
      <c r="DC73" s="1"/>
    </row>
    <row r="74" spans="1:107" ht="15.75" customHeight="1" x14ac:dyDescent="0.25">
      <c r="A74" s="1"/>
      <c r="B74" s="3"/>
      <c r="C74" s="1"/>
      <c r="D74" s="1"/>
      <c r="N74" s="1"/>
      <c r="V74" s="1"/>
      <c r="W74" s="1"/>
      <c r="X74" s="1"/>
      <c r="Y74" s="1"/>
      <c r="Z74" s="1"/>
      <c r="AA74" s="1"/>
      <c r="AB74" s="1"/>
      <c r="AI74" s="1"/>
      <c r="AK74" s="1"/>
      <c r="AU74" s="1"/>
      <c r="AV74" s="1"/>
      <c r="AW74" s="1"/>
      <c r="AX74" s="1"/>
      <c r="AY74" s="1"/>
      <c r="AZ74" s="1"/>
      <c r="BA74" s="1"/>
    </row>
    <row r="75" spans="1:107" ht="15.75" customHeight="1" x14ac:dyDescent="0.25">
      <c r="A75" s="1"/>
      <c r="B75" s="3"/>
      <c r="C75" s="1"/>
      <c r="D75" s="1"/>
      <c r="N75" s="1"/>
      <c r="V75" s="1"/>
      <c r="W75" s="1"/>
      <c r="X75" s="1"/>
      <c r="Y75" s="1"/>
      <c r="Z75" s="1"/>
      <c r="AA75" s="1"/>
      <c r="AB75" s="1"/>
      <c r="AI75" s="1"/>
      <c r="AK75" s="1"/>
      <c r="AU75" s="1"/>
      <c r="AV75" s="1"/>
      <c r="AW75" s="1"/>
      <c r="AX75" s="1"/>
      <c r="AY75" s="1"/>
      <c r="BA75" s="1"/>
      <c r="DC75" s="1"/>
    </row>
    <row r="76" spans="1:107" ht="15.75" customHeight="1" x14ac:dyDescent="0.25">
      <c r="A76" s="1"/>
      <c r="B76" s="3"/>
      <c r="C76" s="1"/>
      <c r="D76" s="1"/>
      <c r="N76" s="1"/>
      <c r="V76" s="1"/>
      <c r="W76" s="1"/>
      <c r="X76" s="1"/>
      <c r="Y76" s="1"/>
      <c r="Z76" s="1"/>
      <c r="AA76" s="1"/>
      <c r="AB76" s="1"/>
      <c r="AI76" s="1"/>
      <c r="AK76" s="1"/>
      <c r="AU76" s="1"/>
      <c r="AV76" s="1"/>
      <c r="AW76" s="1"/>
      <c r="AX76" s="1"/>
      <c r="AY76" s="1"/>
      <c r="AZ76" s="1"/>
      <c r="BA76" s="1"/>
      <c r="BW76" s="1"/>
      <c r="DC76" s="1"/>
    </row>
    <row r="77" spans="1:107" ht="15.75" customHeight="1" x14ac:dyDescent="0.25">
      <c r="A77" s="1"/>
      <c r="B77" s="3"/>
      <c r="C77" s="1"/>
      <c r="D77" s="1"/>
      <c r="N77" s="1"/>
      <c r="V77" s="1"/>
      <c r="W77" s="1"/>
      <c r="X77" s="1"/>
      <c r="Y77" s="1"/>
      <c r="Z77" s="1"/>
      <c r="AA77" s="1"/>
      <c r="AB77" s="1"/>
      <c r="AI77" s="1"/>
      <c r="AK77" s="1"/>
      <c r="AU77" s="1"/>
      <c r="AV77" s="1"/>
      <c r="AW77" s="1"/>
      <c r="AX77" s="1"/>
      <c r="AY77" s="1"/>
      <c r="BA77" s="1"/>
      <c r="BM77" s="1"/>
      <c r="BN77" s="1"/>
      <c r="DC77" s="1"/>
    </row>
    <row r="78" spans="1:107" ht="15.75" customHeight="1" x14ac:dyDescent="0.25">
      <c r="A78" s="1"/>
      <c r="B78" s="3"/>
      <c r="C78" s="1"/>
      <c r="D78" s="1"/>
      <c r="N78" s="1"/>
      <c r="V78" s="1"/>
      <c r="W78" s="1"/>
      <c r="X78" s="1"/>
      <c r="Y78" s="1"/>
      <c r="Z78" s="1"/>
      <c r="AA78" s="1"/>
      <c r="AB78" s="1"/>
      <c r="AI78" s="1"/>
      <c r="AJ78" s="1"/>
      <c r="AK78" s="1"/>
      <c r="AU78" s="1"/>
      <c r="AV78" s="1"/>
      <c r="AW78" s="1"/>
      <c r="AX78" s="1"/>
      <c r="AY78" s="1"/>
      <c r="AZ78" s="1"/>
      <c r="BA78" s="1"/>
      <c r="BW78" s="1"/>
      <c r="BZ78" s="1"/>
      <c r="DC78" s="1"/>
    </row>
    <row r="79" spans="1:107" ht="15.75" customHeight="1" x14ac:dyDescent="0.25">
      <c r="A79" s="1"/>
      <c r="B79" s="3"/>
      <c r="C79" s="1"/>
      <c r="D79" s="1"/>
      <c r="N79" s="1"/>
      <c r="V79" s="1"/>
      <c r="W79" s="1"/>
      <c r="X79" s="1"/>
      <c r="Y79" s="1"/>
      <c r="Z79" s="1"/>
      <c r="AA79" s="1"/>
      <c r="AB79" s="1"/>
      <c r="AI79" s="1"/>
      <c r="AJ79" s="1"/>
      <c r="AK79" s="1"/>
      <c r="AU79" s="1"/>
      <c r="AV79" s="1"/>
      <c r="AW79" s="1"/>
      <c r="AX79" s="1"/>
      <c r="AY79" s="1"/>
      <c r="BA79" s="1"/>
      <c r="BM79" s="1"/>
      <c r="BN79" s="1"/>
      <c r="BW79" s="1"/>
      <c r="BZ79" s="1"/>
      <c r="DC79" s="1"/>
    </row>
    <row r="80" spans="1:107" ht="15.75" customHeight="1" x14ac:dyDescent="0.25">
      <c r="A80" s="1"/>
      <c r="B80" s="3"/>
      <c r="C80" s="1"/>
      <c r="D80" s="1"/>
      <c r="N80" s="1"/>
      <c r="W80" s="1"/>
      <c r="X80" s="1"/>
      <c r="Y80" s="1"/>
      <c r="Z80" s="1"/>
      <c r="AA80" s="1"/>
      <c r="AB80" s="1"/>
      <c r="AI80" s="1"/>
      <c r="AK80" s="1"/>
      <c r="AU80" s="1"/>
      <c r="AV80" s="1"/>
      <c r="AW80" s="1"/>
      <c r="AX80" s="1"/>
      <c r="AY80" s="1"/>
      <c r="BA80" s="1"/>
      <c r="BM80" s="1"/>
      <c r="BN80" s="1"/>
      <c r="DC80" s="1"/>
    </row>
    <row r="81" spans="1:107" ht="15.75" customHeight="1" x14ac:dyDescent="0.25">
      <c r="A81" s="1"/>
      <c r="B81" s="3"/>
      <c r="C81" s="1"/>
      <c r="D81" s="1"/>
      <c r="N81" s="1"/>
      <c r="V81" s="1"/>
      <c r="W81" s="1"/>
      <c r="X81" s="1"/>
      <c r="Y81" s="1"/>
      <c r="Z81" s="1"/>
      <c r="AA81" s="1"/>
      <c r="AB81" s="1"/>
      <c r="AI81" s="1"/>
      <c r="AJ81" s="1"/>
      <c r="AK81" s="1"/>
      <c r="AU81" s="1"/>
      <c r="AV81" s="1"/>
      <c r="AW81" s="1"/>
      <c r="AX81" s="1"/>
      <c r="AY81" s="1"/>
      <c r="BA81" s="1"/>
      <c r="BM81" s="1"/>
      <c r="BN81" s="1"/>
      <c r="BW81" s="1"/>
      <c r="BZ81" s="1"/>
      <c r="DC81" s="1"/>
    </row>
    <row r="82" spans="1:107" ht="15.75" customHeight="1" x14ac:dyDescent="0.25">
      <c r="A82" s="1"/>
      <c r="B82" s="3"/>
      <c r="C82" s="1"/>
      <c r="D82" s="1"/>
      <c r="N82" s="1"/>
      <c r="V82" s="1"/>
      <c r="W82" s="1"/>
      <c r="X82" s="1"/>
      <c r="Y82" s="1"/>
      <c r="Z82" s="1"/>
      <c r="AA82" s="1"/>
      <c r="AB82" s="1"/>
      <c r="AI82" s="1"/>
      <c r="AJ82" s="1"/>
      <c r="AK82" s="1"/>
      <c r="AU82" s="1"/>
      <c r="AV82" s="1"/>
      <c r="AW82" s="1"/>
      <c r="AX82" s="1"/>
      <c r="AY82" s="1"/>
      <c r="BA82" s="1"/>
      <c r="DC82" s="1"/>
    </row>
    <row r="83" spans="1:107" ht="15.75" customHeight="1" x14ac:dyDescent="0.25">
      <c r="A83" s="1"/>
      <c r="B83" s="3"/>
      <c r="C83" s="1"/>
      <c r="D83" s="1"/>
      <c r="N83" s="1"/>
      <c r="V83" s="1"/>
      <c r="W83" s="1"/>
      <c r="X83" s="1"/>
      <c r="Y83" s="1"/>
      <c r="Z83" s="1"/>
      <c r="AA83" s="1"/>
      <c r="AB83" s="1"/>
      <c r="AI83" s="1"/>
      <c r="AJ83" s="1"/>
      <c r="AK83" s="1"/>
      <c r="AU83" s="1"/>
      <c r="AV83" s="1"/>
      <c r="AW83" s="1"/>
      <c r="AX83" s="1"/>
      <c r="AY83" s="1"/>
      <c r="BA83" s="1"/>
      <c r="BM83" s="1"/>
      <c r="BN83" s="1"/>
      <c r="DC83" s="1"/>
    </row>
    <row r="84" spans="1:107" ht="15.75" customHeight="1" x14ac:dyDescent="0.25">
      <c r="A84" s="1"/>
      <c r="B84" s="3"/>
      <c r="C84" s="1"/>
      <c r="D84" s="1"/>
      <c r="N84" s="1"/>
      <c r="W84" s="1"/>
      <c r="X84" s="1"/>
      <c r="Y84" s="1"/>
      <c r="Z84" s="1"/>
      <c r="AA84" s="1"/>
      <c r="AB84" s="1"/>
      <c r="AI84" s="1"/>
      <c r="AJ84" s="1"/>
      <c r="AK84" s="1"/>
      <c r="AU84" s="1"/>
      <c r="AV84" s="1"/>
      <c r="AW84" s="1"/>
      <c r="AX84" s="1"/>
      <c r="AY84" s="1"/>
      <c r="BA84" s="1"/>
      <c r="BM84" s="1"/>
      <c r="BN84" s="1"/>
      <c r="BW84" s="1"/>
      <c r="BY84" s="1"/>
      <c r="BZ84" s="1"/>
      <c r="DC84" s="1"/>
    </row>
    <row r="85" spans="1:107" ht="15.75" customHeight="1" x14ac:dyDescent="0.25">
      <c r="A85" s="1"/>
      <c r="B85" s="3"/>
      <c r="C85" s="1"/>
      <c r="D85" s="1"/>
      <c r="N85" s="1"/>
      <c r="W85" s="1"/>
      <c r="X85" s="1"/>
      <c r="Y85" s="1"/>
      <c r="Z85" s="1"/>
      <c r="AA85" s="1"/>
      <c r="AB85" s="1"/>
      <c r="AI85" s="1"/>
      <c r="AK85" s="1"/>
      <c r="AU85" s="1"/>
      <c r="AV85" s="1"/>
      <c r="AW85" s="1"/>
      <c r="AX85" s="1"/>
      <c r="AY85" s="1"/>
      <c r="BA85" s="1"/>
      <c r="BM85" s="1"/>
      <c r="BN85" s="1"/>
      <c r="DC85" s="1"/>
    </row>
    <row r="86" spans="1:107" ht="15.75" customHeight="1" x14ac:dyDescent="0.25">
      <c r="A86" s="1"/>
      <c r="B86" s="3"/>
      <c r="C86" s="1"/>
      <c r="D86" s="1"/>
      <c r="N86" s="1"/>
      <c r="W86" s="1"/>
      <c r="X86" s="1"/>
      <c r="Y86" s="1"/>
      <c r="Z86" s="1"/>
      <c r="AA86" s="1"/>
      <c r="AB86" s="1"/>
      <c r="AI86" s="1"/>
      <c r="AK86" s="1"/>
      <c r="AU86" s="1"/>
      <c r="AV86" s="1"/>
      <c r="AW86" s="1"/>
      <c r="AX86" s="1"/>
      <c r="AY86" s="1"/>
      <c r="BA86" s="1"/>
      <c r="BM86" s="1"/>
      <c r="BN86" s="1"/>
      <c r="DC86" s="1"/>
    </row>
    <row r="87" spans="1:107" ht="15.75" customHeight="1" x14ac:dyDescent="0.25">
      <c r="A87" s="1"/>
      <c r="B87" s="3"/>
      <c r="C87" s="1"/>
      <c r="D87" s="1"/>
      <c r="N87" s="1"/>
      <c r="W87" s="1"/>
      <c r="X87" s="1"/>
      <c r="Y87" s="1"/>
      <c r="Z87" s="1"/>
      <c r="AA87" s="1"/>
      <c r="AB87" s="1"/>
      <c r="AI87" s="1"/>
      <c r="AK87" s="1"/>
      <c r="AU87" s="1"/>
      <c r="AV87" s="1"/>
      <c r="AW87" s="1"/>
      <c r="AX87" s="1"/>
      <c r="AY87" s="1"/>
      <c r="BA87" s="1"/>
      <c r="BM87" s="1"/>
      <c r="BN87" s="1"/>
      <c r="DC87" s="1"/>
    </row>
    <row r="88" spans="1:107" ht="15.75" customHeight="1" x14ac:dyDescent="0.25">
      <c r="A88" s="1"/>
      <c r="B88" s="3"/>
      <c r="C88" s="1"/>
      <c r="D88" s="1"/>
      <c r="N88" s="1"/>
      <c r="V88" s="1"/>
      <c r="W88" s="1"/>
      <c r="X88" s="1"/>
      <c r="Y88" s="1"/>
      <c r="Z88" s="1"/>
      <c r="AA88" s="1"/>
      <c r="AB88" s="1"/>
      <c r="AI88" s="1"/>
      <c r="AK88" s="1"/>
      <c r="AU88" s="1"/>
      <c r="AV88" s="1"/>
      <c r="AW88" s="1"/>
      <c r="AX88" s="1"/>
      <c r="AY88" s="1"/>
      <c r="AZ88" s="1"/>
      <c r="DC88" s="1"/>
    </row>
    <row r="89" spans="1:107" ht="15.75" customHeight="1" x14ac:dyDescent="0.25">
      <c r="A89" s="1"/>
      <c r="B89" s="3"/>
      <c r="C89" s="1"/>
      <c r="D89" s="1"/>
      <c r="N89" s="1"/>
      <c r="V89" s="1"/>
      <c r="W89" s="1"/>
      <c r="X89" s="1"/>
      <c r="Y89" s="1"/>
      <c r="Z89" s="1"/>
      <c r="AA89" s="1"/>
      <c r="AB89" s="1"/>
      <c r="AI89" s="1"/>
      <c r="AK89" s="1"/>
      <c r="AU89" s="1"/>
      <c r="AV89" s="1"/>
      <c r="AW89" s="1"/>
      <c r="AX89" s="1"/>
      <c r="AY89" s="1"/>
      <c r="BA89" s="1"/>
      <c r="BM89" s="1"/>
      <c r="BN89" s="1"/>
      <c r="DC89" s="1"/>
    </row>
    <row r="90" spans="1:107" ht="15.75" customHeight="1" x14ac:dyDescent="0.25">
      <c r="A90" s="1"/>
      <c r="B90" s="3"/>
      <c r="C90" s="1"/>
      <c r="D90" s="1"/>
      <c r="N90" s="1"/>
      <c r="V90" s="1"/>
      <c r="W90" s="1"/>
      <c r="X90" s="1"/>
      <c r="Y90" s="1"/>
      <c r="Z90" s="1"/>
      <c r="AA90" s="1"/>
      <c r="AB90" s="1"/>
      <c r="AI90" s="1"/>
      <c r="AK90" s="1"/>
      <c r="AU90" s="1"/>
      <c r="AV90" s="1"/>
      <c r="AW90" s="1"/>
      <c r="AX90" s="1"/>
      <c r="AY90" s="1"/>
      <c r="BA90" s="1"/>
      <c r="BM90" s="1"/>
      <c r="BN90" s="1"/>
      <c r="DC90" s="1"/>
    </row>
    <row r="91" spans="1:107" ht="15.75" customHeight="1" x14ac:dyDescent="0.25">
      <c r="A91" s="1"/>
      <c r="B91" s="3"/>
      <c r="C91" s="1"/>
      <c r="D91" s="1"/>
      <c r="N91" s="1"/>
      <c r="W91" s="1"/>
      <c r="X91" s="1"/>
      <c r="Y91" s="1"/>
      <c r="Z91" s="1"/>
      <c r="AA91" s="1"/>
      <c r="AB91" s="1"/>
      <c r="AI91" s="1"/>
      <c r="AK91" s="1"/>
      <c r="AU91" s="1"/>
      <c r="AV91" s="1"/>
      <c r="AW91" s="1"/>
      <c r="AX91" s="1"/>
      <c r="AY91" s="1"/>
      <c r="BA91" s="1"/>
      <c r="BM91" s="1"/>
      <c r="BN91" s="1"/>
      <c r="DC91" s="1"/>
    </row>
    <row r="92" spans="1:107" ht="15.75" customHeight="1" x14ac:dyDescent="0.25">
      <c r="A92" s="1"/>
      <c r="B92" s="3"/>
      <c r="C92" s="1"/>
      <c r="D92" s="1"/>
      <c r="N92" s="1"/>
      <c r="W92" s="1"/>
      <c r="X92" s="1"/>
      <c r="Y92" s="1"/>
      <c r="Z92" s="1"/>
      <c r="AA92" s="1"/>
      <c r="AB92" s="1"/>
      <c r="AI92" s="1"/>
      <c r="AK92" s="1"/>
      <c r="AU92" s="1"/>
      <c r="AV92" s="1"/>
      <c r="AW92" s="1"/>
      <c r="AX92" s="1"/>
      <c r="AY92" s="1"/>
      <c r="BA92" s="1"/>
      <c r="BM92" s="1"/>
      <c r="BN92" s="1"/>
      <c r="DC92" s="1"/>
    </row>
    <row r="93" spans="1:107" ht="15.75" customHeight="1" x14ac:dyDescent="0.25">
      <c r="A93" s="1"/>
      <c r="B93" s="3"/>
      <c r="C93" s="1"/>
      <c r="D93" s="1"/>
      <c r="N93" s="1"/>
      <c r="V93" s="1"/>
      <c r="W93" s="1"/>
      <c r="X93" s="1"/>
      <c r="Y93" s="1"/>
      <c r="Z93" s="1"/>
      <c r="AA93" s="1"/>
      <c r="AB93" s="1"/>
      <c r="AI93" s="1"/>
      <c r="AK93" s="1"/>
      <c r="AU93" s="1"/>
      <c r="AV93" s="1"/>
      <c r="AW93" s="1"/>
      <c r="AX93" s="1"/>
      <c r="AY93" s="1"/>
      <c r="BA93" s="1"/>
      <c r="BM93" s="1"/>
      <c r="BN93" s="1"/>
      <c r="DC93" s="1"/>
    </row>
    <row r="94" spans="1:107" ht="15.75" customHeight="1" x14ac:dyDescent="0.25">
      <c r="A94" s="1"/>
      <c r="B94" s="3"/>
      <c r="C94" s="1"/>
      <c r="D94" s="1"/>
      <c r="N94" s="1"/>
      <c r="V94" s="1"/>
      <c r="W94" s="1"/>
      <c r="X94" s="1"/>
      <c r="Y94" s="1"/>
      <c r="Z94" s="1"/>
      <c r="AA94" s="1"/>
      <c r="AB94" s="1"/>
      <c r="AI94" s="1"/>
      <c r="AK94" s="1"/>
      <c r="AU94" s="1"/>
      <c r="AV94" s="1"/>
      <c r="AW94" s="1"/>
      <c r="AX94" s="1"/>
      <c r="AY94" s="1"/>
      <c r="BA94" s="1"/>
      <c r="BM94" s="1"/>
      <c r="BN94" s="1"/>
      <c r="DC94" s="1"/>
    </row>
    <row r="95" spans="1:107" ht="15.75" customHeight="1" x14ac:dyDescent="0.25">
      <c r="A95" s="1"/>
      <c r="B95" s="3"/>
      <c r="C95" s="1"/>
      <c r="D95" s="1"/>
      <c r="N95" s="1"/>
      <c r="W95" s="1"/>
      <c r="X95" s="1"/>
      <c r="Y95" s="1"/>
      <c r="Z95" s="1"/>
      <c r="AA95" s="1"/>
      <c r="AB95" s="1"/>
      <c r="AI95" s="1"/>
      <c r="AK95" s="1"/>
      <c r="AU95" s="1"/>
      <c r="AV95" s="1"/>
      <c r="AW95" s="1"/>
      <c r="AX95" s="1"/>
      <c r="AY95" s="1"/>
      <c r="BA95" s="1"/>
      <c r="BM95" s="1"/>
      <c r="BN95" s="1"/>
      <c r="DC95" s="1"/>
    </row>
    <row r="96" spans="1:107" ht="15.75" customHeight="1" x14ac:dyDescent="0.25">
      <c r="A96" s="1"/>
      <c r="B96" s="3"/>
      <c r="C96" s="1"/>
      <c r="D96" s="1"/>
      <c r="N96" s="1"/>
      <c r="V96" s="1"/>
      <c r="W96" s="1"/>
      <c r="X96" s="1"/>
      <c r="Y96" s="1"/>
      <c r="Z96" s="1"/>
      <c r="AA96" s="1"/>
      <c r="AB96" s="1"/>
      <c r="AI96" s="1"/>
      <c r="AK96" s="1"/>
      <c r="AU96" s="1"/>
      <c r="AV96" s="1"/>
      <c r="AW96" s="1"/>
      <c r="AX96" s="1"/>
      <c r="AY96" s="1"/>
      <c r="BA96" s="1"/>
      <c r="BM96" s="1"/>
      <c r="BN96" s="1"/>
      <c r="BW96" s="1"/>
      <c r="DC96" s="1"/>
    </row>
    <row r="97" spans="1:107" ht="15.75" customHeight="1" x14ac:dyDescent="0.25">
      <c r="A97" s="1"/>
      <c r="B97" s="3"/>
      <c r="C97" s="1"/>
      <c r="D97" s="1"/>
      <c r="N97" s="1"/>
      <c r="V97" s="1"/>
      <c r="W97" s="1"/>
      <c r="X97" s="1"/>
      <c r="Y97" s="1"/>
      <c r="Z97" s="1"/>
      <c r="AA97" s="1"/>
      <c r="AB97" s="1"/>
      <c r="AI97" s="1"/>
      <c r="AK97" s="1"/>
      <c r="AU97" s="1"/>
      <c r="AV97" s="1"/>
      <c r="AW97" s="1"/>
      <c r="AX97" s="1"/>
      <c r="AY97" s="1"/>
      <c r="BA97" s="1"/>
      <c r="BM97" s="1"/>
      <c r="BN97" s="1"/>
      <c r="BW97" s="1"/>
      <c r="BY97" s="1"/>
      <c r="BZ97" s="1"/>
      <c r="CA97" s="1"/>
      <c r="DC97" s="1"/>
    </row>
    <row r="98" spans="1:107" ht="15.75" customHeight="1" x14ac:dyDescent="0.25">
      <c r="A98" s="1"/>
      <c r="B98" s="3"/>
      <c r="C98" s="1"/>
      <c r="D98" s="1"/>
      <c r="N98" s="1"/>
      <c r="W98" s="1"/>
      <c r="X98" s="1"/>
      <c r="Y98" s="1"/>
      <c r="Z98" s="1"/>
      <c r="AA98" s="1"/>
      <c r="AB98" s="1"/>
      <c r="AI98" s="1"/>
      <c r="AJ98" s="1"/>
      <c r="AK98" s="1"/>
      <c r="AU98" s="1"/>
      <c r="AV98" s="1"/>
      <c r="AW98" s="1"/>
      <c r="AX98" s="1"/>
      <c r="AY98" s="1"/>
      <c r="AZ98" s="1"/>
      <c r="BA98" s="1"/>
      <c r="DC98" s="1"/>
    </row>
    <row r="99" spans="1:107" ht="15.75" customHeight="1" x14ac:dyDescent="0.25">
      <c r="A99" s="1"/>
      <c r="B99" s="3"/>
      <c r="C99" s="1"/>
      <c r="D99" s="1"/>
      <c r="N99" s="1"/>
      <c r="V99" s="1"/>
      <c r="W99" s="1"/>
      <c r="X99" s="1"/>
      <c r="Y99" s="1"/>
      <c r="Z99" s="1"/>
      <c r="AA99" s="1"/>
      <c r="AB99" s="1"/>
      <c r="AI99" s="1"/>
      <c r="AK99" s="1"/>
      <c r="AU99" s="1"/>
      <c r="AV99" s="1"/>
      <c r="AW99" s="1"/>
      <c r="AX99" s="1"/>
      <c r="AY99" s="1"/>
      <c r="BA99" s="1"/>
      <c r="BM99" s="1"/>
      <c r="BN99" s="1"/>
      <c r="DC99" s="1"/>
    </row>
    <row r="100" spans="1:107" ht="15.75" customHeight="1" x14ac:dyDescent="0.25">
      <c r="A100" s="1"/>
      <c r="B100" s="3"/>
      <c r="C100" s="1"/>
      <c r="D100" s="1"/>
      <c r="N100" s="1"/>
      <c r="V100" s="1"/>
      <c r="W100" s="1"/>
      <c r="X100" s="1"/>
      <c r="Y100" s="1"/>
      <c r="Z100" s="1"/>
      <c r="AA100" s="1"/>
      <c r="AB100" s="1"/>
      <c r="AI100" s="1"/>
      <c r="AK100" s="1"/>
      <c r="AU100" s="1"/>
      <c r="AV100" s="1"/>
      <c r="AW100" s="1"/>
      <c r="AX100" s="1"/>
      <c r="AY100" s="1"/>
      <c r="BA100" s="1"/>
      <c r="BM100" s="1"/>
      <c r="BN100" s="1"/>
      <c r="BW100" s="1"/>
      <c r="BY100" s="1"/>
      <c r="BZ100" s="1"/>
      <c r="DC100" s="1"/>
    </row>
    <row r="101" spans="1:107" ht="15.75" customHeight="1" x14ac:dyDescent="0.25">
      <c r="A101" s="1"/>
      <c r="B101" s="3"/>
      <c r="C101" s="1"/>
      <c r="D101" s="1"/>
      <c r="M101" s="1"/>
      <c r="N101" s="1"/>
      <c r="V101" s="1"/>
      <c r="W101" s="1"/>
      <c r="X101" s="1"/>
      <c r="Y101" s="1"/>
      <c r="Z101" s="1"/>
      <c r="AA101" s="1"/>
      <c r="AB101" s="1"/>
      <c r="AI101" s="1"/>
      <c r="AJ101" s="1"/>
      <c r="AK101" s="1"/>
      <c r="AU101" s="1"/>
      <c r="AV101" s="1"/>
      <c r="AW101" s="1"/>
      <c r="AX101" s="1"/>
      <c r="AY101" s="1"/>
      <c r="BA101" s="1"/>
      <c r="BM101" s="1"/>
      <c r="BN101" s="1"/>
      <c r="BV101" s="1"/>
      <c r="BW101" s="1"/>
      <c r="BY101" s="1"/>
      <c r="BZ101" s="1"/>
      <c r="CH101" s="1"/>
      <c r="CI101" s="1"/>
      <c r="CJ101" s="1"/>
      <c r="CL101" s="1"/>
      <c r="DC101" s="1"/>
    </row>
    <row r="102" spans="1:107" ht="15.75" customHeight="1" x14ac:dyDescent="0.25">
      <c r="A102" s="1"/>
      <c r="B102" s="3"/>
      <c r="C102" s="1"/>
      <c r="D102" s="1"/>
      <c r="N102" s="1"/>
      <c r="W102" s="1"/>
      <c r="X102" s="1"/>
      <c r="Y102" s="1"/>
      <c r="Z102" s="1"/>
      <c r="AA102" s="1"/>
      <c r="AB102" s="1"/>
      <c r="AI102" s="1"/>
      <c r="AK102" s="1"/>
      <c r="AU102" s="1"/>
      <c r="AV102" s="1"/>
      <c r="AW102" s="1"/>
      <c r="AX102" s="1"/>
      <c r="AY102" s="1"/>
      <c r="BA102" s="1"/>
      <c r="BL102" s="1"/>
      <c r="BM102" s="1"/>
      <c r="BN102" s="1"/>
      <c r="CH102" s="1"/>
      <c r="CI102" s="1"/>
      <c r="CJ102" s="1"/>
      <c r="CL102" s="1"/>
      <c r="DC102" s="1"/>
    </row>
    <row r="103" spans="1:107" ht="15.75" customHeight="1" x14ac:dyDescent="0.25">
      <c r="A103" s="1"/>
      <c r="B103" s="3"/>
      <c r="C103" s="1"/>
      <c r="D103" s="1"/>
      <c r="N103" s="1"/>
      <c r="V103" s="1"/>
      <c r="W103" s="1"/>
      <c r="X103" s="1"/>
      <c r="Y103" s="1"/>
      <c r="Z103" s="1"/>
      <c r="AA103" s="1"/>
      <c r="AB103" s="1"/>
      <c r="AI103" s="1"/>
      <c r="AK103" s="1"/>
      <c r="AU103" s="1"/>
      <c r="AV103" s="1"/>
      <c r="AW103" s="1"/>
      <c r="AX103" s="1"/>
      <c r="AY103" s="1"/>
      <c r="BA103" s="1"/>
      <c r="BM103" s="1"/>
      <c r="BN103" s="1"/>
      <c r="CH103" s="1"/>
      <c r="CI103" s="1"/>
      <c r="CJ103" s="1"/>
      <c r="CK103" s="1"/>
      <c r="CL103" s="1"/>
    </row>
    <row r="104" spans="1:107" ht="15.75" customHeight="1" x14ac:dyDescent="0.25">
      <c r="A104" s="1"/>
      <c r="B104" s="3"/>
      <c r="C104" s="1"/>
      <c r="D104" s="1"/>
      <c r="N104" s="1"/>
      <c r="V104" s="1"/>
      <c r="W104" s="1"/>
      <c r="X104" s="1"/>
      <c r="Y104" s="1"/>
      <c r="Z104" s="1"/>
      <c r="AA104" s="1"/>
      <c r="AB104" s="1"/>
      <c r="AI104" s="1"/>
      <c r="AJ104" s="1"/>
      <c r="AK104" s="1"/>
      <c r="AU104" s="1"/>
      <c r="AV104" s="1"/>
      <c r="AW104" s="1"/>
      <c r="AX104" s="1"/>
      <c r="AY104" s="1"/>
      <c r="AZ104" s="1"/>
      <c r="BA104" s="1"/>
    </row>
    <row r="105" spans="1:107" ht="15.75" customHeight="1" x14ac:dyDescent="0.25">
      <c r="A105" s="1"/>
      <c r="B105" s="3"/>
      <c r="C105" s="1"/>
      <c r="D105" s="1"/>
      <c r="N105" s="1"/>
      <c r="V105" s="1"/>
      <c r="W105" s="1"/>
      <c r="X105" s="1"/>
      <c r="Y105" s="1"/>
      <c r="Z105" s="1"/>
      <c r="AA105" s="1"/>
      <c r="AB105" s="1"/>
      <c r="AI105" s="1"/>
      <c r="AJ105" s="1"/>
      <c r="AK105" s="1"/>
      <c r="AU105" s="1"/>
      <c r="AV105" s="1"/>
      <c r="AW105" s="1"/>
      <c r="AX105" s="1"/>
      <c r="AY105" s="1"/>
      <c r="AZ105" s="1"/>
      <c r="BA105" s="1"/>
      <c r="DC105" s="1"/>
    </row>
    <row r="106" spans="1:107" ht="15.75" customHeight="1" x14ac:dyDescent="0.25">
      <c r="A106" s="1"/>
      <c r="B106" s="3"/>
      <c r="C106" s="1"/>
      <c r="D106" s="1"/>
      <c r="N106" s="1"/>
      <c r="V106" s="1"/>
      <c r="W106" s="1"/>
      <c r="X106" s="1"/>
      <c r="Y106" s="1"/>
      <c r="Z106" s="1"/>
      <c r="AA106" s="1"/>
      <c r="AB106" s="1"/>
      <c r="AI106" s="1"/>
      <c r="AK106" s="1"/>
      <c r="AU106" s="1"/>
      <c r="AV106" s="1"/>
      <c r="AW106" s="1"/>
      <c r="AX106" s="1"/>
      <c r="AY106" s="1"/>
      <c r="AZ106" s="1"/>
      <c r="BA106" s="1"/>
      <c r="DC106" s="1"/>
    </row>
    <row r="107" spans="1:107" ht="15.75" customHeight="1" x14ac:dyDescent="0.25">
      <c r="A107" s="1"/>
      <c r="B107" s="3"/>
      <c r="C107" s="1"/>
      <c r="D107" s="1"/>
      <c r="N107" s="1"/>
      <c r="W107" s="1"/>
      <c r="X107" s="1"/>
      <c r="Y107" s="1"/>
      <c r="Z107" s="1"/>
      <c r="AA107" s="1"/>
      <c r="AB107" s="1"/>
      <c r="AI107" s="1"/>
      <c r="AK107" s="1"/>
      <c r="AU107" s="1"/>
      <c r="AV107" s="1"/>
      <c r="AW107" s="1"/>
      <c r="AX107" s="1"/>
      <c r="AY107" s="1"/>
      <c r="BA107" s="1"/>
      <c r="BM107" s="1"/>
      <c r="BN107" s="1"/>
      <c r="DC107" s="1"/>
    </row>
    <row r="108" spans="1:107" ht="15.75" customHeight="1" x14ac:dyDescent="0.25">
      <c r="A108" s="1"/>
      <c r="B108" s="3"/>
      <c r="C108" s="1"/>
      <c r="D108" s="1"/>
      <c r="N108" s="1"/>
      <c r="W108" s="1"/>
      <c r="X108" s="1"/>
      <c r="Y108" s="1"/>
      <c r="Z108" s="1"/>
      <c r="AA108" s="1"/>
      <c r="AB108" s="1"/>
      <c r="AI108" s="1"/>
      <c r="AK108" s="1"/>
      <c r="AU108" s="1"/>
      <c r="AV108" s="1"/>
      <c r="AW108" s="1"/>
      <c r="AX108" s="1"/>
      <c r="AY108" s="1"/>
      <c r="BA108" s="1"/>
      <c r="BM108" s="1"/>
      <c r="BN108" s="1"/>
      <c r="DC108" s="1"/>
    </row>
    <row r="109" spans="1:107" ht="15.75" customHeight="1" x14ac:dyDescent="0.25">
      <c r="A109" s="1"/>
      <c r="B109" s="3"/>
      <c r="C109" s="1"/>
      <c r="D109" s="1"/>
      <c r="N109" s="1"/>
      <c r="V109" s="1"/>
      <c r="W109" s="1"/>
      <c r="X109" s="1"/>
      <c r="Y109" s="1"/>
      <c r="Z109" s="1"/>
      <c r="AA109" s="1"/>
      <c r="AB109" s="1"/>
      <c r="AI109" s="1"/>
      <c r="AK109" s="1"/>
      <c r="AU109" s="1"/>
      <c r="AV109" s="1"/>
      <c r="AW109" s="1"/>
      <c r="AX109" s="1"/>
      <c r="AY109" s="1"/>
      <c r="BA109" s="1"/>
      <c r="BM109" s="1"/>
      <c r="BN109" s="1"/>
      <c r="DC109" s="1"/>
    </row>
    <row r="110" spans="1:107" ht="15.75" customHeight="1" x14ac:dyDescent="0.25">
      <c r="A110" s="1"/>
      <c r="B110" s="3"/>
      <c r="C110" s="1"/>
      <c r="D110" s="1"/>
      <c r="N110" s="1"/>
      <c r="W110" s="1"/>
      <c r="X110" s="1"/>
      <c r="Y110" s="1"/>
      <c r="Z110" s="1"/>
      <c r="AA110" s="1"/>
      <c r="AB110" s="1"/>
      <c r="AI110" s="1"/>
      <c r="AK110" s="1"/>
      <c r="AU110" s="1"/>
      <c r="AV110" s="1"/>
      <c r="AW110" s="1"/>
      <c r="AX110" s="1"/>
      <c r="AY110" s="1"/>
      <c r="BA110" s="1"/>
      <c r="BM110" s="1"/>
      <c r="BN110" s="1"/>
      <c r="DC110" s="1"/>
    </row>
    <row r="111" spans="1:107" ht="15.75" customHeight="1" x14ac:dyDescent="0.25">
      <c r="A111" s="1"/>
      <c r="B111" s="3"/>
      <c r="C111" s="1"/>
      <c r="D111" s="1"/>
      <c r="N111" s="1"/>
      <c r="W111" s="1"/>
      <c r="X111" s="1"/>
      <c r="Y111" s="1"/>
      <c r="Z111" s="1"/>
      <c r="AA111" s="1"/>
      <c r="AB111" s="1"/>
      <c r="AI111" s="1"/>
      <c r="AK111" s="1"/>
      <c r="AU111" s="1"/>
      <c r="AV111" s="1"/>
      <c r="AW111" s="1"/>
      <c r="AX111" s="1"/>
      <c r="AY111" s="1"/>
      <c r="BA111" s="1"/>
      <c r="BM111" s="1"/>
      <c r="BN111" s="1"/>
    </row>
    <row r="112" spans="1:107" ht="15.75" customHeight="1" x14ac:dyDescent="0.25">
      <c r="A112" s="1"/>
      <c r="B112" s="3"/>
      <c r="C112" s="1"/>
      <c r="D112" s="1"/>
      <c r="N112" s="1"/>
      <c r="V112" s="1"/>
      <c r="W112" s="1"/>
      <c r="X112" s="1"/>
      <c r="Y112" s="1"/>
      <c r="Z112" s="1"/>
      <c r="AA112" s="1"/>
      <c r="AB112" s="1"/>
      <c r="AI112" s="1"/>
      <c r="AK112" s="1"/>
      <c r="AU112" s="1"/>
      <c r="AV112" s="1"/>
      <c r="AW112" s="1"/>
      <c r="AX112" s="1"/>
      <c r="AY112" s="1"/>
      <c r="BA112" s="1"/>
      <c r="BM112" s="1"/>
      <c r="BN112" s="1"/>
      <c r="DC112" s="1"/>
    </row>
    <row r="113" spans="1:107" ht="15.75" customHeight="1" x14ac:dyDescent="0.25">
      <c r="A113" s="1"/>
      <c r="B113" s="3"/>
      <c r="C113" s="1"/>
      <c r="D113" s="1"/>
      <c r="N113" s="1"/>
      <c r="V113" s="1"/>
      <c r="W113" s="1"/>
      <c r="X113" s="1"/>
      <c r="Y113" s="1"/>
      <c r="Z113" s="1"/>
      <c r="AA113" s="1"/>
      <c r="AB113" s="1"/>
      <c r="AI113" s="1"/>
      <c r="AK113" s="1"/>
      <c r="AU113" s="1"/>
      <c r="AV113" s="1"/>
      <c r="AW113" s="1"/>
      <c r="AX113" s="1"/>
      <c r="AY113" s="1"/>
      <c r="BA113" s="1"/>
      <c r="BM113" s="1"/>
      <c r="BN113" s="1"/>
      <c r="DC113" s="1"/>
    </row>
    <row r="114" spans="1:107" ht="15.75" customHeight="1" x14ac:dyDescent="0.25">
      <c r="A114" s="1"/>
      <c r="B114" s="3"/>
      <c r="C114" s="1"/>
      <c r="D114" s="1"/>
      <c r="N114" s="1"/>
      <c r="W114" s="1"/>
      <c r="X114" s="1"/>
      <c r="Y114" s="1"/>
      <c r="Z114" s="1"/>
      <c r="AA114" s="1"/>
      <c r="AB114" s="1"/>
      <c r="AI114" s="1"/>
      <c r="AK114" s="1"/>
      <c r="AU114" s="1"/>
      <c r="AV114" s="1"/>
      <c r="AW114" s="1"/>
      <c r="AX114" s="1"/>
      <c r="AY114" s="1"/>
      <c r="BA114" s="1"/>
      <c r="BM114" s="1"/>
      <c r="BN114" s="1"/>
      <c r="DC114" s="1"/>
    </row>
    <row r="115" spans="1:107" ht="15.75" customHeight="1" x14ac:dyDescent="0.25">
      <c r="A115" s="1"/>
      <c r="B115" s="3"/>
      <c r="C115" s="1"/>
      <c r="D115" s="1"/>
      <c r="N115" s="1"/>
      <c r="W115" s="1"/>
      <c r="X115" s="1"/>
      <c r="Y115" s="1"/>
      <c r="Z115" s="1"/>
      <c r="AA115" s="1"/>
      <c r="AB115" s="1"/>
      <c r="AI115" s="1"/>
      <c r="AK115" s="1"/>
      <c r="AU115" s="1"/>
      <c r="AV115" s="1"/>
      <c r="AW115" s="1"/>
      <c r="AX115" s="1"/>
      <c r="AY115" s="1"/>
      <c r="BA115" s="1"/>
      <c r="BM115" s="1"/>
      <c r="BN115" s="1"/>
      <c r="DC115" s="1"/>
    </row>
    <row r="116" spans="1:107" ht="15.75" customHeight="1" x14ac:dyDescent="0.25">
      <c r="A116" s="1"/>
      <c r="B116" s="3"/>
      <c r="C116" s="1"/>
      <c r="D116" s="1"/>
      <c r="N116" s="1"/>
      <c r="V116" s="1"/>
      <c r="W116" s="1"/>
      <c r="X116" s="1"/>
      <c r="Y116" s="1"/>
      <c r="Z116" s="1"/>
      <c r="AA116" s="1"/>
      <c r="AB116" s="1"/>
      <c r="AI116" s="1"/>
      <c r="AJ116" s="1"/>
      <c r="AK116" s="1"/>
      <c r="AU116" s="1"/>
      <c r="AV116" s="1"/>
      <c r="AW116" s="1"/>
      <c r="AX116" s="1"/>
      <c r="AY116" s="1"/>
      <c r="BA116" s="1"/>
      <c r="BM116" s="1"/>
      <c r="BN116" s="1"/>
      <c r="DC116" s="1"/>
    </row>
    <row r="117" spans="1:107" ht="15.75" customHeight="1" x14ac:dyDescent="0.25">
      <c r="A117" s="1"/>
      <c r="B117" s="3"/>
      <c r="C117" s="1"/>
      <c r="D117" s="1"/>
      <c r="N117" s="1"/>
      <c r="V117" s="1"/>
      <c r="W117" s="1"/>
      <c r="X117" s="1"/>
      <c r="Y117" s="1"/>
      <c r="Z117" s="1"/>
      <c r="AA117" s="1"/>
      <c r="AI117" s="1"/>
      <c r="AK117" s="1"/>
      <c r="AU117" s="1"/>
      <c r="AV117" s="1"/>
      <c r="AW117" s="1"/>
      <c r="AX117" s="1"/>
      <c r="AY117" s="1"/>
      <c r="AZ117" s="1"/>
      <c r="BA117" s="1"/>
    </row>
    <row r="118" spans="1:107" ht="15.75" customHeight="1" x14ac:dyDescent="0.25">
      <c r="A118" s="1"/>
      <c r="B118" s="3"/>
      <c r="C118" s="1"/>
      <c r="D118" s="1"/>
      <c r="N118" s="1"/>
      <c r="V118" s="1"/>
      <c r="W118" s="1"/>
      <c r="X118" s="1"/>
      <c r="Y118" s="1"/>
      <c r="Z118" s="1"/>
      <c r="AA118" s="1"/>
      <c r="AB118" s="1"/>
      <c r="AI118" s="1"/>
      <c r="AJ118" s="1"/>
      <c r="AK118" s="1"/>
      <c r="AU118" s="1"/>
      <c r="AV118" s="1"/>
      <c r="AW118" s="1"/>
      <c r="AX118" s="1"/>
      <c r="AY118" s="1"/>
      <c r="BA118" s="1"/>
      <c r="BM118" s="1"/>
      <c r="BN118" s="1"/>
      <c r="DC118" s="1"/>
    </row>
    <row r="119" spans="1:107" ht="15.75" customHeight="1" x14ac:dyDescent="0.25">
      <c r="A119" s="1"/>
      <c r="B119" s="3"/>
      <c r="C119" s="1"/>
      <c r="D119" s="1"/>
      <c r="N119" s="1"/>
      <c r="W119" s="1"/>
      <c r="X119" s="1"/>
      <c r="Y119" s="1"/>
      <c r="Z119" s="1"/>
      <c r="AA119" s="1"/>
      <c r="AB119" s="1"/>
      <c r="AI119" s="1"/>
      <c r="AK119" s="1"/>
      <c r="AU119" s="1"/>
      <c r="AV119" s="1"/>
      <c r="AW119" s="1"/>
      <c r="AX119" s="1"/>
      <c r="AY119" s="1"/>
      <c r="BA119" s="1"/>
      <c r="BM119" s="1"/>
      <c r="BN119" s="1"/>
      <c r="DC119" s="1"/>
    </row>
    <row r="120" spans="1:107" ht="15.75" customHeight="1" x14ac:dyDescent="0.25">
      <c r="A120" s="1"/>
      <c r="B120" s="3"/>
      <c r="C120" s="1"/>
      <c r="D120" s="1"/>
      <c r="N120" s="1"/>
      <c r="W120" s="1"/>
      <c r="X120" s="1"/>
      <c r="Y120" s="1"/>
      <c r="Z120" s="1"/>
      <c r="AA120" s="1"/>
      <c r="AB120" s="1"/>
      <c r="AI120" s="1"/>
      <c r="AJ120" s="1"/>
      <c r="AK120" s="1"/>
      <c r="AU120" s="1"/>
      <c r="AV120" s="1"/>
      <c r="AW120" s="1"/>
      <c r="AX120" s="1"/>
      <c r="AY120" s="1"/>
      <c r="BA120" s="1"/>
      <c r="BM120" s="1"/>
      <c r="BN120" s="1"/>
      <c r="BV120" s="1"/>
      <c r="DC120" s="1"/>
    </row>
    <row r="121" spans="1:107" ht="15.75" customHeight="1" x14ac:dyDescent="0.25">
      <c r="A121" s="1"/>
      <c r="B121" s="3"/>
      <c r="C121" s="1"/>
      <c r="D121" s="1"/>
      <c r="N121" s="1"/>
      <c r="V121" s="1"/>
      <c r="W121" s="1"/>
      <c r="X121" s="1"/>
      <c r="Y121" s="1"/>
      <c r="Z121" s="1"/>
      <c r="AA121" s="1"/>
      <c r="AB121" s="1"/>
      <c r="AI121" s="1"/>
      <c r="AK121" s="1"/>
      <c r="AU121" s="1"/>
      <c r="AV121" s="1"/>
      <c r="AW121" s="1"/>
      <c r="AX121" s="1"/>
      <c r="AY121" s="1"/>
      <c r="BA121" s="1"/>
      <c r="BM121" s="1"/>
      <c r="BN121" s="1"/>
      <c r="DC121" s="1"/>
    </row>
    <row r="122" spans="1:107" ht="15.75" customHeight="1" x14ac:dyDescent="0.25">
      <c r="A122" s="1"/>
      <c r="B122" s="3"/>
      <c r="C122" s="1"/>
      <c r="D122" s="1"/>
      <c r="N122" s="1"/>
      <c r="W122" s="1"/>
      <c r="X122" s="1"/>
      <c r="Y122" s="1"/>
      <c r="Z122" s="1"/>
      <c r="AA122" s="1"/>
      <c r="AB122" s="1"/>
      <c r="AI122" s="1"/>
      <c r="AK122" s="1"/>
      <c r="AU122" s="1"/>
      <c r="AV122" s="1"/>
      <c r="AW122" s="1"/>
      <c r="AX122" s="1"/>
      <c r="AY122" s="1"/>
      <c r="BA122" s="1"/>
      <c r="BM122" s="1"/>
      <c r="BN122" s="1"/>
      <c r="DC122" s="1"/>
    </row>
    <row r="123" spans="1:107" ht="15.75" customHeight="1" x14ac:dyDescent="0.25">
      <c r="A123" s="1"/>
      <c r="B123" s="3"/>
      <c r="C123" s="1"/>
      <c r="D123" s="1"/>
      <c r="N123" s="1"/>
      <c r="W123" s="1"/>
      <c r="X123" s="1"/>
      <c r="Y123" s="1"/>
      <c r="Z123" s="1"/>
      <c r="AA123" s="1"/>
      <c r="AB123" s="1"/>
      <c r="AI123" s="1"/>
      <c r="AK123" s="1"/>
      <c r="AU123" s="1"/>
      <c r="AV123" s="1"/>
      <c r="AW123" s="1"/>
      <c r="AX123" s="1"/>
      <c r="AY123" s="1"/>
      <c r="BA123" s="1"/>
      <c r="BM123" s="1"/>
      <c r="BN123" s="1"/>
      <c r="DC123" s="1"/>
    </row>
    <row r="124" spans="1:107" ht="15.75" customHeight="1" x14ac:dyDescent="0.25">
      <c r="A124" s="1"/>
      <c r="B124" s="3"/>
      <c r="C124" s="1"/>
      <c r="D124" s="1"/>
      <c r="N124" s="1"/>
      <c r="V124" s="1"/>
      <c r="W124" s="1"/>
      <c r="X124" s="1"/>
      <c r="Y124" s="1"/>
      <c r="Z124" s="1"/>
      <c r="AA124" s="1"/>
      <c r="AB124" s="1"/>
      <c r="AI124" s="1"/>
      <c r="AJ124" s="1"/>
      <c r="AK124" s="1"/>
      <c r="AU124" s="1"/>
      <c r="AV124" s="1"/>
      <c r="AW124" s="1"/>
      <c r="AX124" s="1"/>
      <c r="AY124" s="1"/>
      <c r="AZ124" s="1"/>
      <c r="BA124" s="1"/>
      <c r="DC124" s="1"/>
    </row>
    <row r="125" spans="1:107" ht="15.75" customHeight="1" x14ac:dyDescent="0.25">
      <c r="A125" s="1"/>
      <c r="B125" s="3"/>
      <c r="C125" s="1"/>
      <c r="D125" s="1"/>
      <c r="N125" s="1"/>
      <c r="V125" s="1"/>
      <c r="W125" s="1"/>
      <c r="X125" s="1"/>
      <c r="Y125" s="1"/>
      <c r="Z125" s="1"/>
      <c r="AA125" s="1"/>
      <c r="AB125" s="1"/>
      <c r="AI125" s="1"/>
      <c r="AK125" s="1"/>
      <c r="AU125" s="1"/>
      <c r="AV125" s="1"/>
      <c r="AW125" s="1"/>
      <c r="AX125" s="1"/>
      <c r="AY125" s="1"/>
      <c r="BA125" s="1"/>
      <c r="BM125" s="1"/>
      <c r="BN125" s="1"/>
      <c r="CH125" s="1"/>
      <c r="CJ125" s="1"/>
      <c r="CL125" s="1"/>
      <c r="DC125" s="1"/>
    </row>
    <row r="126" spans="1:107" ht="15.75" customHeight="1" x14ac:dyDescent="0.25">
      <c r="A126" s="1"/>
      <c r="B126" s="3"/>
      <c r="C126" s="1"/>
      <c r="D126" s="1"/>
      <c r="N126" s="1"/>
      <c r="W126" s="1"/>
      <c r="X126" s="1"/>
      <c r="Y126" s="1"/>
      <c r="Z126" s="1"/>
      <c r="AA126" s="1"/>
      <c r="AI126" s="1"/>
      <c r="AV126" s="1"/>
      <c r="AW126" s="1"/>
      <c r="AX126" s="1"/>
    </row>
    <row r="127" spans="1:107" ht="15.75" customHeight="1" x14ac:dyDescent="0.25">
      <c r="A127" s="1"/>
      <c r="B127" s="3"/>
      <c r="C127" s="1"/>
      <c r="D127" s="1"/>
      <c r="N127" s="1"/>
      <c r="W127" s="1"/>
      <c r="X127" s="1"/>
      <c r="Y127" s="1"/>
      <c r="Z127" s="1"/>
      <c r="AA127" s="1"/>
      <c r="AI127" s="1"/>
      <c r="AV127" s="1"/>
      <c r="AW127" s="1"/>
      <c r="AX127" s="1"/>
    </row>
    <row r="128" spans="1:107" ht="15.75" customHeight="1" x14ac:dyDescent="0.25">
      <c r="A128" s="1"/>
      <c r="B128" s="3"/>
      <c r="C128" s="1"/>
      <c r="D128" s="1"/>
      <c r="N128" s="1"/>
      <c r="V128" s="1"/>
      <c r="W128" s="1"/>
      <c r="X128" s="1"/>
      <c r="Y128" s="1"/>
      <c r="Z128" s="1"/>
      <c r="AA128" s="1"/>
      <c r="AB128" s="1"/>
      <c r="AI128" s="1"/>
      <c r="AK128" s="1"/>
      <c r="AU128" s="1"/>
      <c r="AV128" s="1"/>
      <c r="AW128" s="1"/>
      <c r="AX128" s="1"/>
      <c r="AY128" s="1"/>
      <c r="BA128" s="1"/>
      <c r="BM128" s="1"/>
      <c r="BN128" s="1"/>
      <c r="BY128" s="1"/>
      <c r="BZ128" s="1"/>
      <c r="CM128" s="1"/>
      <c r="CQ128" s="1"/>
      <c r="DC128" s="1"/>
    </row>
    <row r="129" spans="1:107" ht="15.75" customHeight="1" x14ac:dyDescent="0.25">
      <c r="A129" s="1"/>
      <c r="B129" s="3"/>
      <c r="C129" s="1"/>
      <c r="D129" s="1"/>
      <c r="N129" s="1"/>
      <c r="W129" s="1"/>
      <c r="X129" s="1"/>
      <c r="Y129" s="1"/>
      <c r="Z129" s="1"/>
      <c r="AA129" s="1"/>
      <c r="AB129" s="1"/>
      <c r="AI129" s="1"/>
      <c r="AK129" s="1"/>
      <c r="AU129" s="1"/>
      <c r="AV129" s="1"/>
      <c r="AW129" s="1"/>
      <c r="AX129" s="1"/>
      <c r="AY129" s="1"/>
      <c r="BA129" s="1"/>
      <c r="BM129" s="1"/>
      <c r="BN129" s="1"/>
      <c r="CH129" s="1"/>
      <c r="CJ129" s="1"/>
      <c r="CL129" s="1"/>
      <c r="CR129" s="1"/>
      <c r="DC129" s="1"/>
    </row>
    <row r="130" spans="1:107" ht="15.75" customHeight="1" x14ac:dyDescent="0.25">
      <c r="A130" s="1"/>
      <c r="B130" s="3"/>
      <c r="C130" s="1"/>
      <c r="D130" s="1"/>
      <c r="N130" s="1"/>
      <c r="V130" s="1"/>
      <c r="W130" s="1"/>
      <c r="X130" s="1"/>
      <c r="Y130" s="1"/>
      <c r="Z130" s="1"/>
      <c r="AA130" s="1"/>
      <c r="AB130" s="1"/>
      <c r="AI130" s="1"/>
      <c r="AK130" s="1"/>
      <c r="AU130" s="1"/>
      <c r="AV130" s="1"/>
      <c r="AW130" s="1"/>
      <c r="AX130" s="1"/>
      <c r="AY130" s="1"/>
      <c r="BA130" s="1"/>
      <c r="BM130" s="1"/>
      <c r="BN130" s="1"/>
      <c r="BW130" s="1"/>
      <c r="BY130" s="1"/>
      <c r="BZ130" s="1"/>
      <c r="CM130" s="1"/>
      <c r="CQ130" s="1"/>
      <c r="CR130" s="1"/>
      <c r="CT130" s="1"/>
      <c r="DC130" s="1"/>
    </row>
    <row r="131" spans="1:107" ht="15.75" customHeight="1" x14ac:dyDescent="0.25">
      <c r="A131" s="1"/>
      <c r="B131" s="3"/>
      <c r="C131" s="1"/>
      <c r="D131" s="1"/>
      <c r="N131" s="1"/>
      <c r="W131" s="1"/>
      <c r="X131" s="1"/>
      <c r="Y131" s="1"/>
      <c r="Z131" s="1"/>
      <c r="AA131" s="1"/>
      <c r="AB131" s="1"/>
      <c r="AI131" s="1"/>
      <c r="AK131" s="1"/>
      <c r="AU131" s="1"/>
      <c r="AV131" s="1"/>
      <c r="AW131" s="1"/>
      <c r="AX131" s="1"/>
      <c r="AY131" s="1"/>
      <c r="BA131" s="1"/>
      <c r="BM131" s="1"/>
      <c r="BN131" s="1"/>
      <c r="CH131" s="1"/>
      <c r="CI131" s="1"/>
      <c r="CJ131" s="1"/>
      <c r="CK131" s="1"/>
      <c r="CL131" s="1"/>
      <c r="DC131" s="1"/>
    </row>
    <row r="132" spans="1:107" ht="15.75" customHeight="1" x14ac:dyDescent="0.25">
      <c r="A132" s="1"/>
      <c r="B132" s="3"/>
      <c r="C132" s="1"/>
      <c r="D132" s="1"/>
      <c r="N132" s="1"/>
      <c r="W132" s="1"/>
      <c r="X132" s="1"/>
      <c r="Y132" s="1"/>
      <c r="Z132" s="1"/>
      <c r="AA132" s="1"/>
      <c r="AB132" s="1"/>
      <c r="AI132" s="1"/>
      <c r="AK132" s="1"/>
      <c r="AU132" s="1"/>
      <c r="AV132" s="1"/>
      <c r="AW132" s="1"/>
      <c r="AX132" s="1"/>
      <c r="AY132" s="1"/>
      <c r="AZ132" s="1"/>
      <c r="BA132" s="1"/>
      <c r="CR132" s="1"/>
      <c r="CT132" s="1"/>
      <c r="DC132" s="1"/>
    </row>
    <row r="133" spans="1:107" ht="15.75" customHeight="1" x14ac:dyDescent="0.25">
      <c r="A133" s="1"/>
      <c r="B133" s="3"/>
      <c r="C133" s="1"/>
      <c r="D133" s="1"/>
      <c r="M133" s="1"/>
      <c r="N133" s="1"/>
      <c r="V133" s="1"/>
      <c r="W133" s="1"/>
      <c r="X133" s="1"/>
      <c r="Y133" s="1"/>
      <c r="Z133" s="1"/>
      <c r="AA133" s="1"/>
      <c r="AB133" s="1"/>
      <c r="AI133" s="1"/>
      <c r="AK133" s="1"/>
      <c r="AU133" s="1"/>
      <c r="AV133" s="1"/>
      <c r="AW133" s="1"/>
      <c r="AX133" s="1"/>
      <c r="AY133" s="1"/>
      <c r="BA133" s="1"/>
      <c r="BM133" s="1"/>
      <c r="BN133" s="1"/>
      <c r="DC133" s="1"/>
    </row>
    <row r="134" spans="1:107" ht="15.75" customHeight="1" x14ac:dyDescent="0.25">
      <c r="A134" s="1"/>
      <c r="B134" s="3"/>
      <c r="C134" s="1"/>
      <c r="D134" s="1"/>
      <c r="N134" s="1"/>
      <c r="V134" s="1"/>
      <c r="W134" s="1"/>
      <c r="X134" s="1"/>
      <c r="Y134" s="1"/>
      <c r="Z134" s="1"/>
      <c r="AA134" s="1"/>
      <c r="AB134" s="1"/>
      <c r="AI134" s="1"/>
      <c r="AK134" s="1"/>
      <c r="AU134" s="1"/>
      <c r="AV134" s="1"/>
      <c r="AW134" s="1"/>
      <c r="AX134" s="1"/>
      <c r="AY134" s="1"/>
      <c r="BA134" s="1"/>
      <c r="BM134" s="1"/>
      <c r="BN134" s="1"/>
      <c r="CH134" s="1"/>
      <c r="CI134" s="1"/>
      <c r="CJ134" s="1"/>
      <c r="CL134" s="1"/>
      <c r="DC134" s="1"/>
    </row>
    <row r="135" spans="1:107" ht="15.75" customHeight="1" x14ac:dyDescent="0.25">
      <c r="A135" s="1"/>
      <c r="B135" s="3"/>
      <c r="C135" s="1"/>
      <c r="D135" s="1"/>
      <c r="N135" s="1"/>
      <c r="V135" s="1"/>
      <c r="W135" s="1"/>
      <c r="X135" s="1"/>
      <c r="Y135" s="1"/>
      <c r="Z135" s="1"/>
      <c r="AA135" s="1"/>
      <c r="AB135" s="1"/>
      <c r="AI135" s="1"/>
      <c r="AK135" s="1"/>
      <c r="AU135" s="1"/>
      <c r="AV135" s="1"/>
      <c r="AW135" s="1"/>
      <c r="AX135" s="1"/>
      <c r="AY135" s="1"/>
      <c r="BA135" s="1"/>
      <c r="BM135" s="1"/>
      <c r="BN135" s="1"/>
      <c r="BW135" s="1"/>
      <c r="CM135" s="1"/>
      <c r="CQ135" s="1"/>
      <c r="DC135" s="1"/>
    </row>
    <row r="136" spans="1:107" ht="15.75" customHeight="1" x14ac:dyDescent="0.25">
      <c r="A136" s="1"/>
      <c r="B136" s="3"/>
      <c r="C136" s="1"/>
      <c r="D136" s="1"/>
      <c r="N136" s="1"/>
      <c r="V136" s="1"/>
      <c r="W136" s="1"/>
      <c r="X136" s="1"/>
      <c r="Y136" s="1"/>
      <c r="Z136" s="1"/>
      <c r="AA136" s="1"/>
      <c r="AB136" s="1"/>
      <c r="AI136" s="1"/>
      <c r="AK136" s="1"/>
      <c r="AU136" s="1"/>
      <c r="AV136" s="1"/>
      <c r="AW136" s="1"/>
      <c r="AX136" s="1"/>
      <c r="AY136" s="1"/>
      <c r="AZ136" s="1"/>
      <c r="BA136" s="1"/>
      <c r="CB136" s="1"/>
      <c r="CF136" s="1"/>
      <c r="CG136" s="1"/>
      <c r="CH136" s="1"/>
      <c r="CI136" s="1"/>
      <c r="CJ136" s="1"/>
      <c r="CL136" s="1"/>
      <c r="DC136" s="1"/>
    </row>
    <row r="137" spans="1:107" ht="15.75" customHeight="1" x14ac:dyDescent="0.25">
      <c r="A137" s="1"/>
      <c r="B137" s="3"/>
      <c r="C137" s="1"/>
      <c r="D137" s="1"/>
      <c r="N137" s="1"/>
      <c r="O137" s="1"/>
      <c r="P137" s="1"/>
      <c r="Q137" s="1"/>
      <c r="R137" s="1"/>
      <c r="S137" s="1"/>
      <c r="T137" s="1"/>
      <c r="W137" s="1"/>
      <c r="X137" s="1"/>
      <c r="Y137" s="1"/>
      <c r="Z137" s="1"/>
      <c r="AA137" s="1"/>
      <c r="AI137" s="1"/>
      <c r="AV137" s="1"/>
      <c r="AW137" s="1"/>
      <c r="AX137" s="1"/>
    </row>
    <row r="138" spans="1:107" ht="15.75" customHeight="1" x14ac:dyDescent="0.25">
      <c r="A138" s="1"/>
      <c r="B138" s="3"/>
      <c r="C138" s="1"/>
      <c r="D138" s="1"/>
      <c r="N138" s="1"/>
      <c r="O138" s="1"/>
      <c r="P138" s="1"/>
      <c r="Q138" s="1"/>
      <c r="R138" s="1"/>
      <c r="S138" s="1"/>
      <c r="T138" s="1"/>
      <c r="W138" s="1"/>
      <c r="X138" s="1"/>
      <c r="Y138" s="1"/>
      <c r="Z138" s="1"/>
      <c r="AA138" s="1"/>
      <c r="AI138" s="1"/>
      <c r="AV138" s="1"/>
      <c r="AW138" s="1"/>
      <c r="AX138" s="1"/>
    </row>
    <row r="139" spans="1:107" ht="15.75" customHeight="1" x14ac:dyDescent="0.25">
      <c r="A139" s="1"/>
      <c r="B139" s="3"/>
      <c r="C139" s="1"/>
      <c r="D139" s="1"/>
      <c r="N139" s="1"/>
      <c r="O139" s="1"/>
      <c r="P139" s="1"/>
      <c r="Q139" s="1"/>
      <c r="R139" s="1"/>
      <c r="S139" s="1"/>
      <c r="T139" s="1"/>
      <c r="W139" s="1"/>
      <c r="X139" s="1"/>
      <c r="Y139" s="1"/>
      <c r="Z139" s="1"/>
      <c r="AA139" s="1"/>
      <c r="AI139" s="1"/>
      <c r="AV139" s="1"/>
      <c r="AW139" s="1"/>
      <c r="AX139" s="1"/>
    </row>
    <row r="140" spans="1:107" ht="15.75" customHeight="1" x14ac:dyDescent="0.25">
      <c r="A140" s="1"/>
      <c r="B140" s="3"/>
      <c r="C140" s="1"/>
      <c r="D140" s="1"/>
      <c r="N140" s="1"/>
      <c r="O140" s="1"/>
      <c r="P140" s="1"/>
      <c r="Q140" s="1"/>
      <c r="R140" s="1"/>
      <c r="S140" s="1"/>
      <c r="T140" s="1"/>
      <c r="W140" s="1"/>
      <c r="X140" s="1"/>
      <c r="Y140" s="1"/>
      <c r="Z140" s="1"/>
      <c r="AA140" s="1"/>
      <c r="AI140" s="1"/>
      <c r="AV140" s="1"/>
      <c r="AW140" s="1"/>
      <c r="AX140" s="1"/>
    </row>
    <row r="141" spans="1:107" ht="15.75" customHeight="1" x14ac:dyDescent="0.25">
      <c r="A141" s="1"/>
      <c r="B141" s="3"/>
      <c r="C141" s="1"/>
      <c r="D141" s="1"/>
      <c r="N141" s="1"/>
      <c r="O141" s="1"/>
      <c r="P141" s="1"/>
      <c r="Q141" s="1"/>
      <c r="R141" s="1"/>
      <c r="S141" s="1"/>
      <c r="T141" s="1"/>
      <c r="W141" s="1"/>
      <c r="X141" s="1"/>
      <c r="Y141" s="1"/>
      <c r="Z141" s="1"/>
      <c r="AA141" s="1"/>
      <c r="AI141" s="1"/>
      <c r="AV141" s="1"/>
      <c r="AW141" s="1"/>
      <c r="AX141" s="1"/>
    </row>
    <row r="142" spans="1:107" ht="15.75" customHeight="1" x14ac:dyDescent="0.25">
      <c r="A142" s="1"/>
      <c r="B142" s="3"/>
      <c r="C142" s="1"/>
      <c r="D142" s="1"/>
      <c r="N142" s="1"/>
      <c r="O142" s="1"/>
      <c r="P142" s="1"/>
      <c r="Q142" s="1"/>
      <c r="R142" s="1"/>
      <c r="S142" s="1"/>
      <c r="T142" s="1"/>
      <c r="W142" s="1"/>
      <c r="X142" s="1"/>
      <c r="Y142" s="1"/>
      <c r="Z142" s="1"/>
      <c r="AA142" s="1"/>
      <c r="AI142" s="1"/>
      <c r="AV142" s="1"/>
      <c r="AW142" s="1"/>
      <c r="AX142" s="1"/>
    </row>
    <row r="143" spans="1:107" ht="15.75" customHeight="1" x14ac:dyDescent="0.25">
      <c r="A143" s="1"/>
      <c r="B143" s="3"/>
      <c r="C143" s="1"/>
      <c r="D143" s="1"/>
      <c r="N143" s="1"/>
      <c r="O143" s="1"/>
      <c r="P143" s="1"/>
      <c r="Q143" s="1"/>
      <c r="R143" s="1"/>
      <c r="S143" s="1"/>
      <c r="T143" s="1"/>
      <c r="W143" s="1"/>
      <c r="X143" s="1"/>
      <c r="Y143" s="1"/>
      <c r="Z143" s="1"/>
      <c r="AA143" s="1"/>
      <c r="AI143" s="1"/>
      <c r="AV143" s="1"/>
      <c r="AW143" s="1"/>
      <c r="AX143" s="1"/>
    </row>
    <row r="144" spans="1:107" ht="15.75" customHeight="1" x14ac:dyDescent="0.25">
      <c r="A144" s="1"/>
      <c r="B144" s="3"/>
      <c r="C144" s="1"/>
      <c r="D144" s="1"/>
      <c r="M144" s="1"/>
      <c r="N144" s="1"/>
      <c r="O144" s="1"/>
      <c r="P144" s="1"/>
      <c r="Q144" s="1"/>
      <c r="R144" s="1"/>
      <c r="S144" s="1"/>
      <c r="T144" s="1"/>
      <c r="U144" s="1"/>
      <c r="W144" s="1"/>
      <c r="X144" s="1"/>
      <c r="Y144" s="1"/>
      <c r="Z144" s="1"/>
      <c r="AA144" s="1"/>
      <c r="AB144" s="1"/>
      <c r="AI144" s="1"/>
      <c r="AJ144" s="1"/>
      <c r="AV144" s="1"/>
      <c r="AW144" s="1"/>
      <c r="AX144" s="1"/>
      <c r="BA144" s="1"/>
      <c r="BL144" s="1"/>
      <c r="DC144" s="1"/>
    </row>
    <row r="145" spans="1:90" ht="15.75" customHeight="1" x14ac:dyDescent="0.25">
      <c r="A145" s="1"/>
      <c r="B145" s="3"/>
      <c r="C145" s="1"/>
      <c r="D145" s="1"/>
      <c r="N145" s="1"/>
      <c r="O145" s="1"/>
      <c r="P145" s="1"/>
      <c r="Q145" s="1"/>
      <c r="R145" s="1"/>
      <c r="S145" s="1"/>
      <c r="T145" s="1"/>
      <c r="V145" s="1"/>
      <c r="W145" s="1"/>
      <c r="X145" s="1"/>
      <c r="Y145" s="1"/>
      <c r="Z145" s="1"/>
      <c r="AA145" s="1"/>
      <c r="AI145" s="1"/>
      <c r="AK145" s="1"/>
      <c r="AU145" s="1"/>
      <c r="AV145" s="1"/>
      <c r="AW145" s="1"/>
      <c r="AX145" s="1"/>
      <c r="AY145" s="1"/>
      <c r="BM145" s="1"/>
      <c r="CH145" s="1"/>
      <c r="CJ145" s="1"/>
      <c r="CL145" s="1"/>
    </row>
    <row r="146" spans="1:90" ht="15.75" customHeight="1" x14ac:dyDescent="0.25"/>
    <row r="147" spans="1:90" ht="15.75" customHeight="1" x14ac:dyDescent="0.25"/>
    <row r="148" spans="1:90" ht="15.75" customHeight="1" x14ac:dyDescent="0.25"/>
    <row r="149" spans="1:90" ht="15.75" customHeight="1" x14ac:dyDescent="0.25"/>
    <row r="150" spans="1:90" ht="15.75" customHeight="1" x14ac:dyDescent="0.25"/>
    <row r="151" spans="1:90" ht="15.75" customHeight="1" x14ac:dyDescent="0.25"/>
    <row r="152" spans="1:90" ht="15.75" customHeight="1" x14ac:dyDescent="0.25"/>
    <row r="153" spans="1:90" ht="15.75" customHeight="1" x14ac:dyDescent="0.25"/>
    <row r="154" spans="1:90" ht="15.75" customHeight="1" x14ac:dyDescent="0.25"/>
    <row r="155" spans="1:90" ht="15.75" customHeight="1" x14ac:dyDescent="0.25"/>
    <row r="156" spans="1:90" ht="15.75" customHeight="1" x14ac:dyDescent="0.25"/>
    <row r="157" spans="1:90" ht="15.75" customHeight="1" x14ac:dyDescent="0.25"/>
    <row r="158" spans="1:90" ht="15.75" customHeight="1" x14ac:dyDescent="0.25"/>
    <row r="159" spans="1:90" ht="15.75" customHeight="1" x14ac:dyDescent="0.25"/>
    <row r="160" spans="1:9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conditionalFormatting sqref="A4">
    <cfRule type="expression" dxfId="37" priority="8">
      <formula>D1:D147="Game Enthusiast or Collector"</formula>
    </cfRule>
  </conditionalFormatting>
  <conditionalFormatting sqref="A4:A145">
    <cfRule type="cellIs" dxfId="36" priority="3" operator="equal">
      <formula>"FALSE"</formula>
    </cfRule>
  </conditionalFormatting>
  <conditionalFormatting sqref="A5:A145">
    <cfRule type="expression" dxfId="35" priority="4">
      <formula>D3:D148="Game Enthusiast or Collector"</formula>
    </cfRule>
  </conditionalFormatting>
  <conditionalFormatting sqref="W4:AA145">
    <cfRule type="cellIs" dxfId="34" priority="5" operator="equal">
      <formula>"False"</formula>
    </cfRule>
    <cfRule type="cellIs" dxfId="33" priority="6" operator="equal">
      <formula>"True"</formula>
    </cfRule>
  </conditionalFormatting>
  <conditionalFormatting sqref="BA1:BA1048576">
    <cfRule type="containsText" dxfId="32" priority="1" operator="containsText" text="Fact-checking claims">
      <formula>NOT(ISERROR(SEARCH("Fact-checking claims",BA1)))</formula>
    </cfRule>
  </conditionalFormatting>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C1000"/>
  <sheetViews>
    <sheetView workbookViewId="0">
      <pane ySplit="2" topLeftCell="A3" activePane="bottomLeft" state="frozen"/>
      <selection pane="bottomLeft" activeCell="F14" sqref="F14:F18"/>
    </sheetView>
  </sheetViews>
  <sheetFormatPr defaultColWidth="12.6640625" defaultRowHeight="15" customHeight="1" x14ac:dyDescent="0.25"/>
  <cols>
    <col min="1" max="4" width="12.6640625" customWidth="1"/>
    <col min="5" max="12" width="3.77734375" customWidth="1"/>
    <col min="99" max="99" width="16.5546875" customWidth="1"/>
  </cols>
  <sheetData>
    <row r="1" spans="1:107" ht="15.75" customHeight="1" x14ac:dyDescent="0.2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ht="15.75" customHeight="1" x14ac:dyDescent="0.25">
      <c r="A2" s="1" t="s">
        <v>0</v>
      </c>
      <c r="B2" s="1" t="s">
        <v>107</v>
      </c>
      <c r="C2" s="1" t="s">
        <v>108</v>
      </c>
      <c r="D2" s="1" t="s">
        <v>109</v>
      </c>
      <c r="E2" s="1"/>
      <c r="F2" s="1"/>
      <c r="G2" s="1"/>
      <c r="H2" s="1"/>
      <c r="I2" s="1"/>
      <c r="J2" s="1"/>
      <c r="K2" s="1"/>
      <c r="L2" s="1"/>
      <c r="M2" s="1" t="s">
        <v>110</v>
      </c>
      <c r="N2" s="1" t="s">
        <v>111</v>
      </c>
      <c r="O2" s="1"/>
      <c r="P2" s="1"/>
      <c r="Q2" s="1"/>
      <c r="R2" s="1"/>
      <c r="S2" s="1"/>
      <c r="T2" s="1"/>
      <c r="U2" s="1" t="s">
        <v>112</v>
      </c>
      <c r="V2" s="1" t="s">
        <v>113</v>
      </c>
      <c r="W2" s="1"/>
      <c r="X2" s="1"/>
      <c r="Y2" s="1"/>
      <c r="Z2" s="1"/>
      <c r="AA2" s="1"/>
      <c r="AB2" s="1" t="s">
        <v>114</v>
      </c>
      <c r="AC2" s="1"/>
      <c r="AD2" s="1"/>
      <c r="AE2" s="1"/>
      <c r="AF2" s="1"/>
      <c r="AG2" s="1"/>
      <c r="AH2" s="1"/>
      <c r="AI2" s="1"/>
      <c r="AJ2" s="1" t="s">
        <v>115</v>
      </c>
      <c r="AK2" s="1" t="s">
        <v>116</v>
      </c>
      <c r="AL2" s="1"/>
      <c r="AM2" s="1"/>
      <c r="AN2" s="1"/>
      <c r="AO2" s="1"/>
      <c r="AP2" s="1"/>
      <c r="AQ2" s="1"/>
      <c r="AR2" s="1"/>
      <c r="AS2" s="1"/>
      <c r="AT2" s="1" t="s">
        <v>117</v>
      </c>
      <c r="AU2" s="1" t="s">
        <v>118</v>
      </c>
      <c r="AV2" s="1"/>
      <c r="AW2" s="1"/>
      <c r="AX2" s="1"/>
      <c r="AY2" s="1" t="s">
        <v>119</v>
      </c>
      <c r="AZ2" s="1" t="s">
        <v>120</v>
      </c>
      <c r="BA2" s="1" t="s">
        <v>121</v>
      </c>
      <c r="BB2" s="1"/>
      <c r="BC2" s="1"/>
      <c r="BD2" s="1"/>
      <c r="BE2" s="1"/>
      <c r="BF2" s="1"/>
      <c r="BG2" s="1"/>
      <c r="BH2" s="1"/>
      <c r="BI2" s="1"/>
      <c r="BJ2" s="1"/>
      <c r="BK2" s="1"/>
      <c r="BL2" s="1" t="s">
        <v>122</v>
      </c>
      <c r="BM2" s="1" t="s">
        <v>123</v>
      </c>
      <c r="BN2" s="1" t="s">
        <v>124</v>
      </c>
      <c r="BO2" s="1"/>
      <c r="BP2" s="1"/>
      <c r="BQ2" s="1"/>
      <c r="BR2" s="1"/>
      <c r="BS2" s="1"/>
      <c r="BT2" s="1"/>
      <c r="BU2" s="1"/>
      <c r="BV2" s="1" t="s">
        <v>125</v>
      </c>
      <c r="BW2" s="1" t="s">
        <v>126</v>
      </c>
      <c r="BX2" s="1" t="s">
        <v>127</v>
      </c>
      <c r="BY2" s="1" t="s">
        <v>128</v>
      </c>
      <c r="BZ2" s="1" t="s">
        <v>129</v>
      </c>
      <c r="CA2" s="1" t="s">
        <v>130</v>
      </c>
      <c r="CB2" s="1" t="s">
        <v>131</v>
      </c>
      <c r="CC2" s="1" t="s">
        <v>132</v>
      </c>
      <c r="CD2" s="1" t="s">
        <v>133</v>
      </c>
      <c r="CE2" s="1" t="s">
        <v>134</v>
      </c>
      <c r="CF2" s="1" t="s">
        <v>135</v>
      </c>
      <c r="CG2" s="1" t="s">
        <v>136</v>
      </c>
      <c r="CH2" s="1" t="s">
        <v>137</v>
      </c>
      <c r="CI2" s="1" t="s">
        <v>138</v>
      </c>
      <c r="CJ2" s="1" t="s">
        <v>139</v>
      </c>
      <c r="CK2" s="1" t="s">
        <v>140</v>
      </c>
      <c r="CL2" s="1" t="s">
        <v>141</v>
      </c>
      <c r="CM2" s="1" t="s">
        <v>142</v>
      </c>
      <c r="CN2" s="1" t="s">
        <v>143</v>
      </c>
      <c r="CO2" s="1" t="s">
        <v>144</v>
      </c>
      <c r="CP2" s="1" t="s">
        <v>145</v>
      </c>
      <c r="CQ2" s="1" t="s">
        <v>146</v>
      </c>
      <c r="CR2" s="1" t="s">
        <v>147</v>
      </c>
      <c r="CS2" s="1" t="s">
        <v>148</v>
      </c>
      <c r="CT2" s="1" t="s">
        <v>149</v>
      </c>
      <c r="CU2" s="1" t="s">
        <v>150</v>
      </c>
      <c r="CV2" s="1" t="s">
        <v>151</v>
      </c>
      <c r="CW2" s="1" t="s">
        <v>152</v>
      </c>
      <c r="CX2" s="1" t="s">
        <v>153</v>
      </c>
      <c r="CY2" s="1" t="s">
        <v>154</v>
      </c>
      <c r="CZ2" s="1" t="s">
        <v>155</v>
      </c>
      <c r="DA2" s="1" t="s">
        <v>156</v>
      </c>
      <c r="DB2" s="1" t="s">
        <v>152</v>
      </c>
      <c r="DC2" s="1" t="s">
        <v>157</v>
      </c>
    </row>
    <row r="3" spans="1:107" ht="15.75" customHeight="1" x14ac:dyDescent="0.25">
      <c r="A3" s="1" t="b">
        <v>1</v>
      </c>
      <c r="B3" s="3">
        <v>46165.302349537036</v>
      </c>
      <c r="C3" s="1" t="s">
        <v>602</v>
      </c>
      <c r="D3" s="1" t="s">
        <v>391</v>
      </c>
      <c r="E3" s="4">
        <f t="shared" ref="E3:K3" si="0">IF(ISNUMBER(SEARCH(E$1,$D3)), SEARCH(E$1,$D3), 0)</f>
        <v>1</v>
      </c>
      <c r="F3" s="4">
        <f t="shared" si="0"/>
        <v>30</v>
      </c>
      <c r="G3" s="4">
        <f t="shared" si="0"/>
        <v>105</v>
      </c>
      <c r="H3" s="4">
        <f t="shared" si="0"/>
        <v>161</v>
      </c>
      <c r="I3" s="4">
        <f t="shared" si="0"/>
        <v>199</v>
      </c>
      <c r="J3" s="4">
        <f t="shared" si="0"/>
        <v>231</v>
      </c>
      <c r="K3" s="4">
        <f t="shared" si="0"/>
        <v>268</v>
      </c>
      <c r="L3" s="4">
        <f t="shared" ref="L3:L18" si="1">(MAX(E3:K3))</f>
        <v>268</v>
      </c>
      <c r="N3" s="1" t="s">
        <v>505</v>
      </c>
      <c r="O3" s="4">
        <f t="shared" ref="O3:T3" si="2">IF(ISNUMBER(SEARCH(O$1,$N3)), 1, 0)</f>
        <v>1</v>
      </c>
      <c r="P3" s="4">
        <f t="shared" si="2"/>
        <v>1</v>
      </c>
      <c r="Q3" s="4">
        <f t="shared" si="2"/>
        <v>0</v>
      </c>
      <c r="R3" s="4">
        <f t="shared" si="2"/>
        <v>1</v>
      </c>
      <c r="S3" s="4">
        <f t="shared" si="2"/>
        <v>1</v>
      </c>
      <c r="T3" s="4">
        <f t="shared" si="2"/>
        <v>1</v>
      </c>
      <c r="W3" s="1" t="str">
        <f t="shared" ref="W3:AA12" si="3">IF(W$1=$V3, "True", "False")</f>
        <v>False</v>
      </c>
      <c r="X3" s="1" t="str">
        <f t="shared" si="3"/>
        <v>False</v>
      </c>
      <c r="Y3" s="1" t="str">
        <f t="shared" si="3"/>
        <v>False</v>
      </c>
      <c r="Z3" s="1" t="str">
        <f t="shared" si="3"/>
        <v>False</v>
      </c>
      <c r="AA3" s="1" t="str">
        <f t="shared" si="3"/>
        <v>False</v>
      </c>
      <c r="AB3" s="1" t="s">
        <v>603</v>
      </c>
      <c r="AC3" s="4">
        <f t="shared" ref="AC3:AH3" si="4">IF(ISNUMBER(SEARCH(AC$1,$AB3)), 1, 0)</f>
        <v>1</v>
      </c>
      <c r="AD3" s="4">
        <f t="shared" si="4"/>
        <v>1</v>
      </c>
      <c r="AE3" s="4">
        <f t="shared" si="4"/>
        <v>1</v>
      </c>
      <c r="AF3" s="4">
        <f t="shared" si="4"/>
        <v>1</v>
      </c>
      <c r="AG3" s="4">
        <f t="shared" si="4"/>
        <v>0</v>
      </c>
      <c r="AH3" s="4">
        <f t="shared" si="4"/>
        <v>1</v>
      </c>
      <c r="AI3" s="1">
        <f t="shared" ref="AI3:AI18" si="5">SUM(AC3:AH3)</f>
        <v>5</v>
      </c>
      <c r="AK3" s="1" t="s">
        <v>604</v>
      </c>
      <c r="AL3" s="4">
        <f t="shared" ref="AL3:AS3" si="6">IF(ISNUMBER(SEARCH(AL$1,$AK3)), 1, 0)</f>
        <v>1</v>
      </c>
      <c r="AM3" s="4">
        <f t="shared" si="6"/>
        <v>1</v>
      </c>
      <c r="AN3" s="4">
        <f t="shared" si="6"/>
        <v>1</v>
      </c>
      <c r="AO3" s="4">
        <f t="shared" si="6"/>
        <v>1</v>
      </c>
      <c r="AP3" s="4">
        <f t="shared" si="6"/>
        <v>1</v>
      </c>
      <c r="AQ3" s="4">
        <f t="shared" si="6"/>
        <v>1</v>
      </c>
      <c r="AR3" s="4">
        <f t="shared" si="6"/>
        <v>1</v>
      </c>
      <c r="AS3" s="4">
        <f t="shared" si="6"/>
        <v>1</v>
      </c>
      <c r="AU3" s="1" t="s">
        <v>48</v>
      </c>
      <c r="AV3" s="1">
        <f t="shared" ref="AV3:AV18" si="7">IF($AU3="No",1,0)</f>
        <v>0</v>
      </c>
      <c r="AW3" s="1">
        <f t="shared" ref="AW3:AW18" si="8">IF($AU3="Yes",1,0)</f>
        <v>1</v>
      </c>
      <c r="AX3" s="1">
        <f t="shared" ref="AX3:AX18" si="9">IF($AU3="Unsure",1,0)</f>
        <v>0</v>
      </c>
      <c r="AY3" s="1" t="s">
        <v>48</v>
      </c>
      <c r="BA3" s="1" t="s">
        <v>605</v>
      </c>
      <c r="BB3" s="4">
        <f t="shared" ref="BB3:BJ3" si="10">IF(ISNUMBER(SEARCH(BB$1,$BA3)), 1, 0)</f>
        <v>1</v>
      </c>
      <c r="BC3" s="4">
        <f t="shared" si="10"/>
        <v>1</v>
      </c>
      <c r="BD3" s="4">
        <f t="shared" si="10"/>
        <v>1</v>
      </c>
      <c r="BE3" s="4">
        <f t="shared" si="10"/>
        <v>1</v>
      </c>
      <c r="BF3" s="4">
        <f t="shared" si="10"/>
        <v>1</v>
      </c>
      <c r="BG3" s="4">
        <f t="shared" si="10"/>
        <v>1</v>
      </c>
      <c r="BH3" s="4">
        <f t="shared" si="10"/>
        <v>1</v>
      </c>
      <c r="BI3" s="4">
        <f t="shared" si="10"/>
        <v>1</v>
      </c>
      <c r="BJ3" s="4">
        <f t="shared" si="10"/>
        <v>1</v>
      </c>
      <c r="BK3" s="4">
        <f t="shared" ref="BK3:BK18" si="11">SUM(BB3:BJ3)</f>
        <v>9</v>
      </c>
      <c r="BO3" s="4">
        <f t="shared" ref="BO3:BU3" si="12">IF(ISNUMBER(SEARCH(BO$1,$BN3)), 1, 0)</f>
        <v>0</v>
      </c>
      <c r="BP3" s="4">
        <f t="shared" si="12"/>
        <v>0</v>
      </c>
      <c r="BQ3" s="4">
        <f t="shared" si="12"/>
        <v>0</v>
      </c>
      <c r="BR3" s="4">
        <f t="shared" si="12"/>
        <v>0</v>
      </c>
      <c r="BS3" s="4">
        <f t="shared" si="12"/>
        <v>0</v>
      </c>
      <c r="BT3" s="4">
        <f t="shared" si="12"/>
        <v>0</v>
      </c>
      <c r="BU3" s="4">
        <f t="shared" si="12"/>
        <v>0</v>
      </c>
      <c r="BZ3" s="1" t="s">
        <v>171</v>
      </c>
      <c r="CB3" s="1" t="s">
        <v>48</v>
      </c>
      <c r="CC3" s="1" t="s">
        <v>48</v>
      </c>
      <c r="CD3" s="1" t="s">
        <v>444</v>
      </c>
      <c r="CF3" s="1" t="s">
        <v>606</v>
      </c>
      <c r="CG3" s="1" t="s">
        <v>607</v>
      </c>
      <c r="CH3" s="1" t="s">
        <v>173</v>
      </c>
      <c r="CJ3" s="1" t="s">
        <v>608</v>
      </c>
      <c r="CL3" s="1" t="s">
        <v>352</v>
      </c>
      <c r="CM3" s="1" t="s">
        <v>48</v>
      </c>
      <c r="CN3" s="1" t="s">
        <v>609</v>
      </c>
      <c r="CU3" s="1" t="s">
        <v>178</v>
      </c>
      <c r="DC3" s="1" t="s">
        <v>238</v>
      </c>
    </row>
    <row r="4" spans="1:107" ht="15.75" customHeight="1" x14ac:dyDescent="0.25">
      <c r="A4" s="1" t="b">
        <v>1</v>
      </c>
      <c r="B4" s="3">
        <v>46161.275833333333</v>
      </c>
      <c r="C4" s="1" t="s">
        <v>424</v>
      </c>
      <c r="D4" s="1" t="s">
        <v>425</v>
      </c>
      <c r="E4" s="4">
        <f t="shared" ref="E4:K4" si="13">IF(ISNUMBER(SEARCH(E$1,$D4)), SEARCH(E$1,$D4), 0)</f>
        <v>1</v>
      </c>
      <c r="F4" s="4">
        <f t="shared" si="13"/>
        <v>30</v>
      </c>
      <c r="G4" s="4">
        <f t="shared" si="13"/>
        <v>105</v>
      </c>
      <c r="H4" s="4">
        <f t="shared" si="13"/>
        <v>161</v>
      </c>
      <c r="I4" s="4">
        <f t="shared" si="13"/>
        <v>199</v>
      </c>
      <c r="J4" s="4">
        <f t="shared" si="13"/>
        <v>231</v>
      </c>
      <c r="K4" s="4">
        <f t="shared" si="13"/>
        <v>268</v>
      </c>
      <c r="L4" s="4">
        <f t="shared" si="1"/>
        <v>268</v>
      </c>
      <c r="N4" s="1" t="s">
        <v>323</v>
      </c>
      <c r="O4" s="4">
        <f t="shared" ref="O4:T4" si="14">IF(ISNUMBER(SEARCH(O$1,$N4)), 1, 0)</f>
        <v>1</v>
      </c>
      <c r="P4" s="4">
        <f t="shared" si="14"/>
        <v>1</v>
      </c>
      <c r="Q4" s="4">
        <f t="shared" si="14"/>
        <v>1</v>
      </c>
      <c r="R4" s="4">
        <f t="shared" si="14"/>
        <v>1</v>
      </c>
      <c r="S4" s="4">
        <f t="shared" si="14"/>
        <v>0</v>
      </c>
      <c r="T4" s="4">
        <f t="shared" si="14"/>
        <v>1</v>
      </c>
      <c r="V4" s="1" t="s">
        <v>22</v>
      </c>
      <c r="W4" s="1" t="str">
        <f t="shared" si="3"/>
        <v>True</v>
      </c>
      <c r="X4" s="1" t="str">
        <f t="shared" si="3"/>
        <v>False</v>
      </c>
      <c r="Y4" s="1" t="str">
        <f t="shared" si="3"/>
        <v>False</v>
      </c>
      <c r="Z4" s="1" t="str">
        <f t="shared" si="3"/>
        <v>False</v>
      </c>
      <c r="AA4" s="1" t="str">
        <f t="shared" si="3"/>
        <v>False</v>
      </c>
      <c r="AB4" s="1" t="s">
        <v>183</v>
      </c>
      <c r="AC4" s="4">
        <f t="shared" ref="AC4:AH4" si="15">IF(ISNUMBER(SEARCH(AC$1,$AB4)), 1, 0)</f>
        <v>0</v>
      </c>
      <c r="AD4" s="4">
        <f t="shared" si="15"/>
        <v>0</v>
      </c>
      <c r="AE4" s="4">
        <f t="shared" si="15"/>
        <v>0</v>
      </c>
      <c r="AF4" s="4">
        <f t="shared" si="15"/>
        <v>0</v>
      </c>
      <c r="AG4" s="4">
        <f t="shared" si="15"/>
        <v>0</v>
      </c>
      <c r="AH4" s="4">
        <f t="shared" si="15"/>
        <v>0</v>
      </c>
      <c r="AI4" s="1">
        <f t="shared" si="5"/>
        <v>0</v>
      </c>
      <c r="AJ4" s="1" t="s">
        <v>426</v>
      </c>
      <c r="AK4" s="1" t="s">
        <v>427</v>
      </c>
      <c r="AL4" s="4">
        <f t="shared" ref="AL4:AS4" si="16">IF(ISNUMBER(SEARCH(AL$1,$AK4)), 1, 0)</f>
        <v>0</v>
      </c>
      <c r="AM4" s="4">
        <f t="shared" si="16"/>
        <v>1</v>
      </c>
      <c r="AN4" s="4">
        <f t="shared" si="16"/>
        <v>1</v>
      </c>
      <c r="AO4" s="4">
        <f t="shared" si="16"/>
        <v>1</v>
      </c>
      <c r="AP4" s="4">
        <f t="shared" si="16"/>
        <v>0</v>
      </c>
      <c r="AQ4" s="4">
        <f t="shared" si="16"/>
        <v>1</v>
      </c>
      <c r="AR4" s="4">
        <f t="shared" si="16"/>
        <v>1</v>
      </c>
      <c r="AS4" s="4">
        <f t="shared" si="16"/>
        <v>1</v>
      </c>
      <c r="AU4" s="1" t="s">
        <v>48</v>
      </c>
      <c r="AV4" s="1">
        <f t="shared" si="7"/>
        <v>0</v>
      </c>
      <c r="AW4" s="1">
        <f t="shared" si="8"/>
        <v>1</v>
      </c>
      <c r="AX4" s="1">
        <f t="shared" si="9"/>
        <v>0</v>
      </c>
      <c r="AY4" s="1" t="s">
        <v>47</v>
      </c>
      <c r="AZ4" s="1" t="s">
        <v>47</v>
      </c>
      <c r="BA4" s="1" t="s">
        <v>428</v>
      </c>
      <c r="BB4" s="4">
        <f t="shared" ref="BB4:BJ4" si="17">IF(ISNUMBER(SEARCH(BB$1,$BA4)), 1, 0)</f>
        <v>0</v>
      </c>
      <c r="BC4" s="4">
        <f t="shared" si="17"/>
        <v>0</v>
      </c>
      <c r="BD4" s="4">
        <f t="shared" si="17"/>
        <v>0</v>
      </c>
      <c r="BE4" s="4">
        <f t="shared" si="17"/>
        <v>0</v>
      </c>
      <c r="BF4" s="4">
        <f t="shared" si="17"/>
        <v>0</v>
      </c>
      <c r="BG4" s="4">
        <f t="shared" si="17"/>
        <v>0</v>
      </c>
      <c r="BH4" s="4">
        <f t="shared" si="17"/>
        <v>1</v>
      </c>
      <c r="BI4" s="4">
        <f t="shared" si="17"/>
        <v>1</v>
      </c>
      <c r="BJ4" s="4">
        <f t="shared" si="17"/>
        <v>1</v>
      </c>
      <c r="BK4" s="4">
        <f t="shared" si="11"/>
        <v>3</v>
      </c>
      <c r="BO4" s="4">
        <f t="shared" ref="BO4:BU4" si="18">IF(ISNUMBER(SEARCH(BO$1,$BN4)), 1, 0)</f>
        <v>0</v>
      </c>
      <c r="BP4" s="4">
        <f t="shared" si="18"/>
        <v>0</v>
      </c>
      <c r="BQ4" s="4">
        <f t="shared" si="18"/>
        <v>0</v>
      </c>
      <c r="BR4" s="4">
        <f t="shared" si="18"/>
        <v>0</v>
      </c>
      <c r="BS4" s="4">
        <f t="shared" si="18"/>
        <v>0</v>
      </c>
      <c r="BT4" s="4">
        <f t="shared" si="18"/>
        <v>0</v>
      </c>
      <c r="BU4" s="4">
        <f t="shared" si="18"/>
        <v>0</v>
      </c>
      <c r="BY4" s="1" t="s">
        <v>429</v>
      </c>
      <c r="BZ4" s="1" t="s">
        <v>183</v>
      </c>
      <c r="CA4" s="1" t="s">
        <v>430</v>
      </c>
      <c r="CB4" s="1" t="s">
        <v>48</v>
      </c>
      <c r="CC4" s="1" t="s">
        <v>47</v>
      </c>
      <c r="CD4" s="1" t="s">
        <v>431</v>
      </c>
      <c r="CF4" s="1" t="s">
        <v>412</v>
      </c>
      <c r="CG4" s="1" t="s">
        <v>432</v>
      </c>
      <c r="CI4" s="1" t="s">
        <v>433</v>
      </c>
      <c r="CJ4" s="1" t="s">
        <v>434</v>
      </c>
      <c r="CR4" s="1" t="s">
        <v>435</v>
      </c>
      <c r="CT4" s="1" t="s">
        <v>436</v>
      </c>
      <c r="CU4" s="1" t="s">
        <v>214</v>
      </c>
      <c r="CW4" s="1" t="s">
        <v>437</v>
      </c>
    </row>
    <row r="5" spans="1:107" ht="15.75" customHeight="1" x14ac:dyDescent="0.25">
      <c r="A5" s="1" t="b">
        <v>1</v>
      </c>
      <c r="B5" s="3">
        <v>46164.593090277776</v>
      </c>
      <c r="C5" s="1" t="s">
        <v>490</v>
      </c>
      <c r="D5" s="1" t="s">
        <v>243</v>
      </c>
      <c r="E5" s="4">
        <f t="shared" ref="E5:K5" si="19">IF(ISNUMBER(SEARCH(E$1,$D5)), SEARCH(E$1,$D5), 0)</f>
        <v>1</v>
      </c>
      <c r="F5" s="4">
        <f t="shared" si="19"/>
        <v>30</v>
      </c>
      <c r="G5" s="4">
        <f t="shared" si="19"/>
        <v>105</v>
      </c>
      <c r="H5" s="4">
        <f t="shared" si="19"/>
        <v>0</v>
      </c>
      <c r="I5" s="4">
        <f t="shared" si="19"/>
        <v>0</v>
      </c>
      <c r="J5" s="4">
        <f t="shared" si="19"/>
        <v>0</v>
      </c>
      <c r="K5" s="4">
        <f t="shared" si="19"/>
        <v>0</v>
      </c>
      <c r="L5" s="4">
        <f t="shared" si="1"/>
        <v>105</v>
      </c>
      <c r="N5" s="1" t="s">
        <v>187</v>
      </c>
      <c r="O5" s="4">
        <f t="shared" ref="O5:T5" si="20">IF(ISNUMBER(SEARCH(O$1,$N5)), 1, 0)</f>
        <v>1</v>
      </c>
      <c r="P5" s="4">
        <f t="shared" si="20"/>
        <v>1</v>
      </c>
      <c r="Q5" s="4">
        <f t="shared" si="20"/>
        <v>1</v>
      </c>
      <c r="R5" s="4">
        <f t="shared" si="20"/>
        <v>1</v>
      </c>
      <c r="S5" s="4">
        <f t="shared" si="20"/>
        <v>1</v>
      </c>
      <c r="T5" s="4">
        <f t="shared" si="20"/>
        <v>1</v>
      </c>
      <c r="V5" s="1" t="s">
        <v>25</v>
      </c>
      <c r="W5" s="1" t="str">
        <f t="shared" si="3"/>
        <v>False</v>
      </c>
      <c r="X5" s="1" t="str">
        <f t="shared" si="3"/>
        <v>False</v>
      </c>
      <c r="Y5" s="1" t="str">
        <f t="shared" si="3"/>
        <v>False</v>
      </c>
      <c r="Z5" s="1" t="str">
        <f t="shared" si="3"/>
        <v>True</v>
      </c>
      <c r="AA5" s="1" t="str">
        <f t="shared" si="3"/>
        <v>False</v>
      </c>
      <c r="AB5" s="1" t="s">
        <v>491</v>
      </c>
      <c r="AC5" s="4">
        <f t="shared" ref="AC5:AH5" si="21">IF(ISNUMBER(SEARCH(AC$1,$AB5)), 1, 0)</f>
        <v>1</v>
      </c>
      <c r="AD5" s="4">
        <f t="shared" si="21"/>
        <v>0</v>
      </c>
      <c r="AE5" s="4">
        <f t="shared" si="21"/>
        <v>1</v>
      </c>
      <c r="AF5" s="4">
        <f t="shared" si="21"/>
        <v>0</v>
      </c>
      <c r="AG5" s="4">
        <f t="shared" si="21"/>
        <v>1</v>
      </c>
      <c r="AH5" s="4">
        <f t="shared" si="21"/>
        <v>1</v>
      </c>
      <c r="AI5" s="1">
        <f t="shared" si="5"/>
        <v>4</v>
      </c>
      <c r="AK5" s="1" t="s">
        <v>492</v>
      </c>
      <c r="AL5" s="4">
        <f t="shared" ref="AL5:AS5" si="22">IF(ISNUMBER(SEARCH(AL$1,$AK5)), 1, 0)</f>
        <v>1</v>
      </c>
      <c r="AM5" s="4">
        <f t="shared" si="22"/>
        <v>1</v>
      </c>
      <c r="AN5" s="4">
        <f t="shared" si="22"/>
        <v>1</v>
      </c>
      <c r="AO5" s="4">
        <f t="shared" si="22"/>
        <v>1</v>
      </c>
      <c r="AP5" s="4">
        <f t="shared" si="22"/>
        <v>1</v>
      </c>
      <c r="AQ5" s="4">
        <f t="shared" si="22"/>
        <v>1</v>
      </c>
      <c r="AR5" s="4">
        <f t="shared" si="22"/>
        <v>1</v>
      </c>
      <c r="AS5" s="4">
        <f t="shared" si="22"/>
        <v>0</v>
      </c>
      <c r="AU5" s="1" t="s">
        <v>49</v>
      </c>
      <c r="AV5" s="1">
        <f t="shared" si="7"/>
        <v>0</v>
      </c>
      <c r="AW5" s="1">
        <f t="shared" si="8"/>
        <v>0</v>
      </c>
      <c r="AX5" s="1">
        <f t="shared" si="9"/>
        <v>1</v>
      </c>
      <c r="AY5" s="1" t="s">
        <v>48</v>
      </c>
      <c r="BA5" s="1" t="s">
        <v>493</v>
      </c>
      <c r="BB5" s="4">
        <f t="shared" ref="BB5:BJ5" si="23">IF(ISNUMBER(SEARCH(BB$1,$BA5)), 1, 0)</f>
        <v>1</v>
      </c>
      <c r="BC5" s="4">
        <f t="shared" si="23"/>
        <v>1</v>
      </c>
      <c r="BD5" s="4">
        <f t="shared" si="23"/>
        <v>1</v>
      </c>
      <c r="BE5" s="4">
        <f t="shared" si="23"/>
        <v>0</v>
      </c>
      <c r="BF5" s="4">
        <f t="shared" si="23"/>
        <v>1</v>
      </c>
      <c r="BG5" s="4">
        <f t="shared" si="23"/>
        <v>0</v>
      </c>
      <c r="BH5" s="4">
        <f t="shared" si="23"/>
        <v>1</v>
      </c>
      <c r="BI5" s="4">
        <f t="shared" si="23"/>
        <v>0</v>
      </c>
      <c r="BJ5" s="4">
        <f t="shared" si="23"/>
        <v>1</v>
      </c>
      <c r="BK5" s="4">
        <f t="shared" si="11"/>
        <v>6</v>
      </c>
      <c r="BM5" s="1" t="s">
        <v>166</v>
      </c>
      <c r="BN5" s="1" t="s">
        <v>494</v>
      </c>
      <c r="BO5" s="4">
        <f t="shared" ref="BO5:BU5" si="24">IF(ISNUMBER(SEARCH(BO$1,$BN5)), 1, 0)</f>
        <v>1</v>
      </c>
      <c r="BP5" s="4">
        <f t="shared" si="24"/>
        <v>0</v>
      </c>
      <c r="BQ5" s="4">
        <f t="shared" si="24"/>
        <v>1</v>
      </c>
      <c r="BR5" s="4">
        <f t="shared" si="24"/>
        <v>1</v>
      </c>
      <c r="BS5" s="4">
        <f t="shared" si="24"/>
        <v>1</v>
      </c>
      <c r="BT5" s="4">
        <f t="shared" si="24"/>
        <v>0</v>
      </c>
      <c r="BU5" s="4">
        <f t="shared" si="24"/>
        <v>0</v>
      </c>
      <c r="CU5" s="1" t="s">
        <v>178</v>
      </c>
      <c r="CW5" s="1" t="s">
        <v>495</v>
      </c>
      <c r="CX5" s="1" t="s">
        <v>496</v>
      </c>
      <c r="CZ5" s="1" t="s">
        <v>497</v>
      </c>
      <c r="DB5" s="1" t="s">
        <v>498</v>
      </c>
      <c r="DC5" s="1" t="s">
        <v>238</v>
      </c>
    </row>
    <row r="6" spans="1:107" ht="15.75" customHeight="1" x14ac:dyDescent="0.25">
      <c r="A6" s="1" t="b">
        <v>1</v>
      </c>
      <c r="B6" s="3">
        <v>46151.311597222222</v>
      </c>
      <c r="C6" s="1" t="s">
        <v>242</v>
      </c>
      <c r="D6" s="1" t="s">
        <v>243</v>
      </c>
      <c r="E6" s="4">
        <f t="shared" ref="E6:K6" si="25">IF(ISNUMBER(SEARCH(E$1,$D6)), SEARCH(E$1,$D6), 0)</f>
        <v>1</v>
      </c>
      <c r="F6" s="4">
        <f t="shared" si="25"/>
        <v>30</v>
      </c>
      <c r="G6" s="4">
        <f t="shared" si="25"/>
        <v>105</v>
      </c>
      <c r="H6" s="4">
        <f t="shared" si="25"/>
        <v>0</v>
      </c>
      <c r="I6" s="4">
        <f t="shared" si="25"/>
        <v>0</v>
      </c>
      <c r="J6" s="4">
        <f t="shared" si="25"/>
        <v>0</v>
      </c>
      <c r="K6" s="4">
        <f t="shared" si="25"/>
        <v>0</v>
      </c>
      <c r="L6" s="4">
        <f t="shared" si="1"/>
        <v>105</v>
      </c>
      <c r="N6" s="1" t="s">
        <v>244</v>
      </c>
      <c r="O6" s="4">
        <f t="shared" ref="O6:T6" si="26">IF(ISNUMBER(SEARCH(O$1,$N6)), 1, 0)</f>
        <v>1</v>
      </c>
      <c r="P6" s="4">
        <f t="shared" si="26"/>
        <v>0</v>
      </c>
      <c r="Q6" s="4">
        <f t="shared" si="26"/>
        <v>1</v>
      </c>
      <c r="R6" s="4">
        <f t="shared" si="26"/>
        <v>1</v>
      </c>
      <c r="S6" s="4">
        <f t="shared" si="26"/>
        <v>0</v>
      </c>
      <c r="T6" s="4">
        <f t="shared" si="26"/>
        <v>0</v>
      </c>
      <c r="V6" s="1" t="s">
        <v>25</v>
      </c>
      <c r="W6" s="1" t="str">
        <f t="shared" si="3"/>
        <v>False</v>
      </c>
      <c r="X6" s="1" t="str">
        <f t="shared" si="3"/>
        <v>False</v>
      </c>
      <c r="Y6" s="1" t="str">
        <f t="shared" si="3"/>
        <v>False</v>
      </c>
      <c r="Z6" s="1" t="str">
        <f t="shared" si="3"/>
        <v>True</v>
      </c>
      <c r="AA6" s="1" t="str">
        <f t="shared" si="3"/>
        <v>False</v>
      </c>
      <c r="AB6" s="1" t="s">
        <v>245</v>
      </c>
      <c r="AC6" s="4">
        <f t="shared" ref="AC6:AH6" si="27">IF(ISNUMBER(SEARCH(AC$1,$AB6)), 1, 0)</f>
        <v>1</v>
      </c>
      <c r="AD6" s="4">
        <f t="shared" si="27"/>
        <v>0</v>
      </c>
      <c r="AE6" s="4">
        <f t="shared" si="27"/>
        <v>0</v>
      </c>
      <c r="AF6" s="4">
        <f t="shared" si="27"/>
        <v>1</v>
      </c>
      <c r="AG6" s="4">
        <f t="shared" si="27"/>
        <v>0</v>
      </c>
      <c r="AH6" s="4">
        <f t="shared" si="27"/>
        <v>0</v>
      </c>
      <c r="AI6" s="1">
        <f t="shared" si="5"/>
        <v>2</v>
      </c>
      <c r="AK6" s="1" t="s">
        <v>246</v>
      </c>
      <c r="AL6" s="4">
        <f t="shared" ref="AL6:AS6" si="28">IF(ISNUMBER(SEARCH(AL$1,$AK6)), 1, 0)</f>
        <v>1</v>
      </c>
      <c r="AM6" s="4">
        <f t="shared" si="28"/>
        <v>1</v>
      </c>
      <c r="AN6" s="4">
        <f t="shared" si="28"/>
        <v>0</v>
      </c>
      <c r="AO6" s="4">
        <f t="shared" si="28"/>
        <v>1</v>
      </c>
      <c r="AP6" s="4">
        <f t="shared" si="28"/>
        <v>0</v>
      </c>
      <c r="AQ6" s="4">
        <f t="shared" si="28"/>
        <v>1</v>
      </c>
      <c r="AR6" s="4">
        <f t="shared" si="28"/>
        <v>0</v>
      </c>
      <c r="AS6" s="4">
        <f t="shared" si="28"/>
        <v>0</v>
      </c>
      <c r="AU6" s="1" t="s">
        <v>47</v>
      </c>
      <c r="AV6" s="1">
        <f t="shared" si="7"/>
        <v>1</v>
      </c>
      <c r="AW6" s="1">
        <f t="shared" si="8"/>
        <v>0</v>
      </c>
      <c r="AX6" s="1">
        <f t="shared" si="9"/>
        <v>0</v>
      </c>
      <c r="AY6" s="1" t="s">
        <v>48</v>
      </c>
      <c r="BA6" s="1" t="s">
        <v>247</v>
      </c>
      <c r="BB6" s="4">
        <f t="shared" ref="BB6:BJ6" si="29">IF(ISNUMBER(SEARCH(BB$1,$BA6)), 1, 0)</f>
        <v>1</v>
      </c>
      <c r="BC6" s="4">
        <f t="shared" si="29"/>
        <v>1</v>
      </c>
      <c r="BD6" s="4">
        <f t="shared" si="29"/>
        <v>1</v>
      </c>
      <c r="BE6" s="4">
        <f t="shared" si="29"/>
        <v>1</v>
      </c>
      <c r="BF6" s="4">
        <f t="shared" si="29"/>
        <v>1</v>
      </c>
      <c r="BG6" s="4">
        <f t="shared" si="29"/>
        <v>0</v>
      </c>
      <c r="BH6" s="4">
        <f t="shared" si="29"/>
        <v>1</v>
      </c>
      <c r="BI6" s="4">
        <f t="shared" si="29"/>
        <v>0</v>
      </c>
      <c r="BJ6" s="4">
        <f t="shared" si="29"/>
        <v>1</v>
      </c>
      <c r="BK6" s="4">
        <f t="shared" si="11"/>
        <v>7</v>
      </c>
      <c r="BM6" s="1" t="s">
        <v>166</v>
      </c>
      <c r="BN6" s="1" t="s">
        <v>248</v>
      </c>
      <c r="BO6" s="4">
        <f t="shared" ref="BO6:BU6" si="30">IF(ISNUMBER(SEARCH(BO$1,$BN6)), 1, 0)</f>
        <v>0</v>
      </c>
      <c r="BP6" s="4">
        <f t="shared" si="30"/>
        <v>1</v>
      </c>
      <c r="BQ6" s="4">
        <f t="shared" si="30"/>
        <v>1</v>
      </c>
      <c r="BR6" s="4">
        <f t="shared" si="30"/>
        <v>0</v>
      </c>
      <c r="BS6" s="4">
        <f t="shared" si="30"/>
        <v>1</v>
      </c>
      <c r="BT6" s="4">
        <f t="shared" si="30"/>
        <v>0</v>
      </c>
      <c r="BU6" s="4">
        <f t="shared" si="30"/>
        <v>0</v>
      </c>
      <c r="CU6" s="1" t="s">
        <v>236</v>
      </c>
      <c r="CX6" s="1" t="s">
        <v>249</v>
      </c>
      <c r="CZ6" s="1" t="s">
        <v>250</v>
      </c>
      <c r="DC6" s="1" t="s">
        <v>238</v>
      </c>
    </row>
    <row r="7" spans="1:107" ht="15.75" customHeight="1" x14ac:dyDescent="0.25">
      <c r="A7" s="1" t="b">
        <v>0</v>
      </c>
      <c r="B7" s="3">
        <v>46168.581724537034</v>
      </c>
      <c r="C7" s="1" t="s">
        <v>714</v>
      </c>
      <c r="D7" s="1" t="s">
        <v>243</v>
      </c>
      <c r="E7" s="4">
        <f t="shared" ref="E7:K7" si="31">IF(ISNUMBER(SEARCH(E$1,$D7)), SEARCH(E$1,$D7), 0)</f>
        <v>1</v>
      </c>
      <c r="F7" s="4">
        <f t="shared" si="31"/>
        <v>30</v>
      </c>
      <c r="G7" s="4">
        <f t="shared" si="31"/>
        <v>105</v>
      </c>
      <c r="H7" s="4">
        <f t="shared" si="31"/>
        <v>0</v>
      </c>
      <c r="I7" s="4">
        <f t="shared" si="31"/>
        <v>0</v>
      </c>
      <c r="J7" s="4">
        <f t="shared" si="31"/>
        <v>0</v>
      </c>
      <c r="K7" s="4">
        <f t="shared" si="31"/>
        <v>0</v>
      </c>
      <c r="L7" s="4">
        <f t="shared" si="1"/>
        <v>105</v>
      </c>
      <c r="N7" s="1" t="s">
        <v>208</v>
      </c>
      <c r="O7" s="4">
        <f t="shared" ref="O7:T7" si="32">IF(ISNUMBER(SEARCH(O$1,$N7)), 1, 0)</f>
        <v>1</v>
      </c>
      <c r="P7" s="4">
        <f t="shared" si="32"/>
        <v>1</v>
      </c>
      <c r="Q7" s="4">
        <f t="shared" si="32"/>
        <v>0</v>
      </c>
      <c r="R7" s="4">
        <f t="shared" si="32"/>
        <v>1</v>
      </c>
      <c r="S7" s="4">
        <f t="shared" si="32"/>
        <v>0</v>
      </c>
      <c r="T7" s="4">
        <f t="shared" si="32"/>
        <v>0</v>
      </c>
      <c r="W7" s="1" t="str">
        <f t="shared" si="3"/>
        <v>False</v>
      </c>
      <c r="X7" s="1" t="str">
        <f t="shared" si="3"/>
        <v>False</v>
      </c>
      <c r="Y7" s="1" t="str">
        <f t="shared" si="3"/>
        <v>False</v>
      </c>
      <c r="Z7" s="1" t="str">
        <f t="shared" si="3"/>
        <v>False</v>
      </c>
      <c r="AA7" s="1" t="str">
        <f t="shared" si="3"/>
        <v>False</v>
      </c>
      <c r="AB7" s="1" t="s">
        <v>710</v>
      </c>
      <c r="AC7" s="4">
        <f t="shared" ref="AC7:AH7" si="33">IF(ISNUMBER(SEARCH(AC$1,$AB7)), 1, 0)</f>
        <v>0</v>
      </c>
      <c r="AD7" s="4">
        <f t="shared" si="33"/>
        <v>1</v>
      </c>
      <c r="AE7" s="4">
        <f t="shared" si="33"/>
        <v>0</v>
      </c>
      <c r="AF7" s="4">
        <f t="shared" si="33"/>
        <v>0</v>
      </c>
      <c r="AG7" s="4">
        <f t="shared" si="33"/>
        <v>0</v>
      </c>
      <c r="AH7" s="4">
        <f t="shared" si="33"/>
        <v>0</v>
      </c>
      <c r="AI7" s="1">
        <f t="shared" si="5"/>
        <v>1</v>
      </c>
      <c r="AJ7" s="1" t="s">
        <v>715</v>
      </c>
      <c r="AK7" s="1" t="s">
        <v>38</v>
      </c>
      <c r="AL7" s="4">
        <f t="shared" ref="AL7:AS7" si="34">IF(ISNUMBER(SEARCH(AL$1,$AK7)), 1, 0)</f>
        <v>0</v>
      </c>
      <c r="AM7" s="4">
        <f t="shared" si="34"/>
        <v>1</v>
      </c>
      <c r="AN7" s="4">
        <f t="shared" si="34"/>
        <v>0</v>
      </c>
      <c r="AO7" s="4">
        <f t="shared" si="34"/>
        <v>0</v>
      </c>
      <c r="AP7" s="4">
        <f t="shared" si="34"/>
        <v>0</v>
      </c>
      <c r="AQ7" s="4">
        <f t="shared" si="34"/>
        <v>0</v>
      </c>
      <c r="AR7" s="4">
        <f t="shared" si="34"/>
        <v>0</v>
      </c>
      <c r="AS7" s="4">
        <f t="shared" si="34"/>
        <v>0</v>
      </c>
      <c r="AU7" s="1" t="s">
        <v>47</v>
      </c>
      <c r="AV7" s="1">
        <f t="shared" si="7"/>
        <v>1</v>
      </c>
      <c r="AW7" s="1">
        <f t="shared" si="8"/>
        <v>0</v>
      </c>
      <c r="AX7" s="1">
        <f t="shared" si="9"/>
        <v>0</v>
      </c>
      <c r="AY7" s="1" t="s">
        <v>48</v>
      </c>
      <c r="BA7" s="1" t="s">
        <v>716</v>
      </c>
      <c r="BB7" s="4">
        <f t="shared" ref="BB7:BJ7" si="35">IF(ISNUMBER(SEARCH(BB$1,$BA7)), 1, 0)</f>
        <v>1</v>
      </c>
      <c r="BC7" s="4">
        <f t="shared" si="35"/>
        <v>0</v>
      </c>
      <c r="BD7" s="4">
        <f t="shared" si="35"/>
        <v>1</v>
      </c>
      <c r="BE7" s="4">
        <f t="shared" si="35"/>
        <v>1</v>
      </c>
      <c r="BF7" s="4">
        <f t="shared" si="35"/>
        <v>0</v>
      </c>
      <c r="BG7" s="4">
        <f t="shared" si="35"/>
        <v>0</v>
      </c>
      <c r="BH7" s="4">
        <f t="shared" si="35"/>
        <v>0</v>
      </c>
      <c r="BI7" s="4">
        <f t="shared" si="35"/>
        <v>0</v>
      </c>
      <c r="BJ7" s="4">
        <f t="shared" si="35"/>
        <v>0</v>
      </c>
      <c r="BK7" s="4">
        <f t="shared" si="11"/>
        <v>3</v>
      </c>
      <c r="BL7" s="1" t="s">
        <v>717</v>
      </c>
      <c r="BM7" s="1" t="s">
        <v>218</v>
      </c>
      <c r="BN7" s="1" t="s">
        <v>718</v>
      </c>
      <c r="BO7" s="4">
        <f t="shared" ref="BO7:BU7" si="36">IF(ISNUMBER(SEARCH(BO$1,$BN7)), 1, 0)</f>
        <v>1</v>
      </c>
      <c r="BP7" s="4">
        <f t="shared" si="36"/>
        <v>0</v>
      </c>
      <c r="BQ7" s="4">
        <f t="shared" si="36"/>
        <v>1</v>
      </c>
      <c r="BR7" s="4">
        <f t="shared" si="36"/>
        <v>0</v>
      </c>
      <c r="BS7" s="4">
        <f t="shared" si="36"/>
        <v>0</v>
      </c>
      <c r="BT7" s="4">
        <f t="shared" si="36"/>
        <v>1</v>
      </c>
      <c r="BU7" s="4">
        <f t="shared" si="36"/>
        <v>0</v>
      </c>
      <c r="BV7" s="1" t="s">
        <v>719</v>
      </c>
    </row>
    <row r="8" spans="1:107" ht="15.75" customHeight="1" x14ac:dyDescent="0.25">
      <c r="A8" s="1" t="b">
        <v>1</v>
      </c>
      <c r="B8" s="3">
        <v>46151.902384259258</v>
      </c>
      <c r="C8" s="1" t="s">
        <v>270</v>
      </c>
      <c r="D8" s="1" t="s">
        <v>271</v>
      </c>
      <c r="E8" s="4">
        <f t="shared" ref="E8:K8" si="37">IF(ISNUMBER(SEARCH(E$1,$D8)), SEARCH(E$1,$D8), 0)</f>
        <v>1</v>
      </c>
      <c r="F8" s="4">
        <f t="shared" si="37"/>
        <v>30</v>
      </c>
      <c r="G8" s="4">
        <f t="shared" si="37"/>
        <v>105</v>
      </c>
      <c r="H8" s="4">
        <f t="shared" si="37"/>
        <v>0</v>
      </c>
      <c r="I8" s="4">
        <f t="shared" si="37"/>
        <v>0</v>
      </c>
      <c r="J8" s="4">
        <f t="shared" si="37"/>
        <v>161</v>
      </c>
      <c r="K8" s="4">
        <f t="shared" si="37"/>
        <v>0</v>
      </c>
      <c r="L8" s="4">
        <f t="shared" si="1"/>
        <v>161</v>
      </c>
      <c r="N8" s="1" t="s">
        <v>272</v>
      </c>
      <c r="O8" s="4">
        <f t="shared" ref="O8:T8" si="38">IF(ISNUMBER(SEARCH(O$1,$N8)), 1, 0)</f>
        <v>1</v>
      </c>
      <c r="P8" s="4">
        <f t="shared" si="38"/>
        <v>1</v>
      </c>
      <c r="Q8" s="4">
        <f t="shared" si="38"/>
        <v>1</v>
      </c>
      <c r="R8" s="4">
        <f t="shared" si="38"/>
        <v>1</v>
      </c>
      <c r="S8" s="4">
        <f t="shared" si="38"/>
        <v>1</v>
      </c>
      <c r="T8" s="4">
        <f t="shared" si="38"/>
        <v>0</v>
      </c>
      <c r="V8" s="1" t="s">
        <v>24</v>
      </c>
      <c r="W8" s="1" t="str">
        <f t="shared" si="3"/>
        <v>False</v>
      </c>
      <c r="X8" s="1" t="str">
        <f t="shared" si="3"/>
        <v>False</v>
      </c>
      <c r="Y8" s="1" t="str">
        <f t="shared" si="3"/>
        <v>True</v>
      </c>
      <c r="Z8" s="1" t="str">
        <f t="shared" si="3"/>
        <v>False</v>
      </c>
      <c r="AA8" s="1" t="str">
        <f t="shared" si="3"/>
        <v>False</v>
      </c>
      <c r="AB8" s="1" t="s">
        <v>273</v>
      </c>
      <c r="AC8" s="4">
        <f t="shared" ref="AC8:AH8" si="39">IF(ISNUMBER(SEARCH(AC$1,$AB8)), 1, 0)</f>
        <v>0</v>
      </c>
      <c r="AD8" s="4">
        <f t="shared" si="39"/>
        <v>0</v>
      </c>
      <c r="AE8" s="4">
        <f t="shared" si="39"/>
        <v>0</v>
      </c>
      <c r="AF8" s="4">
        <f t="shared" si="39"/>
        <v>0</v>
      </c>
      <c r="AG8" s="4">
        <f t="shared" si="39"/>
        <v>1</v>
      </c>
      <c r="AH8" s="4">
        <f t="shared" si="39"/>
        <v>0</v>
      </c>
      <c r="AI8" s="1">
        <f t="shared" si="5"/>
        <v>1</v>
      </c>
      <c r="AJ8" s="1" t="s">
        <v>274</v>
      </c>
      <c r="AK8" s="1" t="s">
        <v>259</v>
      </c>
      <c r="AL8" s="4">
        <f t="shared" ref="AL8:AS8" si="40">IF(ISNUMBER(SEARCH(AL$1,$AK8)), 1, 0)</f>
        <v>1</v>
      </c>
      <c r="AM8" s="4">
        <f t="shared" si="40"/>
        <v>1</v>
      </c>
      <c r="AN8" s="4">
        <f t="shared" si="40"/>
        <v>0</v>
      </c>
      <c r="AO8" s="4">
        <f t="shared" si="40"/>
        <v>1</v>
      </c>
      <c r="AP8" s="4">
        <f t="shared" si="40"/>
        <v>0</v>
      </c>
      <c r="AQ8" s="4">
        <f t="shared" si="40"/>
        <v>0</v>
      </c>
      <c r="AR8" s="4">
        <f t="shared" si="40"/>
        <v>0</v>
      </c>
      <c r="AS8" s="4">
        <f t="shared" si="40"/>
        <v>0</v>
      </c>
      <c r="AU8" s="1" t="s">
        <v>48</v>
      </c>
      <c r="AV8" s="1">
        <f t="shared" si="7"/>
        <v>0</v>
      </c>
      <c r="AW8" s="1">
        <f t="shared" si="8"/>
        <v>1</v>
      </c>
      <c r="AX8" s="1">
        <f t="shared" si="9"/>
        <v>0</v>
      </c>
      <c r="AY8" s="1" t="s">
        <v>48</v>
      </c>
      <c r="BA8" s="1" t="s">
        <v>275</v>
      </c>
      <c r="BB8" s="4">
        <f t="shared" ref="BB8:BJ8" si="41">IF(ISNUMBER(SEARCH(BB$1,$BA8)), 1, 0)</f>
        <v>0</v>
      </c>
      <c r="BC8" s="4">
        <f t="shared" si="41"/>
        <v>1</v>
      </c>
      <c r="BD8" s="4">
        <f t="shared" si="41"/>
        <v>1</v>
      </c>
      <c r="BE8" s="4">
        <f t="shared" si="41"/>
        <v>1</v>
      </c>
      <c r="BF8" s="4">
        <f t="shared" si="41"/>
        <v>0</v>
      </c>
      <c r="BG8" s="4">
        <f t="shared" si="41"/>
        <v>0</v>
      </c>
      <c r="BH8" s="4">
        <f t="shared" si="41"/>
        <v>1</v>
      </c>
      <c r="BI8" s="4">
        <f t="shared" si="41"/>
        <v>1</v>
      </c>
      <c r="BJ8" s="4">
        <f t="shared" si="41"/>
        <v>1</v>
      </c>
      <c r="BK8" s="4">
        <f t="shared" si="11"/>
        <v>6</v>
      </c>
      <c r="BM8" s="1" t="s">
        <v>166</v>
      </c>
      <c r="BN8" s="1" t="s">
        <v>276</v>
      </c>
      <c r="BO8" s="4">
        <f t="shared" ref="BO8:BU8" si="42">IF(ISNUMBER(SEARCH(BO$1,$BN8)), 1, 0)</f>
        <v>1</v>
      </c>
      <c r="BP8" s="4">
        <f t="shared" si="42"/>
        <v>0</v>
      </c>
      <c r="BQ8" s="4">
        <f t="shared" si="42"/>
        <v>0</v>
      </c>
      <c r="BR8" s="4">
        <f t="shared" si="42"/>
        <v>1</v>
      </c>
      <c r="BS8" s="4">
        <f t="shared" si="42"/>
        <v>1</v>
      </c>
      <c r="BT8" s="4">
        <f t="shared" si="42"/>
        <v>0</v>
      </c>
      <c r="BU8" s="4">
        <f t="shared" si="42"/>
        <v>0</v>
      </c>
      <c r="BW8" s="1" t="s">
        <v>277</v>
      </c>
      <c r="BZ8" s="1" t="s">
        <v>278</v>
      </c>
      <c r="CR8" s="1" t="s">
        <v>178</v>
      </c>
      <c r="CT8" s="1" t="s">
        <v>279</v>
      </c>
      <c r="CU8" s="1" t="s">
        <v>280</v>
      </c>
      <c r="CW8" s="1" t="s">
        <v>281</v>
      </c>
      <c r="CX8" s="1" t="s">
        <v>282</v>
      </c>
      <c r="CZ8" s="1" t="s">
        <v>283</v>
      </c>
      <c r="DB8" s="1" t="s">
        <v>284</v>
      </c>
      <c r="DC8" s="1" t="s">
        <v>180</v>
      </c>
    </row>
    <row r="9" spans="1:107" ht="15.75" customHeight="1" x14ac:dyDescent="0.25">
      <c r="A9" s="1" t="b">
        <v>0</v>
      </c>
      <c r="B9" s="3">
        <v>46152.652453703704</v>
      </c>
      <c r="C9" s="1" t="s">
        <v>295</v>
      </c>
      <c r="D9" s="1" t="s">
        <v>296</v>
      </c>
      <c r="E9" s="4">
        <f t="shared" ref="E9:K9" si="43">IF(ISNUMBER(SEARCH(E$1,$D9)), SEARCH(E$1,$D9), 0)</f>
        <v>1</v>
      </c>
      <c r="F9" s="4">
        <f t="shared" si="43"/>
        <v>30</v>
      </c>
      <c r="G9" s="4">
        <f t="shared" si="43"/>
        <v>105</v>
      </c>
      <c r="H9" s="4">
        <f t="shared" si="43"/>
        <v>161</v>
      </c>
      <c r="I9" s="4">
        <f t="shared" si="43"/>
        <v>199</v>
      </c>
      <c r="J9" s="4">
        <f t="shared" si="43"/>
        <v>231</v>
      </c>
      <c r="K9" s="4">
        <f t="shared" si="43"/>
        <v>0</v>
      </c>
      <c r="L9" s="4">
        <f t="shared" si="1"/>
        <v>231</v>
      </c>
      <c r="N9" s="1" t="s">
        <v>240</v>
      </c>
      <c r="O9" s="4">
        <f t="shared" ref="O9:T9" si="44">IF(ISNUMBER(SEARCH(O$1,$N9)), 1, 0)</f>
        <v>1</v>
      </c>
      <c r="P9" s="4">
        <f t="shared" si="44"/>
        <v>1</v>
      </c>
      <c r="Q9" s="4">
        <f t="shared" si="44"/>
        <v>1</v>
      </c>
      <c r="R9" s="4">
        <f t="shared" si="44"/>
        <v>1</v>
      </c>
      <c r="S9" s="4">
        <f t="shared" si="44"/>
        <v>0</v>
      </c>
      <c r="T9" s="4">
        <f t="shared" si="44"/>
        <v>0</v>
      </c>
      <c r="V9" s="1" t="s">
        <v>24</v>
      </c>
      <c r="W9" s="1" t="str">
        <f t="shared" si="3"/>
        <v>False</v>
      </c>
      <c r="X9" s="1" t="str">
        <f t="shared" si="3"/>
        <v>False</v>
      </c>
      <c r="Y9" s="1" t="str">
        <f t="shared" si="3"/>
        <v>True</v>
      </c>
      <c r="Z9" s="1" t="str">
        <f t="shared" si="3"/>
        <v>False</v>
      </c>
      <c r="AA9" s="1" t="str">
        <f t="shared" si="3"/>
        <v>False</v>
      </c>
      <c r="AB9" s="1" t="s">
        <v>33</v>
      </c>
      <c r="AC9" s="4">
        <f t="shared" ref="AC9:AH9" si="45">IF(ISNUMBER(SEARCH(AC$1,$AB9)), 1, 0)</f>
        <v>0</v>
      </c>
      <c r="AD9" s="4">
        <f t="shared" si="45"/>
        <v>0</v>
      </c>
      <c r="AE9" s="4">
        <f t="shared" si="45"/>
        <v>0</v>
      </c>
      <c r="AF9" s="4">
        <f t="shared" si="45"/>
        <v>0</v>
      </c>
      <c r="AG9" s="4">
        <f t="shared" si="45"/>
        <v>0</v>
      </c>
      <c r="AH9" s="4">
        <f t="shared" si="45"/>
        <v>1</v>
      </c>
      <c r="AI9" s="1">
        <f t="shared" si="5"/>
        <v>1</v>
      </c>
      <c r="AJ9" s="1"/>
      <c r="AK9" s="1" t="s">
        <v>38</v>
      </c>
      <c r="AL9" s="4">
        <f t="shared" ref="AL9:AS9" si="46">IF(ISNUMBER(SEARCH(AL$1,$AK9)), 1, 0)</f>
        <v>0</v>
      </c>
      <c r="AM9" s="4">
        <f t="shared" si="46"/>
        <v>1</v>
      </c>
      <c r="AN9" s="4">
        <f t="shared" si="46"/>
        <v>0</v>
      </c>
      <c r="AO9" s="4">
        <f t="shared" si="46"/>
        <v>0</v>
      </c>
      <c r="AP9" s="4">
        <f t="shared" si="46"/>
        <v>0</v>
      </c>
      <c r="AQ9" s="4">
        <f t="shared" si="46"/>
        <v>0</v>
      </c>
      <c r="AR9" s="4">
        <f t="shared" si="46"/>
        <v>0</v>
      </c>
      <c r="AS9" s="4">
        <f t="shared" si="46"/>
        <v>0</v>
      </c>
      <c r="AU9" s="1" t="s">
        <v>48</v>
      </c>
      <c r="AV9" s="1">
        <f t="shared" si="7"/>
        <v>0</v>
      </c>
      <c r="AW9" s="1">
        <f t="shared" si="8"/>
        <v>1</v>
      </c>
      <c r="AX9" s="1">
        <f t="shared" si="9"/>
        <v>0</v>
      </c>
      <c r="AY9" s="1" t="s">
        <v>48</v>
      </c>
      <c r="BA9" s="1" t="s">
        <v>297</v>
      </c>
      <c r="BB9" s="4">
        <f t="shared" ref="BB9:BJ9" si="47">IF(ISNUMBER(SEARCH(BB$1,$BA9)), 1, 0)</f>
        <v>1</v>
      </c>
      <c r="BC9" s="4">
        <f t="shared" si="47"/>
        <v>0</v>
      </c>
      <c r="BD9" s="4">
        <f t="shared" si="47"/>
        <v>1</v>
      </c>
      <c r="BE9" s="4">
        <f t="shared" si="47"/>
        <v>0</v>
      </c>
      <c r="BF9" s="4">
        <f t="shared" si="47"/>
        <v>1</v>
      </c>
      <c r="BG9" s="4">
        <f t="shared" si="47"/>
        <v>1</v>
      </c>
      <c r="BH9" s="4">
        <f t="shared" si="47"/>
        <v>0</v>
      </c>
      <c r="BI9" s="4">
        <f t="shared" si="47"/>
        <v>0</v>
      </c>
      <c r="BJ9" s="4">
        <f t="shared" si="47"/>
        <v>1</v>
      </c>
      <c r="BK9" s="4">
        <f t="shared" si="11"/>
        <v>5</v>
      </c>
      <c r="BM9" s="1" t="s">
        <v>190</v>
      </c>
      <c r="BN9" s="1" t="s">
        <v>298</v>
      </c>
      <c r="BO9" s="4">
        <f t="shared" ref="BO9:BU9" si="48">IF(ISNUMBER(SEARCH(BO$1,$BN9)), 1, 0)</f>
        <v>0</v>
      </c>
      <c r="BP9" s="4">
        <f t="shared" si="48"/>
        <v>0</v>
      </c>
      <c r="BQ9" s="4">
        <f t="shared" si="48"/>
        <v>0</v>
      </c>
      <c r="BR9" s="4">
        <f t="shared" si="48"/>
        <v>1</v>
      </c>
      <c r="BS9" s="4">
        <f t="shared" si="48"/>
        <v>1</v>
      </c>
      <c r="BT9" s="4">
        <f t="shared" si="48"/>
        <v>0</v>
      </c>
      <c r="BU9" s="4">
        <f t="shared" si="48"/>
        <v>1</v>
      </c>
      <c r="BV9" s="1" t="s">
        <v>299</v>
      </c>
      <c r="BY9" s="1" t="s">
        <v>300</v>
      </c>
    </row>
    <row r="10" spans="1:107" ht="15.75" customHeight="1" x14ac:dyDescent="0.25">
      <c r="A10" s="1" t="b">
        <v>1</v>
      </c>
      <c r="B10" s="3">
        <v>46161.533495370371</v>
      </c>
      <c r="C10" s="1" t="s">
        <v>442</v>
      </c>
      <c r="D10" s="1" t="s">
        <v>425</v>
      </c>
      <c r="E10" s="4">
        <f t="shared" ref="E10:K10" si="49">IF(ISNUMBER(SEARCH(E$1,$D10)), SEARCH(E$1,$D10), 0)</f>
        <v>1</v>
      </c>
      <c r="F10" s="4">
        <f t="shared" si="49"/>
        <v>30</v>
      </c>
      <c r="G10" s="4">
        <f t="shared" si="49"/>
        <v>105</v>
      </c>
      <c r="H10" s="4">
        <f t="shared" si="49"/>
        <v>161</v>
      </c>
      <c r="I10" s="4">
        <f t="shared" si="49"/>
        <v>199</v>
      </c>
      <c r="J10" s="4">
        <f t="shared" si="49"/>
        <v>231</v>
      </c>
      <c r="K10" s="4">
        <f t="shared" si="49"/>
        <v>268</v>
      </c>
      <c r="L10" s="4">
        <f t="shared" si="1"/>
        <v>268</v>
      </c>
      <c r="O10" s="4">
        <f t="shared" ref="O10:T10" si="50">IF(ISNUMBER(SEARCH(O$1,$N10)), 1, 0)</f>
        <v>0</v>
      </c>
      <c r="P10" s="4">
        <f t="shared" si="50"/>
        <v>0</v>
      </c>
      <c r="Q10" s="4">
        <f t="shared" si="50"/>
        <v>0</v>
      </c>
      <c r="R10" s="4">
        <f t="shared" si="50"/>
        <v>0</v>
      </c>
      <c r="S10" s="4">
        <f t="shared" si="50"/>
        <v>0</v>
      </c>
      <c r="T10" s="4">
        <f t="shared" si="50"/>
        <v>0</v>
      </c>
      <c r="W10" s="1" t="str">
        <f t="shared" si="3"/>
        <v>False</v>
      </c>
      <c r="X10" s="1" t="str">
        <f t="shared" si="3"/>
        <v>False</v>
      </c>
      <c r="Y10" s="1" t="str">
        <f t="shared" si="3"/>
        <v>False</v>
      </c>
      <c r="Z10" s="1" t="str">
        <f t="shared" si="3"/>
        <v>False</v>
      </c>
      <c r="AA10" s="1" t="str">
        <f t="shared" si="3"/>
        <v>False</v>
      </c>
      <c r="AB10" s="1" t="s">
        <v>443</v>
      </c>
      <c r="AC10" s="4">
        <f t="shared" ref="AC10:AH10" si="51">IF(ISNUMBER(SEARCH(AC$1,$AB10)), 1, 0)</f>
        <v>0</v>
      </c>
      <c r="AD10" s="4">
        <f t="shared" si="51"/>
        <v>1</v>
      </c>
      <c r="AE10" s="4">
        <f t="shared" si="51"/>
        <v>1</v>
      </c>
      <c r="AF10" s="4">
        <f t="shared" si="51"/>
        <v>1</v>
      </c>
      <c r="AG10" s="4">
        <f t="shared" si="51"/>
        <v>0</v>
      </c>
      <c r="AH10" s="4">
        <f t="shared" si="51"/>
        <v>1</v>
      </c>
      <c r="AI10" s="1">
        <f t="shared" si="5"/>
        <v>4</v>
      </c>
      <c r="AL10" s="4">
        <f t="shared" ref="AL10:AS10" si="52">IF(ISNUMBER(SEARCH(AL$1,$AK10)), 1, 0)</f>
        <v>0</v>
      </c>
      <c r="AM10" s="4">
        <f t="shared" si="52"/>
        <v>0</v>
      </c>
      <c r="AN10" s="4">
        <f t="shared" si="52"/>
        <v>0</v>
      </c>
      <c r="AO10" s="4">
        <f t="shared" si="52"/>
        <v>0</v>
      </c>
      <c r="AP10" s="4">
        <f t="shared" si="52"/>
        <v>0</v>
      </c>
      <c r="AQ10" s="4">
        <f t="shared" si="52"/>
        <v>0</v>
      </c>
      <c r="AR10" s="4">
        <f t="shared" si="52"/>
        <v>0</v>
      </c>
      <c r="AS10" s="4">
        <f t="shared" si="52"/>
        <v>0</v>
      </c>
      <c r="AV10" s="1">
        <f t="shared" si="7"/>
        <v>0</v>
      </c>
      <c r="AW10" s="1">
        <f t="shared" si="8"/>
        <v>0</v>
      </c>
      <c r="AX10" s="1">
        <f t="shared" si="9"/>
        <v>0</v>
      </c>
      <c r="BB10" s="4">
        <f t="shared" ref="BB10:BJ10" si="53">IF(ISNUMBER(SEARCH(BB$1,$BA10)), 1, 0)</f>
        <v>0</v>
      </c>
      <c r="BC10" s="4">
        <f t="shared" si="53"/>
        <v>0</v>
      </c>
      <c r="BD10" s="4">
        <f t="shared" si="53"/>
        <v>0</v>
      </c>
      <c r="BE10" s="4">
        <f t="shared" si="53"/>
        <v>0</v>
      </c>
      <c r="BF10" s="4">
        <f t="shared" si="53"/>
        <v>0</v>
      </c>
      <c r="BG10" s="4">
        <f t="shared" si="53"/>
        <v>0</v>
      </c>
      <c r="BH10" s="4">
        <f t="shared" si="53"/>
        <v>0</v>
      </c>
      <c r="BI10" s="4">
        <f t="shared" si="53"/>
        <v>0</v>
      </c>
      <c r="BJ10" s="4">
        <f t="shared" si="53"/>
        <v>0</v>
      </c>
      <c r="BK10" s="4">
        <f t="shared" si="11"/>
        <v>0</v>
      </c>
      <c r="BO10" s="4">
        <f t="shared" ref="BO10:BU10" si="54">IF(ISNUMBER(SEARCH(BO$1,$BN10)), 1, 0)</f>
        <v>0</v>
      </c>
      <c r="BP10" s="4">
        <f t="shared" si="54"/>
        <v>0</v>
      </c>
      <c r="BQ10" s="4">
        <f t="shared" si="54"/>
        <v>0</v>
      </c>
      <c r="BR10" s="4">
        <f t="shared" si="54"/>
        <v>0</v>
      </c>
      <c r="BS10" s="4">
        <f t="shared" si="54"/>
        <v>0</v>
      </c>
      <c r="BT10" s="4">
        <f t="shared" si="54"/>
        <v>0</v>
      </c>
      <c r="BU10" s="4">
        <f t="shared" si="54"/>
        <v>0</v>
      </c>
      <c r="CB10" s="1" t="s">
        <v>48</v>
      </c>
      <c r="CC10" s="1" t="s">
        <v>48</v>
      </c>
      <c r="CD10" s="1" t="s">
        <v>444</v>
      </c>
      <c r="CF10" s="1" t="s">
        <v>387</v>
      </c>
      <c r="CG10" s="1" t="s">
        <v>388</v>
      </c>
      <c r="CH10" s="1" t="s">
        <v>445</v>
      </c>
      <c r="CJ10" s="1" t="s">
        <v>446</v>
      </c>
      <c r="CL10" s="1" t="s">
        <v>447</v>
      </c>
      <c r="CM10" s="1" t="s">
        <v>48</v>
      </c>
      <c r="CN10" s="1" t="s">
        <v>448</v>
      </c>
      <c r="CR10" s="1" t="s">
        <v>449</v>
      </c>
      <c r="CU10" s="1" t="s">
        <v>449</v>
      </c>
      <c r="CX10" s="1" t="s">
        <v>450</v>
      </c>
      <c r="CZ10" s="1" t="s">
        <v>451</v>
      </c>
      <c r="DC10" s="1" t="s">
        <v>238</v>
      </c>
    </row>
    <row r="11" spans="1:107" ht="15.75" customHeight="1" x14ac:dyDescent="0.25">
      <c r="A11" s="1" t="b">
        <v>1</v>
      </c>
      <c r="B11" s="3">
        <v>46158.708622685182</v>
      </c>
      <c r="C11" s="1" t="s">
        <v>390</v>
      </c>
      <c r="D11" s="1" t="s">
        <v>391</v>
      </c>
      <c r="E11" s="4">
        <f t="shared" ref="E11:K11" si="55">IF(ISNUMBER(SEARCH(E$1,$D11)), SEARCH(E$1,$D11), 0)</f>
        <v>1</v>
      </c>
      <c r="F11" s="4">
        <f t="shared" si="55"/>
        <v>30</v>
      </c>
      <c r="G11" s="4">
        <f t="shared" si="55"/>
        <v>105</v>
      </c>
      <c r="H11" s="4">
        <f t="shared" si="55"/>
        <v>161</v>
      </c>
      <c r="I11" s="4">
        <f t="shared" si="55"/>
        <v>199</v>
      </c>
      <c r="J11" s="4">
        <f t="shared" si="55"/>
        <v>231</v>
      </c>
      <c r="K11" s="4">
        <f t="shared" si="55"/>
        <v>268</v>
      </c>
      <c r="L11" s="4">
        <f t="shared" si="1"/>
        <v>268</v>
      </c>
      <c r="N11" s="1" t="s">
        <v>160</v>
      </c>
      <c r="O11" s="4">
        <f t="shared" ref="O11:T11" si="56">IF(ISNUMBER(SEARCH(O$1,$N11)), 1, 0)</f>
        <v>1</v>
      </c>
      <c r="P11" s="4">
        <f t="shared" si="56"/>
        <v>1</v>
      </c>
      <c r="Q11" s="4">
        <f t="shared" si="56"/>
        <v>1</v>
      </c>
      <c r="R11" s="4">
        <f t="shared" si="56"/>
        <v>1</v>
      </c>
      <c r="S11" s="4">
        <f t="shared" si="56"/>
        <v>1</v>
      </c>
      <c r="T11" s="4">
        <f t="shared" si="56"/>
        <v>1</v>
      </c>
      <c r="W11" s="1" t="str">
        <f t="shared" si="3"/>
        <v>False</v>
      </c>
      <c r="X11" s="1" t="str">
        <f t="shared" si="3"/>
        <v>False</v>
      </c>
      <c r="Y11" s="1" t="str">
        <f t="shared" si="3"/>
        <v>False</v>
      </c>
      <c r="Z11" s="1" t="str">
        <f t="shared" si="3"/>
        <v>False</v>
      </c>
      <c r="AA11" s="1" t="str">
        <f t="shared" si="3"/>
        <v>False</v>
      </c>
      <c r="AB11" s="1" t="s">
        <v>392</v>
      </c>
      <c r="AC11" s="4">
        <f t="shared" ref="AC11:AH11" si="57">IF(ISNUMBER(SEARCH(AC$1,$AB11)), 1, 0)</f>
        <v>0</v>
      </c>
      <c r="AD11" s="4">
        <f t="shared" si="57"/>
        <v>1</v>
      </c>
      <c r="AE11" s="4">
        <f t="shared" si="57"/>
        <v>1</v>
      </c>
      <c r="AF11" s="4">
        <f t="shared" si="57"/>
        <v>0</v>
      </c>
      <c r="AG11" s="4">
        <f t="shared" si="57"/>
        <v>0</v>
      </c>
      <c r="AH11" s="4">
        <f t="shared" si="57"/>
        <v>0</v>
      </c>
      <c r="AI11" s="1">
        <f t="shared" si="5"/>
        <v>2</v>
      </c>
      <c r="AL11" s="4">
        <f t="shared" ref="AL11:AS11" si="58">IF(ISNUMBER(SEARCH(AL$1,$AK11)), 1, 0)</f>
        <v>0</v>
      </c>
      <c r="AM11" s="4">
        <f t="shared" si="58"/>
        <v>0</v>
      </c>
      <c r="AN11" s="4">
        <f t="shared" si="58"/>
        <v>0</v>
      </c>
      <c r="AO11" s="4">
        <f t="shared" si="58"/>
        <v>0</v>
      </c>
      <c r="AP11" s="4">
        <f t="shared" si="58"/>
        <v>0</v>
      </c>
      <c r="AQ11" s="4">
        <f t="shared" si="58"/>
        <v>0</v>
      </c>
      <c r="AR11" s="4">
        <f t="shared" si="58"/>
        <v>0</v>
      </c>
      <c r="AS11" s="4">
        <f t="shared" si="58"/>
        <v>0</v>
      </c>
      <c r="AV11" s="1">
        <f t="shared" si="7"/>
        <v>0</v>
      </c>
      <c r="AW11" s="1">
        <f t="shared" si="8"/>
        <v>0</v>
      </c>
      <c r="AX11" s="1">
        <f t="shared" si="9"/>
        <v>0</v>
      </c>
      <c r="BB11" s="4">
        <f t="shared" ref="BB11:BJ11" si="59">IF(ISNUMBER(SEARCH(BB$1,$BA11)), 1, 0)</f>
        <v>0</v>
      </c>
      <c r="BC11" s="4">
        <f t="shared" si="59"/>
        <v>0</v>
      </c>
      <c r="BD11" s="4">
        <f t="shared" si="59"/>
        <v>0</v>
      </c>
      <c r="BE11" s="4">
        <f t="shared" si="59"/>
        <v>0</v>
      </c>
      <c r="BF11" s="4">
        <f t="shared" si="59"/>
        <v>0</v>
      </c>
      <c r="BG11" s="4">
        <f t="shared" si="59"/>
        <v>0</v>
      </c>
      <c r="BH11" s="4">
        <f t="shared" si="59"/>
        <v>0</v>
      </c>
      <c r="BI11" s="4">
        <f t="shared" si="59"/>
        <v>0</v>
      </c>
      <c r="BJ11" s="4">
        <f t="shared" si="59"/>
        <v>0</v>
      </c>
      <c r="BK11" s="4">
        <f t="shared" si="11"/>
        <v>0</v>
      </c>
      <c r="BO11" s="4">
        <f t="shared" ref="BO11:BU11" si="60">IF(ISNUMBER(SEARCH(BO$1,$BN11)), 1, 0)</f>
        <v>0</v>
      </c>
      <c r="BP11" s="4">
        <f t="shared" si="60"/>
        <v>0</v>
      </c>
      <c r="BQ11" s="4">
        <f t="shared" si="60"/>
        <v>0</v>
      </c>
      <c r="BR11" s="4">
        <f t="shared" si="60"/>
        <v>0</v>
      </c>
      <c r="BS11" s="4">
        <f t="shared" si="60"/>
        <v>0</v>
      </c>
      <c r="BT11" s="4">
        <f t="shared" si="60"/>
        <v>0</v>
      </c>
      <c r="BU11" s="4">
        <f t="shared" si="60"/>
        <v>0</v>
      </c>
      <c r="CB11" s="1" t="s">
        <v>48</v>
      </c>
      <c r="CC11" s="1" t="s">
        <v>48</v>
      </c>
    </row>
    <row r="12" spans="1:107" ht="15.75" customHeight="1" x14ac:dyDescent="0.25">
      <c r="A12" s="1" t="b">
        <v>0</v>
      </c>
      <c r="B12" s="3">
        <v>46155.403379629628</v>
      </c>
      <c r="C12" s="1" t="s">
        <v>363</v>
      </c>
      <c r="D12" s="1" t="s">
        <v>364</v>
      </c>
      <c r="E12" s="4">
        <f t="shared" ref="E12:K12" si="61">IF(ISNUMBER(SEARCH(E$1,$D12)), SEARCH(E$1,$D12), 0)</f>
        <v>0</v>
      </c>
      <c r="F12" s="4">
        <f t="shared" si="61"/>
        <v>1</v>
      </c>
      <c r="G12" s="4">
        <f t="shared" si="61"/>
        <v>76</v>
      </c>
      <c r="H12" s="4">
        <f t="shared" si="61"/>
        <v>0</v>
      </c>
      <c r="I12" s="4">
        <f t="shared" si="61"/>
        <v>0</v>
      </c>
      <c r="J12" s="4">
        <f t="shared" si="61"/>
        <v>0</v>
      </c>
      <c r="K12" s="4">
        <f t="shared" si="61"/>
        <v>132</v>
      </c>
      <c r="L12" s="4">
        <f t="shared" si="1"/>
        <v>132</v>
      </c>
      <c r="N12" s="1" t="s">
        <v>187</v>
      </c>
      <c r="O12" s="4">
        <f t="shared" ref="O12:T12" si="62">IF(ISNUMBER(SEARCH(O$1,$N12)), 1, 0)</f>
        <v>1</v>
      </c>
      <c r="P12" s="4">
        <f t="shared" si="62"/>
        <v>1</v>
      </c>
      <c r="Q12" s="4">
        <f t="shared" si="62"/>
        <v>1</v>
      </c>
      <c r="R12" s="4">
        <f t="shared" si="62"/>
        <v>1</v>
      </c>
      <c r="S12" s="4">
        <f t="shared" si="62"/>
        <v>1</v>
      </c>
      <c r="T12" s="4">
        <f t="shared" si="62"/>
        <v>1</v>
      </c>
      <c r="W12" s="1" t="str">
        <f t="shared" si="3"/>
        <v>False</v>
      </c>
      <c r="X12" s="1" t="str">
        <f t="shared" si="3"/>
        <v>False</v>
      </c>
      <c r="Y12" s="1" t="str">
        <f t="shared" si="3"/>
        <v>False</v>
      </c>
      <c r="Z12" s="1" t="str">
        <f t="shared" si="3"/>
        <v>False</v>
      </c>
      <c r="AA12" s="1" t="str">
        <f t="shared" si="3"/>
        <v>False</v>
      </c>
      <c r="AB12" s="1" t="s">
        <v>31</v>
      </c>
      <c r="AC12" s="4">
        <f t="shared" ref="AC12:AH12" si="63">IF(ISNUMBER(SEARCH(AC$1,$AB12)), 1, 0)</f>
        <v>0</v>
      </c>
      <c r="AD12" s="4">
        <f t="shared" si="63"/>
        <v>0</v>
      </c>
      <c r="AE12" s="4">
        <f t="shared" si="63"/>
        <v>0</v>
      </c>
      <c r="AF12" s="4">
        <f t="shared" si="63"/>
        <v>1</v>
      </c>
      <c r="AG12" s="4">
        <f t="shared" si="63"/>
        <v>0</v>
      </c>
      <c r="AH12" s="4">
        <f t="shared" si="63"/>
        <v>0</v>
      </c>
      <c r="AI12" s="1">
        <f t="shared" si="5"/>
        <v>1</v>
      </c>
      <c r="AK12" s="1" t="s">
        <v>365</v>
      </c>
      <c r="AL12" s="4">
        <f t="shared" ref="AL12:AS12" si="64">IF(ISNUMBER(SEARCH(AL$1,$AK12)), 1, 0)</f>
        <v>1</v>
      </c>
      <c r="AM12" s="4">
        <f t="shared" si="64"/>
        <v>1</v>
      </c>
      <c r="AN12" s="4">
        <f t="shared" si="64"/>
        <v>1</v>
      </c>
      <c r="AO12" s="4">
        <f t="shared" si="64"/>
        <v>1</v>
      </c>
      <c r="AP12" s="4">
        <f t="shared" si="64"/>
        <v>1</v>
      </c>
      <c r="AQ12" s="4">
        <f t="shared" si="64"/>
        <v>1</v>
      </c>
      <c r="AR12" s="4">
        <f t="shared" si="64"/>
        <v>1</v>
      </c>
      <c r="AS12" s="4">
        <f t="shared" si="64"/>
        <v>1</v>
      </c>
      <c r="AU12" s="1" t="s">
        <v>47</v>
      </c>
      <c r="AV12" s="1">
        <f t="shared" si="7"/>
        <v>1</v>
      </c>
      <c r="AW12" s="1">
        <f t="shared" si="8"/>
        <v>0</v>
      </c>
      <c r="AX12" s="1">
        <f t="shared" si="9"/>
        <v>0</v>
      </c>
      <c r="AY12" s="1" t="s">
        <v>47</v>
      </c>
      <c r="AZ12" s="1" t="s">
        <v>48</v>
      </c>
      <c r="BA12" s="1" t="s">
        <v>165</v>
      </c>
      <c r="BB12" s="4">
        <f t="shared" ref="BB12:BJ12" si="65">IF(ISNUMBER(SEARCH(BB$1,$BA12)), 1, 0)</f>
        <v>1</v>
      </c>
      <c r="BC12" s="4">
        <f t="shared" si="65"/>
        <v>1</v>
      </c>
      <c r="BD12" s="4">
        <f t="shared" si="65"/>
        <v>1</v>
      </c>
      <c r="BE12" s="4">
        <f t="shared" si="65"/>
        <v>1</v>
      </c>
      <c r="BF12" s="4">
        <f t="shared" si="65"/>
        <v>1</v>
      </c>
      <c r="BG12" s="4">
        <f t="shared" si="65"/>
        <v>1</v>
      </c>
      <c r="BH12" s="4">
        <f t="shared" si="65"/>
        <v>1</v>
      </c>
      <c r="BI12" s="4">
        <f t="shared" si="65"/>
        <v>1</v>
      </c>
      <c r="BJ12" s="4">
        <f t="shared" si="65"/>
        <v>1</v>
      </c>
      <c r="BK12" s="4">
        <f t="shared" si="11"/>
        <v>9</v>
      </c>
      <c r="BO12" s="4">
        <f t="shared" ref="BO12:BU12" si="66">IF(ISNUMBER(SEARCH(BO$1,$BN12)), 1, 0)</f>
        <v>0</v>
      </c>
      <c r="BP12" s="4">
        <f t="shared" si="66"/>
        <v>0</v>
      </c>
      <c r="BQ12" s="4">
        <f t="shared" si="66"/>
        <v>0</v>
      </c>
      <c r="BR12" s="4">
        <f t="shared" si="66"/>
        <v>0</v>
      </c>
      <c r="BS12" s="4">
        <f t="shared" si="66"/>
        <v>0</v>
      </c>
      <c r="BT12" s="4">
        <f t="shared" si="66"/>
        <v>0</v>
      </c>
      <c r="BU12" s="4">
        <f t="shared" si="66"/>
        <v>0</v>
      </c>
    </row>
    <row r="13" spans="1:107" ht="15.75" customHeight="1" x14ac:dyDescent="0.25">
      <c r="A13" s="1" t="b">
        <v>1</v>
      </c>
      <c r="B13" s="3">
        <v>46171.379513888889</v>
      </c>
      <c r="C13" s="1" t="s">
        <v>775</v>
      </c>
      <c r="D13" s="1" t="s">
        <v>776</v>
      </c>
      <c r="E13" s="4">
        <f t="shared" ref="E13:K13" si="67">IF(ISNUMBER(SEARCH(E$1,$D13)), SEARCH(E$1,$D13), 0)</f>
        <v>0</v>
      </c>
      <c r="F13" s="4">
        <f t="shared" si="67"/>
        <v>1</v>
      </c>
      <c r="G13" s="4">
        <f t="shared" si="67"/>
        <v>76</v>
      </c>
      <c r="H13" s="4">
        <f t="shared" si="67"/>
        <v>0</v>
      </c>
      <c r="I13" s="4">
        <f t="shared" si="67"/>
        <v>0</v>
      </c>
      <c r="J13" s="4">
        <f t="shared" si="67"/>
        <v>132</v>
      </c>
      <c r="K13" s="4">
        <f t="shared" si="67"/>
        <v>0</v>
      </c>
      <c r="L13" s="4">
        <f t="shared" si="1"/>
        <v>132</v>
      </c>
      <c r="N13" s="1" t="s">
        <v>244</v>
      </c>
      <c r="O13" s="4">
        <f t="shared" ref="O13:T13" si="68">IF(ISNUMBER(SEARCH(O$1,$N13)), 1, 0)</f>
        <v>1</v>
      </c>
      <c r="P13" s="4">
        <f t="shared" si="68"/>
        <v>0</v>
      </c>
      <c r="Q13" s="4">
        <f t="shared" si="68"/>
        <v>1</v>
      </c>
      <c r="R13" s="4">
        <f t="shared" si="68"/>
        <v>1</v>
      </c>
      <c r="S13" s="4">
        <f t="shared" si="68"/>
        <v>0</v>
      </c>
      <c r="T13" s="4">
        <f t="shared" si="68"/>
        <v>0</v>
      </c>
      <c r="V13" s="1" t="s">
        <v>24</v>
      </c>
      <c r="W13" s="1" t="str">
        <f t="shared" ref="W13:AA18" si="69">IF(W$1=$V13, "True", "False")</f>
        <v>False</v>
      </c>
      <c r="X13" s="1" t="str">
        <f t="shared" si="69"/>
        <v>False</v>
      </c>
      <c r="Y13" s="1" t="str">
        <f t="shared" si="69"/>
        <v>True</v>
      </c>
      <c r="Z13" s="1" t="str">
        <f t="shared" si="69"/>
        <v>False</v>
      </c>
      <c r="AA13" s="1" t="str">
        <f t="shared" si="69"/>
        <v>False</v>
      </c>
      <c r="AB13" s="1" t="s">
        <v>28</v>
      </c>
      <c r="AC13" s="4">
        <f t="shared" ref="AC13:AH13" si="70">IF(ISNUMBER(SEARCH(AC$1,$AB13)), 1, 0)</f>
        <v>1</v>
      </c>
      <c r="AD13" s="4">
        <f t="shared" si="70"/>
        <v>0</v>
      </c>
      <c r="AE13" s="4">
        <f t="shared" si="70"/>
        <v>0</v>
      </c>
      <c r="AF13" s="4">
        <f t="shared" si="70"/>
        <v>0</v>
      </c>
      <c r="AG13" s="4">
        <f t="shared" si="70"/>
        <v>0</v>
      </c>
      <c r="AH13" s="4">
        <f t="shared" si="70"/>
        <v>0</v>
      </c>
      <c r="AI13" s="1">
        <f t="shared" si="5"/>
        <v>1</v>
      </c>
      <c r="AK13" s="1" t="s">
        <v>470</v>
      </c>
      <c r="AL13" s="4">
        <f t="shared" ref="AL13:AS13" si="71">IF(ISNUMBER(SEARCH(AL$1,$AK13)), 1, 0)</f>
        <v>0</v>
      </c>
      <c r="AM13" s="4">
        <f t="shared" si="71"/>
        <v>1</v>
      </c>
      <c r="AN13" s="4">
        <f t="shared" si="71"/>
        <v>0</v>
      </c>
      <c r="AO13" s="4">
        <f t="shared" si="71"/>
        <v>1</v>
      </c>
      <c r="AP13" s="4">
        <f t="shared" si="71"/>
        <v>0</v>
      </c>
      <c r="AQ13" s="4">
        <f t="shared" si="71"/>
        <v>1</v>
      </c>
      <c r="AR13" s="4">
        <f t="shared" si="71"/>
        <v>0</v>
      </c>
      <c r="AS13" s="4">
        <f t="shared" si="71"/>
        <v>0</v>
      </c>
      <c r="AU13" s="1" t="s">
        <v>48</v>
      </c>
      <c r="AV13" s="1">
        <f t="shared" si="7"/>
        <v>0</v>
      </c>
      <c r="AW13" s="1">
        <f t="shared" si="8"/>
        <v>1</v>
      </c>
      <c r="AX13" s="1">
        <f t="shared" si="9"/>
        <v>0</v>
      </c>
      <c r="AY13" s="1" t="s">
        <v>48</v>
      </c>
      <c r="BA13" s="1" t="s">
        <v>777</v>
      </c>
      <c r="BB13" s="4">
        <f t="shared" ref="BB13:BJ13" si="72">IF(ISNUMBER(SEARCH(BB$1,$BA13)), 1, 0)</f>
        <v>0</v>
      </c>
      <c r="BC13" s="4">
        <f t="shared" si="72"/>
        <v>0</v>
      </c>
      <c r="BD13" s="4">
        <f t="shared" si="72"/>
        <v>1</v>
      </c>
      <c r="BE13" s="4">
        <f t="shared" si="72"/>
        <v>1</v>
      </c>
      <c r="BF13" s="4">
        <f t="shared" si="72"/>
        <v>0</v>
      </c>
      <c r="BG13" s="4">
        <f t="shared" si="72"/>
        <v>0</v>
      </c>
      <c r="BH13" s="4">
        <f t="shared" si="72"/>
        <v>1</v>
      </c>
      <c r="BI13" s="4">
        <f t="shared" si="72"/>
        <v>0</v>
      </c>
      <c r="BJ13" s="4">
        <f t="shared" si="72"/>
        <v>0</v>
      </c>
      <c r="BK13" s="4">
        <f t="shared" si="11"/>
        <v>3</v>
      </c>
      <c r="BM13" s="1" t="s">
        <v>232</v>
      </c>
      <c r="BN13" s="1" t="s">
        <v>726</v>
      </c>
      <c r="BO13" s="4">
        <f t="shared" ref="BO13:BU13" si="73">IF(ISNUMBER(SEARCH(BO$1,$BN13)), 1, 0)</f>
        <v>0</v>
      </c>
      <c r="BP13" s="4">
        <f t="shared" si="73"/>
        <v>1</v>
      </c>
      <c r="BQ13" s="4">
        <f t="shared" si="73"/>
        <v>0</v>
      </c>
      <c r="BR13" s="4">
        <f t="shared" si="73"/>
        <v>1</v>
      </c>
      <c r="BS13" s="4">
        <f t="shared" si="73"/>
        <v>0</v>
      </c>
      <c r="BT13" s="4">
        <f t="shared" si="73"/>
        <v>0</v>
      </c>
      <c r="BU13" s="4">
        <f t="shared" si="73"/>
        <v>0</v>
      </c>
      <c r="BW13" s="1" t="s">
        <v>169</v>
      </c>
      <c r="BZ13" s="1" t="s">
        <v>465</v>
      </c>
      <c r="CR13" s="1" t="s">
        <v>250</v>
      </c>
      <c r="CT13" s="1" t="s">
        <v>778</v>
      </c>
      <c r="CU13" s="1" t="s">
        <v>250</v>
      </c>
      <c r="CX13" s="1" t="s">
        <v>779</v>
      </c>
      <c r="CY13" s="1" t="s">
        <v>780</v>
      </c>
      <c r="CZ13" s="1" t="s">
        <v>250</v>
      </c>
      <c r="DC13" s="1" t="s">
        <v>180</v>
      </c>
    </row>
    <row r="14" spans="1:107" ht="15.75" customHeight="1" x14ac:dyDescent="0.25">
      <c r="A14" s="1" t="b">
        <v>1</v>
      </c>
      <c r="B14" s="3">
        <v>46159.038958333331</v>
      </c>
      <c r="C14" s="1" t="s">
        <v>393</v>
      </c>
      <c r="D14" s="1" t="s">
        <v>394</v>
      </c>
      <c r="E14" s="4">
        <f t="shared" ref="E14:K14" si="74">IF(ISNUMBER(SEARCH(E$1,$D14)), SEARCH(E$1,$D14), 0)</f>
        <v>1</v>
      </c>
      <c r="F14" s="4">
        <f t="shared" si="74"/>
        <v>0</v>
      </c>
      <c r="G14" s="4">
        <f t="shared" si="74"/>
        <v>30</v>
      </c>
      <c r="H14" s="4">
        <f t="shared" si="74"/>
        <v>0</v>
      </c>
      <c r="I14" s="4">
        <f t="shared" si="74"/>
        <v>0</v>
      </c>
      <c r="J14" s="4">
        <f t="shared" si="74"/>
        <v>0</v>
      </c>
      <c r="K14" s="4">
        <f t="shared" si="74"/>
        <v>86</v>
      </c>
      <c r="L14" s="4">
        <f t="shared" si="1"/>
        <v>86</v>
      </c>
      <c r="N14" s="1" t="s">
        <v>328</v>
      </c>
      <c r="O14" s="4">
        <f t="shared" ref="O14:T14" si="75">IF(ISNUMBER(SEARCH(O$1,$N14)), 1, 0)</f>
        <v>1</v>
      </c>
      <c r="P14" s="4">
        <f t="shared" si="75"/>
        <v>1</v>
      </c>
      <c r="Q14" s="4">
        <f t="shared" si="75"/>
        <v>1</v>
      </c>
      <c r="R14" s="4">
        <f t="shared" si="75"/>
        <v>0</v>
      </c>
      <c r="S14" s="4">
        <f t="shared" si="75"/>
        <v>0</v>
      </c>
      <c r="T14" s="4">
        <f t="shared" si="75"/>
        <v>0</v>
      </c>
      <c r="V14" s="1" t="s">
        <v>25</v>
      </c>
      <c r="W14" s="1" t="str">
        <f t="shared" si="69"/>
        <v>False</v>
      </c>
      <c r="X14" s="1" t="str">
        <f t="shared" si="69"/>
        <v>False</v>
      </c>
      <c r="Y14" s="1" t="str">
        <f t="shared" si="69"/>
        <v>False</v>
      </c>
      <c r="Z14" s="1" t="str">
        <f t="shared" si="69"/>
        <v>True</v>
      </c>
      <c r="AA14" s="1" t="str">
        <f t="shared" si="69"/>
        <v>False</v>
      </c>
      <c r="AB14" s="1" t="s">
        <v>395</v>
      </c>
      <c r="AC14" s="4">
        <f t="shared" ref="AC14:AH14" si="76">IF(ISNUMBER(SEARCH(AC$1,$AB14)), 1, 0)</f>
        <v>1</v>
      </c>
      <c r="AD14" s="4">
        <f t="shared" si="76"/>
        <v>1</v>
      </c>
      <c r="AE14" s="4">
        <f t="shared" si="76"/>
        <v>1</v>
      </c>
      <c r="AF14" s="4">
        <f t="shared" si="76"/>
        <v>0</v>
      </c>
      <c r="AG14" s="4">
        <f t="shared" si="76"/>
        <v>1</v>
      </c>
      <c r="AH14" s="4">
        <f t="shared" si="76"/>
        <v>1</v>
      </c>
      <c r="AI14" s="1">
        <f t="shared" si="5"/>
        <v>5</v>
      </c>
      <c r="AK14" s="1" t="s">
        <v>396</v>
      </c>
      <c r="AL14" s="4">
        <f t="shared" ref="AL14:AS14" si="77">IF(ISNUMBER(SEARCH(AL$1,$AK14)), 1, 0)</f>
        <v>0</v>
      </c>
      <c r="AM14" s="4">
        <f t="shared" si="77"/>
        <v>1</v>
      </c>
      <c r="AN14" s="4">
        <f t="shared" si="77"/>
        <v>1</v>
      </c>
      <c r="AO14" s="4">
        <f t="shared" si="77"/>
        <v>0</v>
      </c>
      <c r="AP14" s="4">
        <f t="shared" si="77"/>
        <v>1</v>
      </c>
      <c r="AQ14" s="4">
        <f t="shared" si="77"/>
        <v>1</v>
      </c>
      <c r="AR14" s="4">
        <f t="shared" si="77"/>
        <v>0</v>
      </c>
      <c r="AS14" s="4">
        <f t="shared" si="77"/>
        <v>0</v>
      </c>
      <c r="AU14" s="1" t="s">
        <v>47</v>
      </c>
      <c r="AV14" s="1">
        <f t="shared" si="7"/>
        <v>1</v>
      </c>
      <c r="AW14" s="1">
        <f t="shared" si="8"/>
        <v>0</v>
      </c>
      <c r="AX14" s="1">
        <f t="shared" si="9"/>
        <v>0</v>
      </c>
      <c r="AY14" s="1" t="s">
        <v>48</v>
      </c>
      <c r="BA14" s="1" t="s">
        <v>397</v>
      </c>
      <c r="BB14" s="4">
        <f t="shared" ref="BB14:BJ14" si="78">IF(ISNUMBER(SEARCH(BB$1,$BA14)), 1, 0)</f>
        <v>1</v>
      </c>
      <c r="BC14" s="4">
        <f t="shared" si="78"/>
        <v>1</v>
      </c>
      <c r="BD14" s="4">
        <f t="shared" si="78"/>
        <v>1</v>
      </c>
      <c r="BE14" s="4">
        <f t="shared" si="78"/>
        <v>1</v>
      </c>
      <c r="BF14" s="4">
        <f t="shared" si="78"/>
        <v>1</v>
      </c>
      <c r="BG14" s="4">
        <f t="shared" si="78"/>
        <v>0</v>
      </c>
      <c r="BH14" s="4">
        <f t="shared" si="78"/>
        <v>0</v>
      </c>
      <c r="BI14" s="4">
        <f t="shared" si="78"/>
        <v>0</v>
      </c>
      <c r="BJ14" s="4">
        <f t="shared" si="78"/>
        <v>0</v>
      </c>
      <c r="BK14" s="4">
        <f t="shared" si="11"/>
        <v>5</v>
      </c>
      <c r="BM14" s="1" t="s">
        <v>166</v>
      </c>
      <c r="BN14" s="1" t="s">
        <v>398</v>
      </c>
      <c r="BO14" s="4">
        <f t="shared" ref="BO14:BU14" si="79">IF(ISNUMBER(SEARCH(BO$1,$BN14)), 1, 0)</f>
        <v>1</v>
      </c>
      <c r="BP14" s="4">
        <f t="shared" si="79"/>
        <v>1</v>
      </c>
      <c r="BQ14" s="4">
        <f t="shared" si="79"/>
        <v>1</v>
      </c>
      <c r="BR14" s="4">
        <f t="shared" si="79"/>
        <v>1</v>
      </c>
      <c r="BS14" s="4">
        <f t="shared" si="79"/>
        <v>1</v>
      </c>
      <c r="BT14" s="4">
        <f t="shared" si="79"/>
        <v>0</v>
      </c>
      <c r="BU14" s="4">
        <f t="shared" si="79"/>
        <v>0</v>
      </c>
      <c r="CM14" s="1" t="s">
        <v>49</v>
      </c>
      <c r="CU14" s="1" t="s">
        <v>399</v>
      </c>
      <c r="DC14" s="1" t="s">
        <v>238</v>
      </c>
    </row>
    <row r="15" spans="1:107" ht="15.75" customHeight="1" x14ac:dyDescent="0.25">
      <c r="A15" s="1" t="b">
        <v>0</v>
      </c>
      <c r="B15" s="3">
        <v>46152.736087962963</v>
      </c>
      <c r="C15" s="1" t="s">
        <v>301</v>
      </c>
      <c r="D15" s="1" t="s">
        <v>302</v>
      </c>
      <c r="E15" s="4">
        <f t="shared" ref="E15:K15" si="80">IF(ISNUMBER(SEARCH(E$1,$D15)), SEARCH(E$1,$D15), 0)</f>
        <v>1</v>
      </c>
      <c r="F15" s="4">
        <f t="shared" si="80"/>
        <v>0</v>
      </c>
      <c r="G15" s="4">
        <f t="shared" si="80"/>
        <v>30</v>
      </c>
      <c r="H15" s="4">
        <f t="shared" si="80"/>
        <v>0</v>
      </c>
      <c r="I15" s="4">
        <f t="shared" si="80"/>
        <v>0</v>
      </c>
      <c r="J15" s="4">
        <f t="shared" si="80"/>
        <v>0</v>
      </c>
      <c r="K15" s="4">
        <f t="shared" si="80"/>
        <v>0</v>
      </c>
      <c r="L15" s="4">
        <f t="shared" si="1"/>
        <v>30</v>
      </c>
      <c r="N15" s="1" t="s">
        <v>222</v>
      </c>
      <c r="O15" s="4">
        <f t="shared" ref="O15:T15" si="81">IF(ISNUMBER(SEARCH(O$1,$N15)), 1, 0)</f>
        <v>0</v>
      </c>
      <c r="P15" s="4">
        <f t="shared" si="81"/>
        <v>1</v>
      </c>
      <c r="Q15" s="4">
        <f t="shared" si="81"/>
        <v>0</v>
      </c>
      <c r="R15" s="4">
        <f t="shared" si="81"/>
        <v>1</v>
      </c>
      <c r="S15" s="4">
        <f t="shared" si="81"/>
        <v>0</v>
      </c>
      <c r="T15" s="4">
        <f t="shared" si="81"/>
        <v>0</v>
      </c>
      <c r="W15" s="1" t="str">
        <f t="shared" si="69"/>
        <v>False</v>
      </c>
      <c r="X15" s="1" t="str">
        <f t="shared" si="69"/>
        <v>False</v>
      </c>
      <c r="Y15" s="1" t="str">
        <f t="shared" si="69"/>
        <v>False</v>
      </c>
      <c r="Z15" s="1" t="str">
        <f t="shared" si="69"/>
        <v>False</v>
      </c>
      <c r="AA15" s="1" t="str">
        <f t="shared" si="69"/>
        <v>False</v>
      </c>
      <c r="AC15" s="4">
        <f t="shared" ref="AC15:AH15" si="82">IF(ISNUMBER(SEARCH(AC$1,$AB15)), 1, 0)</f>
        <v>0</v>
      </c>
      <c r="AD15" s="4">
        <f t="shared" si="82"/>
        <v>0</v>
      </c>
      <c r="AE15" s="4">
        <f t="shared" si="82"/>
        <v>0</v>
      </c>
      <c r="AF15" s="4">
        <f t="shared" si="82"/>
        <v>0</v>
      </c>
      <c r="AG15" s="4">
        <f t="shared" si="82"/>
        <v>0</v>
      </c>
      <c r="AH15" s="4">
        <f t="shared" si="82"/>
        <v>0</v>
      </c>
      <c r="AI15" s="1">
        <f t="shared" si="5"/>
        <v>0</v>
      </c>
      <c r="AL15" s="4">
        <f t="shared" ref="AL15:AS15" si="83">IF(ISNUMBER(SEARCH(AL$1,$AK15)), 1, 0)</f>
        <v>0</v>
      </c>
      <c r="AM15" s="4">
        <f t="shared" si="83"/>
        <v>0</v>
      </c>
      <c r="AN15" s="4">
        <f t="shared" si="83"/>
        <v>0</v>
      </c>
      <c r="AO15" s="4">
        <f t="shared" si="83"/>
        <v>0</v>
      </c>
      <c r="AP15" s="4">
        <f t="shared" si="83"/>
        <v>0</v>
      </c>
      <c r="AQ15" s="4">
        <f t="shared" si="83"/>
        <v>0</v>
      </c>
      <c r="AR15" s="4">
        <f t="shared" si="83"/>
        <v>0</v>
      </c>
      <c r="AS15" s="4">
        <f t="shared" si="83"/>
        <v>0</v>
      </c>
      <c r="AV15" s="1">
        <f t="shared" si="7"/>
        <v>0</v>
      </c>
      <c r="AW15" s="1">
        <f t="shared" si="8"/>
        <v>0</v>
      </c>
      <c r="AX15" s="1">
        <f t="shared" si="9"/>
        <v>0</v>
      </c>
      <c r="BB15" s="4">
        <f t="shared" ref="BB15:BJ15" si="84">IF(ISNUMBER(SEARCH(BB$1,$BA15)), 1, 0)</f>
        <v>0</v>
      </c>
      <c r="BC15" s="4">
        <f t="shared" si="84"/>
        <v>0</v>
      </c>
      <c r="BD15" s="4">
        <f t="shared" si="84"/>
        <v>0</v>
      </c>
      <c r="BE15" s="4">
        <f t="shared" si="84"/>
        <v>0</v>
      </c>
      <c r="BF15" s="4">
        <f t="shared" si="84"/>
        <v>0</v>
      </c>
      <c r="BG15" s="4">
        <f t="shared" si="84"/>
        <v>0</v>
      </c>
      <c r="BH15" s="4">
        <f t="shared" si="84"/>
        <v>0</v>
      </c>
      <c r="BI15" s="4">
        <f t="shared" si="84"/>
        <v>0</v>
      </c>
      <c r="BJ15" s="4">
        <f t="shared" si="84"/>
        <v>0</v>
      </c>
      <c r="BK15" s="4">
        <f t="shared" si="11"/>
        <v>0</v>
      </c>
      <c r="BO15" s="4">
        <f t="shared" ref="BO15:BU15" si="85">IF(ISNUMBER(SEARCH(BO$1,$BN15)), 1, 0)</f>
        <v>0</v>
      </c>
      <c r="BP15" s="4">
        <f t="shared" si="85"/>
        <v>0</v>
      </c>
      <c r="BQ15" s="4">
        <f t="shared" si="85"/>
        <v>0</v>
      </c>
      <c r="BR15" s="4">
        <f t="shared" si="85"/>
        <v>0</v>
      </c>
      <c r="BS15" s="4">
        <f t="shared" si="85"/>
        <v>0</v>
      </c>
      <c r="BT15" s="4">
        <f t="shared" si="85"/>
        <v>0</v>
      </c>
      <c r="BU15" s="4">
        <f t="shared" si="85"/>
        <v>0</v>
      </c>
    </row>
    <row r="16" spans="1:107" ht="15.75" customHeight="1" x14ac:dyDescent="0.25">
      <c r="A16" s="1" t="b">
        <v>0</v>
      </c>
      <c r="B16" s="3">
        <v>46167.593252314815</v>
      </c>
      <c r="C16" s="1" t="s">
        <v>701</v>
      </c>
      <c r="D16" s="1" t="s">
        <v>702</v>
      </c>
      <c r="E16" s="4">
        <f t="shared" ref="E16:K16" si="86">IF(ISNUMBER(SEARCH(E$1,$D16)), SEARCH(E$1,$D16), 0)</f>
        <v>1</v>
      </c>
      <c r="F16" s="4">
        <f t="shared" si="86"/>
        <v>0</v>
      </c>
      <c r="G16" s="4">
        <f t="shared" si="86"/>
        <v>30</v>
      </c>
      <c r="H16" s="4">
        <f t="shared" si="86"/>
        <v>0</v>
      </c>
      <c r="I16" s="4">
        <f t="shared" si="86"/>
        <v>0</v>
      </c>
      <c r="J16" s="4">
        <f t="shared" si="86"/>
        <v>86</v>
      </c>
      <c r="K16" s="4">
        <f t="shared" si="86"/>
        <v>0</v>
      </c>
      <c r="L16" s="4">
        <f t="shared" si="1"/>
        <v>86</v>
      </c>
      <c r="N16" s="1" t="s">
        <v>316</v>
      </c>
      <c r="O16" s="4">
        <f t="shared" ref="O16:T16" si="87">IF(ISNUMBER(SEARCH(O$1,$N16)), 1, 0)</f>
        <v>1</v>
      </c>
      <c r="P16" s="4">
        <f t="shared" si="87"/>
        <v>0</v>
      </c>
      <c r="Q16" s="4">
        <f t="shared" si="87"/>
        <v>1</v>
      </c>
      <c r="R16" s="4">
        <f t="shared" si="87"/>
        <v>0</v>
      </c>
      <c r="S16" s="4">
        <f t="shared" si="87"/>
        <v>0</v>
      </c>
      <c r="T16" s="4">
        <f t="shared" si="87"/>
        <v>0</v>
      </c>
      <c r="W16" s="1" t="str">
        <f t="shared" si="69"/>
        <v>False</v>
      </c>
      <c r="X16" s="1" t="str">
        <f t="shared" si="69"/>
        <v>False</v>
      </c>
      <c r="Y16" s="1" t="str">
        <f t="shared" si="69"/>
        <v>False</v>
      </c>
      <c r="Z16" s="1" t="str">
        <f t="shared" si="69"/>
        <v>False</v>
      </c>
      <c r="AA16" s="1" t="str">
        <f t="shared" si="69"/>
        <v>False</v>
      </c>
      <c r="AC16" s="4">
        <f t="shared" ref="AC16:AH16" si="88">IF(ISNUMBER(SEARCH(AC$1,$AB16)), 1, 0)</f>
        <v>0</v>
      </c>
      <c r="AD16" s="4">
        <f t="shared" si="88"/>
        <v>0</v>
      </c>
      <c r="AE16" s="4">
        <f t="shared" si="88"/>
        <v>0</v>
      </c>
      <c r="AF16" s="4">
        <f t="shared" si="88"/>
        <v>0</v>
      </c>
      <c r="AG16" s="4">
        <f t="shared" si="88"/>
        <v>0</v>
      </c>
      <c r="AH16" s="4">
        <f t="shared" si="88"/>
        <v>0</v>
      </c>
      <c r="AI16" s="1">
        <f t="shared" si="5"/>
        <v>0</v>
      </c>
      <c r="AL16" s="4">
        <f t="shared" ref="AL16:AS16" si="89">IF(ISNUMBER(SEARCH(AL$1,$AK16)), 1, 0)</f>
        <v>0</v>
      </c>
      <c r="AM16" s="4">
        <f t="shared" si="89"/>
        <v>0</v>
      </c>
      <c r="AN16" s="4">
        <f t="shared" si="89"/>
        <v>0</v>
      </c>
      <c r="AO16" s="4">
        <f t="shared" si="89"/>
        <v>0</v>
      </c>
      <c r="AP16" s="4">
        <f t="shared" si="89"/>
        <v>0</v>
      </c>
      <c r="AQ16" s="4">
        <f t="shared" si="89"/>
        <v>0</v>
      </c>
      <c r="AR16" s="4">
        <f t="shared" si="89"/>
        <v>0</v>
      </c>
      <c r="AS16" s="4">
        <f t="shared" si="89"/>
        <v>0</v>
      </c>
      <c r="AV16" s="1">
        <f t="shared" si="7"/>
        <v>0</v>
      </c>
      <c r="AW16" s="1">
        <f t="shared" si="8"/>
        <v>0</v>
      </c>
      <c r="AX16" s="1">
        <f t="shared" si="9"/>
        <v>0</v>
      </c>
      <c r="BB16" s="4">
        <f t="shared" ref="BB16:BJ16" si="90">IF(ISNUMBER(SEARCH(BB$1,$BA16)), 1, 0)</f>
        <v>0</v>
      </c>
      <c r="BC16" s="4">
        <f t="shared" si="90"/>
        <v>0</v>
      </c>
      <c r="BD16" s="4">
        <f t="shared" si="90"/>
        <v>0</v>
      </c>
      <c r="BE16" s="4">
        <f t="shared" si="90"/>
        <v>0</v>
      </c>
      <c r="BF16" s="4">
        <f t="shared" si="90"/>
        <v>0</v>
      </c>
      <c r="BG16" s="4">
        <f t="shared" si="90"/>
        <v>0</v>
      </c>
      <c r="BH16" s="4">
        <f t="shared" si="90"/>
        <v>0</v>
      </c>
      <c r="BI16" s="4">
        <f t="shared" si="90"/>
        <v>0</v>
      </c>
      <c r="BJ16" s="4">
        <f t="shared" si="90"/>
        <v>0</v>
      </c>
      <c r="BK16" s="4">
        <f t="shared" si="11"/>
        <v>0</v>
      </c>
      <c r="BO16" s="4">
        <f t="shared" ref="BO16:BU16" si="91">IF(ISNUMBER(SEARCH(BO$1,$BN16)), 1, 0)</f>
        <v>0</v>
      </c>
      <c r="BP16" s="4">
        <f t="shared" si="91"/>
        <v>0</v>
      </c>
      <c r="BQ16" s="4">
        <f t="shared" si="91"/>
        <v>0</v>
      </c>
      <c r="BR16" s="4">
        <f t="shared" si="91"/>
        <v>0</v>
      </c>
      <c r="BS16" s="4">
        <f t="shared" si="91"/>
        <v>0</v>
      </c>
      <c r="BT16" s="4">
        <f t="shared" si="91"/>
        <v>0</v>
      </c>
      <c r="BU16" s="4">
        <f t="shared" si="91"/>
        <v>0</v>
      </c>
    </row>
    <row r="17" spans="1:107" ht="15.75" customHeight="1" x14ac:dyDescent="0.25">
      <c r="A17" s="1" t="b">
        <v>1</v>
      </c>
      <c r="B17" s="3">
        <v>46158.319027777776</v>
      </c>
      <c r="C17" s="1" t="s">
        <v>383</v>
      </c>
      <c r="D17" s="1" t="s">
        <v>384</v>
      </c>
      <c r="E17" s="4">
        <f t="shared" ref="E17:K17" si="92">IF(ISNUMBER(SEARCH(E$1,$D17)), SEARCH(E$1,$D17), 0)</f>
        <v>1</v>
      </c>
      <c r="F17" s="4">
        <f t="shared" si="92"/>
        <v>0</v>
      </c>
      <c r="G17" s="4">
        <f t="shared" si="92"/>
        <v>30</v>
      </c>
      <c r="H17" s="4">
        <f t="shared" si="92"/>
        <v>86</v>
      </c>
      <c r="I17" s="4">
        <f t="shared" si="92"/>
        <v>0</v>
      </c>
      <c r="J17" s="4">
        <f t="shared" si="92"/>
        <v>0</v>
      </c>
      <c r="K17" s="4">
        <f t="shared" si="92"/>
        <v>0</v>
      </c>
      <c r="L17" s="4">
        <f t="shared" si="1"/>
        <v>86</v>
      </c>
      <c r="N17" s="1" t="s">
        <v>385</v>
      </c>
      <c r="O17" s="4">
        <f t="shared" ref="O17:T17" si="93">IF(ISNUMBER(SEARCH(O$1,$N17)), 1, 0)</f>
        <v>1</v>
      </c>
      <c r="P17" s="4">
        <f t="shared" si="93"/>
        <v>1</v>
      </c>
      <c r="Q17" s="4">
        <f t="shared" si="93"/>
        <v>0</v>
      </c>
      <c r="R17" s="4">
        <f t="shared" si="93"/>
        <v>1</v>
      </c>
      <c r="S17" s="4">
        <f t="shared" si="93"/>
        <v>1</v>
      </c>
      <c r="T17" s="4">
        <f t="shared" si="93"/>
        <v>0</v>
      </c>
      <c r="V17" s="1" t="s">
        <v>24</v>
      </c>
      <c r="W17" s="1" t="str">
        <f t="shared" si="69"/>
        <v>False</v>
      </c>
      <c r="X17" s="1" t="str">
        <f t="shared" si="69"/>
        <v>False</v>
      </c>
      <c r="Y17" s="1" t="str">
        <f t="shared" si="69"/>
        <v>True</v>
      </c>
      <c r="Z17" s="1" t="str">
        <f t="shared" si="69"/>
        <v>False</v>
      </c>
      <c r="AA17" s="1" t="str">
        <f t="shared" si="69"/>
        <v>False</v>
      </c>
      <c r="AB17" s="1" t="s">
        <v>28</v>
      </c>
      <c r="AC17" s="4">
        <f t="shared" ref="AC17:AH17" si="94">IF(ISNUMBER(SEARCH(AC$1,$AB17)), 1, 0)</f>
        <v>1</v>
      </c>
      <c r="AD17" s="4">
        <f t="shared" si="94"/>
        <v>0</v>
      </c>
      <c r="AE17" s="4">
        <f t="shared" si="94"/>
        <v>0</v>
      </c>
      <c r="AF17" s="4">
        <f t="shared" si="94"/>
        <v>0</v>
      </c>
      <c r="AG17" s="4">
        <f t="shared" si="94"/>
        <v>0</v>
      </c>
      <c r="AH17" s="4">
        <f t="shared" si="94"/>
        <v>0</v>
      </c>
      <c r="AI17" s="1">
        <f t="shared" si="5"/>
        <v>1</v>
      </c>
      <c r="AK17" s="1" t="s">
        <v>38</v>
      </c>
      <c r="AL17" s="4">
        <f t="shared" ref="AL17:AS17" si="95">IF(ISNUMBER(SEARCH(AL$1,$AK17)), 1, 0)</f>
        <v>0</v>
      </c>
      <c r="AM17" s="4">
        <f t="shared" si="95"/>
        <v>1</v>
      </c>
      <c r="AN17" s="4">
        <f t="shared" si="95"/>
        <v>0</v>
      </c>
      <c r="AO17" s="4">
        <f t="shared" si="95"/>
        <v>0</v>
      </c>
      <c r="AP17" s="4">
        <f t="shared" si="95"/>
        <v>0</v>
      </c>
      <c r="AQ17" s="4">
        <f t="shared" si="95"/>
        <v>0</v>
      </c>
      <c r="AR17" s="4">
        <f t="shared" si="95"/>
        <v>0</v>
      </c>
      <c r="AS17" s="4">
        <f t="shared" si="95"/>
        <v>0</v>
      </c>
      <c r="AU17" s="1" t="s">
        <v>48</v>
      </c>
      <c r="AV17" s="1">
        <f t="shared" si="7"/>
        <v>0</v>
      </c>
      <c r="AW17" s="1">
        <f t="shared" si="8"/>
        <v>1</v>
      </c>
      <c r="AX17" s="1">
        <f t="shared" si="9"/>
        <v>0</v>
      </c>
      <c r="AY17" s="1" t="s">
        <v>48</v>
      </c>
      <c r="BA17" s="1" t="s">
        <v>56</v>
      </c>
      <c r="BB17" s="4">
        <f t="shared" ref="BB17:BJ17" si="96">IF(ISNUMBER(SEARCH(BB$1,$BA17)), 1, 0)</f>
        <v>0</v>
      </c>
      <c r="BC17" s="4">
        <f t="shared" si="96"/>
        <v>0</v>
      </c>
      <c r="BD17" s="4">
        <f t="shared" si="96"/>
        <v>0</v>
      </c>
      <c r="BE17" s="4">
        <f t="shared" si="96"/>
        <v>1</v>
      </c>
      <c r="BF17" s="4">
        <f t="shared" si="96"/>
        <v>0</v>
      </c>
      <c r="BG17" s="4">
        <f t="shared" si="96"/>
        <v>0</v>
      </c>
      <c r="BH17" s="4">
        <f t="shared" si="96"/>
        <v>0</v>
      </c>
      <c r="BI17" s="4">
        <f t="shared" si="96"/>
        <v>0</v>
      </c>
      <c r="BJ17" s="4">
        <f t="shared" si="96"/>
        <v>0</v>
      </c>
      <c r="BK17" s="4">
        <f t="shared" si="11"/>
        <v>1</v>
      </c>
      <c r="BM17" s="1" t="s">
        <v>232</v>
      </c>
      <c r="BN17" s="1" t="s">
        <v>386</v>
      </c>
      <c r="BO17" s="4">
        <f t="shared" ref="BO17:BU17" si="97">IF(ISNUMBER(SEARCH(BO$1,$BN17)), 1, 0)</f>
        <v>0</v>
      </c>
      <c r="BP17" s="4">
        <f t="shared" si="97"/>
        <v>1</v>
      </c>
      <c r="BQ17" s="4">
        <f t="shared" si="97"/>
        <v>0</v>
      </c>
      <c r="BR17" s="4">
        <f t="shared" si="97"/>
        <v>0</v>
      </c>
      <c r="BS17" s="4">
        <f t="shared" si="97"/>
        <v>0</v>
      </c>
      <c r="BT17" s="4">
        <f t="shared" si="97"/>
        <v>1</v>
      </c>
      <c r="BU17" s="4">
        <f t="shared" si="97"/>
        <v>0</v>
      </c>
      <c r="BW17" s="1" t="s">
        <v>169</v>
      </c>
      <c r="CB17" s="1" t="s">
        <v>47</v>
      </c>
      <c r="CF17" s="1" t="s">
        <v>387</v>
      </c>
      <c r="CG17" s="1" t="s">
        <v>388</v>
      </c>
      <c r="CU17" s="1" t="s">
        <v>389</v>
      </c>
    </row>
    <row r="18" spans="1:107" ht="15.75" customHeight="1" x14ac:dyDescent="0.25">
      <c r="A18" s="1" t="b">
        <v>0</v>
      </c>
      <c r="B18" s="3">
        <v>46170.117094907408</v>
      </c>
      <c r="C18" s="1" t="s">
        <v>754</v>
      </c>
      <c r="D18" s="1" t="s">
        <v>755</v>
      </c>
      <c r="E18" s="4">
        <f t="shared" ref="E18:K18" si="98">IF(ISNUMBER(SEARCH(E$1,$D18)), SEARCH(E$1,$D18), 0)</f>
        <v>0</v>
      </c>
      <c r="F18" s="4">
        <f t="shared" si="98"/>
        <v>0</v>
      </c>
      <c r="G18" s="4">
        <f t="shared" si="98"/>
        <v>1</v>
      </c>
      <c r="H18" s="4">
        <f t="shared" si="98"/>
        <v>0</v>
      </c>
      <c r="I18" s="4">
        <f t="shared" si="98"/>
        <v>57</v>
      </c>
      <c r="J18" s="4">
        <f t="shared" si="98"/>
        <v>0</v>
      </c>
      <c r="K18" s="4">
        <f t="shared" si="98"/>
        <v>89</v>
      </c>
      <c r="L18" s="4">
        <f t="shared" si="1"/>
        <v>89</v>
      </c>
      <c r="N18" s="1" t="s">
        <v>272</v>
      </c>
      <c r="O18" s="4">
        <f t="shared" ref="O18:T18" si="99">IF(ISNUMBER(SEARCH(O$1,$N18)), 1, 0)</f>
        <v>1</v>
      </c>
      <c r="P18" s="4">
        <f t="shared" si="99"/>
        <v>1</v>
      </c>
      <c r="Q18" s="4">
        <f t="shared" si="99"/>
        <v>1</v>
      </c>
      <c r="R18" s="4">
        <f t="shared" si="99"/>
        <v>1</v>
      </c>
      <c r="S18" s="4">
        <f t="shared" si="99"/>
        <v>1</v>
      </c>
      <c r="T18" s="4">
        <f t="shared" si="99"/>
        <v>0</v>
      </c>
      <c r="W18" s="1" t="str">
        <f t="shared" si="69"/>
        <v>False</v>
      </c>
      <c r="X18" s="1" t="str">
        <f t="shared" si="69"/>
        <v>False</v>
      </c>
      <c r="Y18" s="1" t="str">
        <f t="shared" si="69"/>
        <v>False</v>
      </c>
      <c r="Z18" s="1" t="str">
        <f t="shared" si="69"/>
        <v>False</v>
      </c>
      <c r="AA18" s="1" t="str">
        <f t="shared" si="69"/>
        <v>False</v>
      </c>
      <c r="AB18" s="1" t="s">
        <v>31</v>
      </c>
      <c r="AC18" s="4">
        <f t="shared" ref="AC18:AH18" si="100">IF(ISNUMBER(SEARCH(AC$1,$AB18)), 1, 0)</f>
        <v>0</v>
      </c>
      <c r="AD18" s="4">
        <f t="shared" si="100"/>
        <v>0</v>
      </c>
      <c r="AE18" s="4">
        <f t="shared" si="100"/>
        <v>0</v>
      </c>
      <c r="AF18" s="4">
        <f t="shared" si="100"/>
        <v>1</v>
      </c>
      <c r="AG18" s="4">
        <f t="shared" si="100"/>
        <v>0</v>
      </c>
      <c r="AH18" s="4">
        <f t="shared" si="100"/>
        <v>0</v>
      </c>
      <c r="AI18" s="1">
        <f t="shared" si="5"/>
        <v>1</v>
      </c>
      <c r="AK18" s="1" t="s">
        <v>410</v>
      </c>
      <c r="AL18" s="4">
        <f t="shared" ref="AL18:AS18" si="101">IF(ISNUMBER(SEARCH(AL$1,$AK18)), 1, 0)</f>
        <v>1</v>
      </c>
      <c r="AM18" s="4">
        <f t="shared" si="101"/>
        <v>0</v>
      </c>
      <c r="AN18" s="4">
        <f t="shared" si="101"/>
        <v>1</v>
      </c>
      <c r="AO18" s="4">
        <f t="shared" si="101"/>
        <v>1</v>
      </c>
      <c r="AP18" s="4">
        <f t="shared" si="101"/>
        <v>0</v>
      </c>
      <c r="AQ18" s="4">
        <f t="shared" si="101"/>
        <v>0</v>
      </c>
      <c r="AR18" s="4">
        <f t="shared" si="101"/>
        <v>0</v>
      </c>
      <c r="AS18" s="4">
        <f t="shared" si="101"/>
        <v>0</v>
      </c>
      <c r="AU18" s="1" t="s">
        <v>47</v>
      </c>
      <c r="AV18" s="1">
        <f t="shared" si="7"/>
        <v>1</v>
      </c>
      <c r="AW18" s="1">
        <f t="shared" si="8"/>
        <v>0</v>
      </c>
      <c r="AX18" s="1">
        <f t="shared" si="9"/>
        <v>0</v>
      </c>
      <c r="AY18" s="1" t="s">
        <v>48</v>
      </c>
      <c r="BA18" s="1" t="s">
        <v>247</v>
      </c>
      <c r="BB18" s="4">
        <f t="shared" ref="BB18:BJ18" si="102">IF(ISNUMBER(SEARCH(BB$1,$BA18)), 1, 0)</f>
        <v>1</v>
      </c>
      <c r="BC18" s="4">
        <f t="shared" si="102"/>
        <v>1</v>
      </c>
      <c r="BD18" s="4">
        <f t="shared" si="102"/>
        <v>1</v>
      </c>
      <c r="BE18" s="4">
        <f t="shared" si="102"/>
        <v>1</v>
      </c>
      <c r="BF18" s="4">
        <f t="shared" si="102"/>
        <v>1</v>
      </c>
      <c r="BG18" s="4">
        <f t="shared" si="102"/>
        <v>0</v>
      </c>
      <c r="BH18" s="4">
        <f t="shared" si="102"/>
        <v>1</v>
      </c>
      <c r="BI18" s="4">
        <f t="shared" si="102"/>
        <v>0</v>
      </c>
      <c r="BJ18" s="4">
        <f t="shared" si="102"/>
        <v>1</v>
      </c>
      <c r="BK18" s="4">
        <f t="shared" si="11"/>
        <v>7</v>
      </c>
      <c r="BM18" s="1" t="s">
        <v>166</v>
      </c>
      <c r="BN18" s="1" t="s">
        <v>756</v>
      </c>
      <c r="BO18" s="4">
        <f t="shared" ref="BO18:BU18" si="103">IF(ISNUMBER(SEARCH(BO$1,$BN18)), 1, 0)</f>
        <v>1</v>
      </c>
      <c r="BP18" s="4">
        <f t="shared" si="103"/>
        <v>0</v>
      </c>
      <c r="BQ18" s="4">
        <f t="shared" si="103"/>
        <v>1</v>
      </c>
      <c r="BR18" s="4">
        <f t="shared" si="103"/>
        <v>0</v>
      </c>
      <c r="BS18" s="4">
        <f t="shared" si="103"/>
        <v>0</v>
      </c>
      <c r="BT18" s="4">
        <f t="shared" si="103"/>
        <v>1</v>
      </c>
      <c r="BU18" s="4">
        <f t="shared" si="103"/>
        <v>1</v>
      </c>
    </row>
    <row r="19" spans="1:107" ht="15.75" customHeight="1" x14ac:dyDescent="0.25">
      <c r="A19" s="1"/>
      <c r="B19" s="3"/>
      <c r="C19" s="1"/>
      <c r="D19" s="1"/>
      <c r="N19" s="1"/>
      <c r="O19" s="4">
        <f t="shared" ref="O19:T19" si="104">SUM(O3:O18)</f>
        <v>14</v>
      </c>
      <c r="P19" s="4">
        <f t="shared" si="104"/>
        <v>12</v>
      </c>
      <c r="Q19" s="4">
        <f t="shared" si="104"/>
        <v>11</v>
      </c>
      <c r="R19" s="4">
        <f t="shared" si="104"/>
        <v>13</v>
      </c>
      <c r="S19" s="4">
        <f t="shared" si="104"/>
        <v>7</v>
      </c>
      <c r="T19" s="4">
        <f t="shared" si="104"/>
        <v>5</v>
      </c>
      <c r="V19" s="1"/>
      <c r="W19" s="1"/>
      <c r="X19" s="1"/>
      <c r="Y19" s="1"/>
      <c r="Z19" s="1"/>
      <c r="AA19" s="1"/>
      <c r="AB19" s="1"/>
      <c r="AC19" s="4">
        <f t="shared" ref="AC19:AH19" si="105">SUM(AC3:AC18)</f>
        <v>6</v>
      </c>
      <c r="AD19" s="4">
        <f t="shared" si="105"/>
        <v>5</v>
      </c>
      <c r="AE19" s="4">
        <f t="shared" si="105"/>
        <v>5</v>
      </c>
      <c r="AF19" s="4">
        <f t="shared" si="105"/>
        <v>5</v>
      </c>
      <c r="AG19" s="4">
        <f t="shared" si="105"/>
        <v>3</v>
      </c>
      <c r="AH19" s="4">
        <f t="shared" si="105"/>
        <v>5</v>
      </c>
      <c r="AI19" s="1"/>
      <c r="AJ19" s="1"/>
      <c r="AK19" s="1"/>
      <c r="AL19" s="4">
        <f t="shared" ref="AL19:AS19" si="106">SUM(AL3:AL18)</f>
        <v>6</v>
      </c>
      <c r="AM19" s="4">
        <f t="shared" si="106"/>
        <v>11</v>
      </c>
      <c r="AN19" s="4">
        <f t="shared" si="106"/>
        <v>6</v>
      </c>
      <c r="AO19" s="4">
        <f t="shared" si="106"/>
        <v>8</v>
      </c>
      <c r="AP19" s="4">
        <f t="shared" si="106"/>
        <v>4</v>
      </c>
      <c r="AQ19" s="4">
        <f t="shared" si="106"/>
        <v>7</v>
      </c>
      <c r="AR19" s="4">
        <f t="shared" si="106"/>
        <v>4</v>
      </c>
      <c r="AS19" s="4">
        <f t="shared" si="106"/>
        <v>3</v>
      </c>
      <c r="AU19" s="1"/>
      <c r="AV19" s="4">
        <f>SUM(AV3:AV18)</f>
        <v>5</v>
      </c>
      <c r="AW19" s="4">
        <f>SUM(AW3:AW18)</f>
        <v>6</v>
      </c>
      <c r="AX19" s="4">
        <f>SUM(AX3:AX18)</f>
        <v>1</v>
      </c>
      <c r="AY19" s="1"/>
      <c r="AZ19" s="1"/>
      <c r="BA19" s="1"/>
      <c r="BB19" s="4">
        <f t="shared" ref="BB19:BJ19" si="107">SUM(BB3:BB18)</f>
        <v>8</v>
      </c>
      <c r="BC19" s="4">
        <f t="shared" si="107"/>
        <v>7</v>
      </c>
      <c r="BD19" s="4">
        <f t="shared" si="107"/>
        <v>10</v>
      </c>
      <c r="BE19" s="4">
        <f t="shared" si="107"/>
        <v>9</v>
      </c>
      <c r="BF19" s="4">
        <f t="shared" si="107"/>
        <v>7</v>
      </c>
      <c r="BG19" s="4">
        <f t="shared" si="107"/>
        <v>3</v>
      </c>
      <c r="BH19" s="4">
        <f t="shared" si="107"/>
        <v>8</v>
      </c>
      <c r="BI19" s="4">
        <f t="shared" si="107"/>
        <v>4</v>
      </c>
      <c r="BJ19" s="4">
        <f t="shared" si="107"/>
        <v>8</v>
      </c>
      <c r="BO19" s="4">
        <f>SUM(BO3:BO18)</f>
        <v>5</v>
      </c>
      <c r="BP19" s="4">
        <f t="shared" ref="BP19:BU19" si="108">SUM(BP3:BP18)</f>
        <v>4</v>
      </c>
      <c r="BQ19" s="4">
        <f t="shared" si="108"/>
        <v>5</v>
      </c>
      <c r="BR19" s="4">
        <f t="shared" si="108"/>
        <v>5</v>
      </c>
      <c r="BS19" s="4">
        <f t="shared" si="108"/>
        <v>5</v>
      </c>
      <c r="BT19" s="4">
        <f t="shared" si="108"/>
        <v>3</v>
      </c>
      <c r="BU19" s="4">
        <f t="shared" si="108"/>
        <v>2</v>
      </c>
      <c r="BW19" s="1"/>
      <c r="CX19" s="1"/>
      <c r="CZ19" s="1"/>
      <c r="DB19" s="1"/>
      <c r="DC19" s="1"/>
    </row>
    <row r="20" spans="1:107" ht="15.75" customHeight="1" x14ac:dyDescent="0.25">
      <c r="A20" s="1"/>
      <c r="B20" s="3"/>
      <c r="C20" s="1"/>
      <c r="D20" s="1"/>
      <c r="N20" s="1"/>
      <c r="O20" s="4">
        <f t="shared" ref="O20:T20" si="109">(O19/COUNT(O3:O18))*100</f>
        <v>87.5</v>
      </c>
      <c r="P20" s="4">
        <f t="shared" si="109"/>
        <v>75</v>
      </c>
      <c r="Q20" s="4">
        <f t="shared" si="109"/>
        <v>68.75</v>
      </c>
      <c r="R20" s="4">
        <f t="shared" si="109"/>
        <v>81.25</v>
      </c>
      <c r="S20" s="4">
        <f t="shared" si="109"/>
        <v>43.75</v>
      </c>
      <c r="T20" s="4">
        <f t="shared" si="109"/>
        <v>31.25</v>
      </c>
      <c r="U20" s="1"/>
      <c r="V20" s="1"/>
      <c r="W20" s="1"/>
      <c r="X20" s="1"/>
      <c r="Y20" s="1"/>
      <c r="Z20" s="1"/>
      <c r="AA20" s="1"/>
      <c r="AB20" s="1"/>
      <c r="AC20" s="4">
        <f t="shared" ref="AC20:AH20" si="110">(AC19/COUNT(AC3:AC18))*100</f>
        <v>37.5</v>
      </c>
      <c r="AD20" s="4">
        <f t="shared" si="110"/>
        <v>31.25</v>
      </c>
      <c r="AE20" s="4">
        <f t="shared" si="110"/>
        <v>31.25</v>
      </c>
      <c r="AF20" s="4">
        <f t="shared" si="110"/>
        <v>31.25</v>
      </c>
      <c r="AG20" s="4">
        <f t="shared" si="110"/>
        <v>18.75</v>
      </c>
      <c r="AH20" s="4">
        <f t="shared" si="110"/>
        <v>31.25</v>
      </c>
      <c r="AI20" s="1"/>
      <c r="AJ20" s="1"/>
      <c r="AK20" s="1"/>
      <c r="AL20" s="4">
        <f t="shared" ref="AL20:AS20" si="111">(AL19/COUNT(AL3:AL18))*100</f>
        <v>37.5</v>
      </c>
      <c r="AM20" s="4">
        <f t="shared" si="111"/>
        <v>68.75</v>
      </c>
      <c r="AN20" s="4">
        <f t="shared" si="111"/>
        <v>37.5</v>
      </c>
      <c r="AO20" s="4">
        <f t="shared" si="111"/>
        <v>50</v>
      </c>
      <c r="AP20" s="4">
        <f t="shared" si="111"/>
        <v>25</v>
      </c>
      <c r="AQ20" s="4">
        <f t="shared" si="111"/>
        <v>43.75</v>
      </c>
      <c r="AR20" s="4">
        <f t="shared" si="111"/>
        <v>25</v>
      </c>
      <c r="AS20" s="4">
        <f t="shared" si="111"/>
        <v>18.75</v>
      </c>
      <c r="AT20" s="1"/>
      <c r="AU20" s="1"/>
      <c r="AV20" s="4">
        <f>(AV19/COUNT(AV3:AV18))*100</f>
        <v>31.25</v>
      </c>
      <c r="AW20" s="4">
        <f>(AW19/COUNT(AW3:AW18))*100</f>
        <v>37.5</v>
      </c>
      <c r="AX20" s="4">
        <f>(AX19/COUNT(AX3:AX18))*100</f>
        <v>6.25</v>
      </c>
      <c r="AY20" s="1"/>
      <c r="BA20" s="1"/>
      <c r="BB20" s="4">
        <f>(BB19/COUNT(BB3:BB18))*100</f>
        <v>50</v>
      </c>
      <c r="BC20" s="4">
        <f t="shared" ref="BC20:BJ20" si="112">(BC19/COUNT(BC3:BC18))*100</f>
        <v>43.75</v>
      </c>
      <c r="BD20" s="4">
        <f t="shared" si="112"/>
        <v>62.5</v>
      </c>
      <c r="BE20" s="4">
        <f t="shared" si="112"/>
        <v>56.25</v>
      </c>
      <c r="BF20" s="4">
        <f t="shared" si="112"/>
        <v>43.75</v>
      </c>
      <c r="BG20" s="4">
        <f t="shared" si="112"/>
        <v>18.75</v>
      </c>
      <c r="BH20" s="4">
        <f t="shared" si="112"/>
        <v>50</v>
      </c>
      <c r="BI20" s="4">
        <f t="shared" si="112"/>
        <v>25</v>
      </c>
      <c r="BJ20" s="4">
        <f t="shared" si="112"/>
        <v>50</v>
      </c>
      <c r="BM20" s="1"/>
      <c r="BN20" s="1"/>
      <c r="BO20" s="4">
        <f>(BO19/COUNT(BO3:BO18))*100</f>
        <v>31.25</v>
      </c>
      <c r="BP20" s="4">
        <f t="shared" ref="BP20:BU20" si="113">(BP19/COUNT(BP3:BP18))*100</f>
        <v>25</v>
      </c>
      <c r="BQ20" s="4">
        <f t="shared" si="113"/>
        <v>31.25</v>
      </c>
      <c r="BR20" s="4">
        <f t="shared" si="113"/>
        <v>31.25</v>
      </c>
      <c r="BS20" s="4">
        <f t="shared" si="113"/>
        <v>31.25</v>
      </c>
      <c r="BT20" s="4">
        <f t="shared" si="113"/>
        <v>18.75</v>
      </c>
      <c r="BU20" s="4">
        <f t="shared" si="113"/>
        <v>12.5</v>
      </c>
      <c r="CX20" s="1"/>
      <c r="CZ20" s="1"/>
      <c r="DC20" s="1"/>
    </row>
    <row r="21" spans="1:107" ht="15.75" customHeight="1" x14ac:dyDescent="0.25">
      <c r="A21" s="1"/>
      <c r="B21" s="3"/>
      <c r="C21" s="1"/>
      <c r="D21" s="1"/>
      <c r="N21" s="1"/>
      <c r="U21" s="1"/>
      <c r="W21" s="1"/>
      <c r="X21" s="1"/>
      <c r="Y21" s="1"/>
      <c r="Z21" s="1"/>
      <c r="AA21" s="1"/>
      <c r="AB21" s="1"/>
      <c r="AI21" s="1"/>
      <c r="AJ21" s="1"/>
      <c r="AK21" s="1"/>
      <c r="AU21" s="1"/>
      <c r="AV21" s="1"/>
      <c r="AW21" s="1"/>
      <c r="AX21" s="1"/>
      <c r="AY21" s="1"/>
      <c r="BA21" s="1"/>
      <c r="BM21" s="1"/>
      <c r="BN21" s="1"/>
      <c r="BV21" s="1"/>
      <c r="CM21" s="1"/>
      <c r="CN21" s="1"/>
      <c r="CO21" s="1"/>
      <c r="CX21" s="1"/>
      <c r="CY21" s="1"/>
      <c r="CZ21" s="1"/>
      <c r="DA21" s="1"/>
      <c r="DB21" s="1"/>
      <c r="DC21" s="1"/>
    </row>
    <row r="22" spans="1:107" ht="15.75" customHeight="1" x14ac:dyDescent="0.25">
      <c r="A22" s="1"/>
      <c r="B22" s="3"/>
      <c r="C22" s="1"/>
      <c r="D22" s="1"/>
      <c r="N22" s="1"/>
      <c r="W22" s="1"/>
      <c r="X22" s="1"/>
      <c r="Y22" s="1"/>
      <c r="Z22" s="1"/>
      <c r="AA22" s="1"/>
      <c r="AB22" s="1"/>
      <c r="AI22" s="1"/>
      <c r="AK22" s="1"/>
      <c r="AU22" s="1"/>
      <c r="AV22" s="1"/>
      <c r="AW22" s="1"/>
      <c r="AX22" s="1"/>
      <c r="AY22" s="1"/>
      <c r="BA22" s="1"/>
      <c r="BM22" s="1"/>
      <c r="BN22" s="1"/>
    </row>
    <row r="23" spans="1:107" ht="15.75" customHeight="1" x14ac:dyDescent="0.25">
      <c r="A23" s="1"/>
      <c r="B23" s="3"/>
      <c r="C23" s="1"/>
      <c r="D23" s="1"/>
      <c r="N23" s="1"/>
      <c r="W23" s="1"/>
      <c r="X23" s="1"/>
      <c r="Y23" s="1"/>
      <c r="Z23" s="1"/>
      <c r="AA23" s="1"/>
      <c r="AB23" s="1"/>
      <c r="AI23" s="1"/>
      <c r="AK23" s="1"/>
      <c r="AU23" s="1"/>
      <c r="AV23" s="1"/>
      <c r="AW23" s="1"/>
      <c r="AX23" s="1"/>
      <c r="AY23" s="1"/>
      <c r="BA23" s="1"/>
      <c r="BM23" s="1"/>
      <c r="BN23" s="1"/>
      <c r="CX23" s="1"/>
      <c r="CZ23" s="1"/>
      <c r="DC23" s="1"/>
    </row>
    <row r="24" spans="1:107" ht="15.75" customHeight="1" x14ac:dyDescent="0.25">
      <c r="A24" s="1"/>
      <c r="B24" s="3"/>
      <c r="C24" s="1"/>
      <c r="D24" s="1"/>
      <c r="N24" s="1"/>
      <c r="W24" s="1"/>
      <c r="X24" s="1"/>
      <c r="Y24" s="1"/>
      <c r="Z24" s="1"/>
      <c r="AA24" s="1"/>
      <c r="AB24" s="1"/>
      <c r="AI24" s="1"/>
      <c r="AK24" s="1"/>
      <c r="AU24" s="1"/>
      <c r="AV24" s="1"/>
      <c r="AW24" s="1"/>
      <c r="AX24" s="1"/>
      <c r="AY24" s="1"/>
      <c r="BA24" s="1"/>
      <c r="BM24" s="1"/>
      <c r="BN24" s="1"/>
      <c r="CX24" s="1"/>
      <c r="CZ24" s="1"/>
      <c r="DC24" s="1"/>
    </row>
    <row r="25" spans="1:107" ht="15.75" customHeight="1" x14ac:dyDescent="0.25">
      <c r="A25" s="1"/>
      <c r="B25" s="3"/>
      <c r="C25" s="1"/>
      <c r="D25" s="1"/>
      <c r="N25" s="1"/>
      <c r="V25" s="1"/>
      <c r="W25" s="1"/>
      <c r="X25" s="1"/>
      <c r="Y25" s="1"/>
      <c r="Z25" s="1"/>
      <c r="AA25" s="1"/>
      <c r="AB25" s="1"/>
      <c r="AI25" s="1"/>
      <c r="AK25" s="1"/>
      <c r="AV25" s="1"/>
      <c r="AW25" s="1"/>
      <c r="AX25" s="1"/>
      <c r="AY25" s="1"/>
      <c r="BA25" s="1"/>
      <c r="BM25" s="1"/>
      <c r="BN25" s="1"/>
      <c r="BW25" s="1"/>
      <c r="BZ25" s="1"/>
      <c r="CM25" s="1"/>
      <c r="CQ25" s="1"/>
      <c r="CX25" s="1"/>
      <c r="CZ25" s="1"/>
      <c r="DC25" s="1"/>
    </row>
    <row r="26" spans="1:107" ht="15.75" customHeight="1" x14ac:dyDescent="0.25">
      <c r="A26" s="1"/>
      <c r="B26" s="3"/>
      <c r="C26" s="1"/>
      <c r="D26" s="1"/>
      <c r="N26" s="1"/>
      <c r="V26" s="1"/>
      <c r="W26" s="1"/>
      <c r="X26" s="1"/>
      <c r="Y26" s="1"/>
      <c r="Z26" s="1"/>
      <c r="AA26" s="1"/>
      <c r="AB26" s="1"/>
      <c r="AI26" s="1"/>
      <c r="AK26" s="1"/>
      <c r="AV26" s="1"/>
      <c r="AW26" s="1"/>
      <c r="AX26" s="1"/>
      <c r="AY26" s="1"/>
      <c r="BA26" s="1"/>
      <c r="BM26" s="1"/>
      <c r="BN26" s="1"/>
      <c r="CX26" s="1"/>
      <c r="CZ26" s="1"/>
      <c r="DB26" s="1"/>
      <c r="DC26" s="1"/>
    </row>
    <row r="27" spans="1:107" ht="15.75" customHeight="1" x14ac:dyDescent="0.25">
      <c r="A27" s="1"/>
      <c r="B27" s="3"/>
      <c r="C27" s="1"/>
      <c r="D27" s="1"/>
      <c r="N27" s="1"/>
      <c r="W27" s="1"/>
      <c r="X27" s="1"/>
      <c r="Y27" s="1"/>
      <c r="Z27" s="1"/>
      <c r="AA27" s="1"/>
      <c r="AB27" s="1"/>
      <c r="AI27" s="1"/>
      <c r="AK27" s="1"/>
      <c r="AV27" s="1"/>
      <c r="AW27" s="1"/>
      <c r="AX27" s="1"/>
      <c r="AY27" s="1"/>
      <c r="BA27" s="1"/>
      <c r="BM27" s="1"/>
      <c r="BN27" s="1"/>
      <c r="BW27" s="1"/>
      <c r="BZ27" s="1"/>
      <c r="CA27" s="1"/>
      <c r="CX27" s="1"/>
      <c r="CZ27" s="1"/>
      <c r="DC27" s="1"/>
    </row>
    <row r="28" spans="1:107" ht="15.75" customHeight="1" x14ac:dyDescent="0.25">
      <c r="A28" s="1"/>
      <c r="B28" s="3"/>
      <c r="C28" s="1"/>
      <c r="D28" s="1"/>
      <c r="M28" s="1"/>
      <c r="N28" s="1"/>
      <c r="V28" s="1"/>
      <c r="W28" s="1"/>
      <c r="X28" s="1"/>
      <c r="Y28" s="1"/>
      <c r="Z28" s="1"/>
      <c r="AA28" s="1"/>
      <c r="AB28" s="1"/>
      <c r="AI28" s="1"/>
      <c r="AK28" s="1"/>
      <c r="AV28" s="1"/>
      <c r="AW28" s="1"/>
      <c r="AX28" s="1"/>
      <c r="AY28" s="1"/>
      <c r="BA28" s="1"/>
      <c r="BM28" s="1"/>
      <c r="BN28" s="1"/>
      <c r="BW28" s="1"/>
      <c r="BZ28" s="1"/>
      <c r="CX28" s="1"/>
      <c r="CZ28" s="1"/>
      <c r="DB28" s="1"/>
      <c r="DC28" s="1"/>
    </row>
    <row r="29" spans="1:107" ht="15.75" customHeight="1" x14ac:dyDescent="0.25">
      <c r="A29" s="1"/>
      <c r="B29" s="3"/>
      <c r="C29" s="1"/>
      <c r="D29" s="1"/>
      <c r="N29" s="1"/>
      <c r="V29" s="1"/>
      <c r="W29" s="1"/>
      <c r="X29" s="1"/>
      <c r="Y29" s="1"/>
      <c r="Z29" s="1"/>
      <c r="AA29" s="1"/>
      <c r="AB29" s="1"/>
      <c r="AI29" s="1"/>
      <c r="AK29" s="1"/>
      <c r="AV29" s="1"/>
      <c r="AW29" s="1"/>
      <c r="AX29" s="1"/>
      <c r="AY29" s="1"/>
      <c r="BA29" s="1"/>
      <c r="BM29" s="1"/>
      <c r="BN29" s="1"/>
    </row>
    <row r="30" spans="1:107" ht="15.75" customHeight="1" x14ac:dyDescent="0.25">
      <c r="A30" s="1"/>
      <c r="B30" s="3"/>
      <c r="C30" s="1"/>
      <c r="D30" s="1"/>
      <c r="N30" s="1"/>
      <c r="V30" s="1"/>
      <c r="W30" s="1"/>
      <c r="X30" s="1"/>
      <c r="Y30" s="1"/>
      <c r="Z30" s="1"/>
      <c r="AA30" s="1"/>
      <c r="AB30" s="1"/>
      <c r="AI30" s="1"/>
      <c r="AK30" s="1"/>
      <c r="AV30" s="1"/>
      <c r="AW30" s="1"/>
      <c r="AX30" s="1"/>
      <c r="AY30" s="1"/>
      <c r="BA30" s="1"/>
      <c r="BM30" s="1"/>
      <c r="BN30" s="1"/>
      <c r="BV30" s="1"/>
      <c r="CX30" s="1"/>
      <c r="CZ30" s="1"/>
      <c r="DB30" s="1"/>
      <c r="DC30" s="1"/>
    </row>
    <row r="31" spans="1:107" ht="15.75" customHeight="1" x14ac:dyDescent="0.25">
      <c r="A31" s="1"/>
      <c r="B31" s="3"/>
      <c r="C31" s="1"/>
      <c r="D31" s="1"/>
      <c r="N31" s="1"/>
      <c r="W31" s="1"/>
      <c r="X31" s="1"/>
      <c r="Y31" s="1"/>
      <c r="Z31" s="1"/>
      <c r="AA31" s="1"/>
      <c r="AB31" s="1"/>
      <c r="AI31" s="1"/>
      <c r="AK31" s="1"/>
      <c r="AV31" s="1"/>
      <c r="AW31" s="1"/>
      <c r="AX31" s="1"/>
      <c r="AY31" s="1"/>
      <c r="BA31" s="1"/>
      <c r="BM31" s="1"/>
      <c r="BN31" s="1"/>
      <c r="BW31" s="1"/>
      <c r="BY31" s="1"/>
      <c r="BZ31" s="1"/>
      <c r="CX31" s="1"/>
      <c r="CZ31" s="1"/>
      <c r="DC31" s="1"/>
    </row>
    <row r="32" spans="1:107" ht="15.75" customHeight="1" x14ac:dyDescent="0.25">
      <c r="A32" s="1"/>
      <c r="B32" s="3"/>
      <c r="C32" s="1"/>
      <c r="D32" s="1"/>
      <c r="N32" s="1"/>
      <c r="V32" s="1"/>
      <c r="W32" s="1"/>
      <c r="X32" s="1"/>
      <c r="Y32" s="1"/>
      <c r="Z32" s="1"/>
      <c r="AA32" s="1"/>
      <c r="AB32" s="1"/>
      <c r="AI32" s="1"/>
      <c r="AK32" s="1"/>
      <c r="AU32" s="1"/>
      <c r="AV32" s="1"/>
      <c r="AW32" s="1"/>
      <c r="AX32" s="1"/>
      <c r="AY32" s="1"/>
      <c r="BA32" s="1"/>
      <c r="BM32" s="1"/>
      <c r="BN32" s="1"/>
      <c r="BV32" s="1"/>
      <c r="BW32" s="1"/>
      <c r="BY32" s="1"/>
      <c r="CX32" s="1"/>
      <c r="CY32" s="1"/>
      <c r="CZ32" s="1"/>
      <c r="DB32" s="1"/>
      <c r="DC32" s="1"/>
    </row>
    <row r="33" spans="1:107" ht="15.75" customHeight="1" x14ac:dyDescent="0.25">
      <c r="A33" s="1"/>
      <c r="B33" s="3"/>
      <c r="C33" s="1"/>
      <c r="D33" s="1"/>
      <c r="N33" s="1"/>
      <c r="W33" s="1"/>
      <c r="X33" s="1"/>
      <c r="Y33" s="1"/>
      <c r="Z33" s="1"/>
      <c r="AA33" s="1"/>
      <c r="AB33" s="1"/>
      <c r="AI33" s="1"/>
      <c r="AK33" s="1"/>
      <c r="AU33" s="1"/>
      <c r="AV33" s="1"/>
      <c r="AW33" s="1"/>
      <c r="AX33" s="1"/>
      <c r="AY33" s="1"/>
      <c r="BA33" s="1"/>
      <c r="BM33" s="1"/>
      <c r="BN33" s="1"/>
      <c r="BW33" s="1"/>
      <c r="CX33" s="1"/>
      <c r="CZ33" s="1"/>
      <c r="DC33" s="1"/>
    </row>
    <row r="34" spans="1:107" ht="15.75" customHeight="1" x14ac:dyDescent="0.25">
      <c r="A34" s="1"/>
      <c r="B34" s="3"/>
      <c r="C34" s="1"/>
      <c r="D34" s="1"/>
      <c r="N34" s="1"/>
      <c r="V34" s="1"/>
      <c r="W34" s="1"/>
      <c r="X34" s="1"/>
      <c r="Y34" s="1"/>
      <c r="Z34" s="1"/>
      <c r="AA34" s="1"/>
      <c r="AB34" s="1"/>
      <c r="AI34" s="1"/>
      <c r="AK34" s="1"/>
      <c r="AU34" s="1"/>
      <c r="AV34" s="1"/>
      <c r="AW34" s="1"/>
      <c r="AX34" s="1"/>
      <c r="AY34" s="1"/>
      <c r="BA34" s="1"/>
      <c r="BM34" s="1"/>
      <c r="BN34" s="1"/>
    </row>
    <row r="35" spans="1:107" ht="15.75" customHeight="1" x14ac:dyDescent="0.25">
      <c r="A35" s="1"/>
      <c r="B35" s="3"/>
      <c r="C35" s="1"/>
      <c r="D35" s="1"/>
      <c r="N35" s="1"/>
      <c r="V35" s="1"/>
      <c r="W35" s="1"/>
      <c r="X35" s="1"/>
      <c r="Y35" s="1"/>
      <c r="Z35" s="1"/>
      <c r="AA35" s="1"/>
      <c r="AB35" s="1"/>
      <c r="AI35" s="1"/>
      <c r="AK35" s="1"/>
      <c r="AU35" s="1"/>
      <c r="AV35" s="1"/>
      <c r="AW35" s="1"/>
      <c r="AX35" s="1"/>
      <c r="AY35" s="1"/>
      <c r="BA35" s="1"/>
      <c r="BM35" s="1"/>
      <c r="BN35" s="1"/>
      <c r="CX35" s="1"/>
      <c r="DB35" s="1"/>
      <c r="DC35" s="1"/>
    </row>
    <row r="36" spans="1:107" ht="15.75" customHeight="1" x14ac:dyDescent="0.25">
      <c r="A36" s="1"/>
      <c r="B36" s="3"/>
      <c r="C36" s="1"/>
      <c r="D36" s="1"/>
      <c r="N36" s="1"/>
      <c r="V36" s="1"/>
      <c r="W36" s="1"/>
      <c r="X36" s="1"/>
      <c r="Y36" s="1"/>
      <c r="Z36" s="1"/>
      <c r="AA36" s="1"/>
      <c r="AB36" s="1"/>
      <c r="AI36" s="1"/>
      <c r="AJ36" s="1"/>
      <c r="AK36" s="1"/>
      <c r="AU36" s="1"/>
      <c r="AV36" s="1"/>
      <c r="AW36" s="1"/>
      <c r="AX36" s="1"/>
      <c r="AY36" s="1"/>
      <c r="BA36" s="1"/>
      <c r="BL36" s="1"/>
      <c r="BM36" s="1"/>
      <c r="CX36" s="1"/>
      <c r="CZ36" s="1"/>
      <c r="DA36" s="1"/>
      <c r="DB36" s="1"/>
      <c r="DC36" s="1"/>
    </row>
    <row r="37" spans="1:107" ht="15.75" customHeight="1" x14ac:dyDescent="0.25">
      <c r="A37" s="1"/>
      <c r="B37" s="3"/>
      <c r="C37" s="1"/>
      <c r="D37" s="1"/>
      <c r="N37" s="1"/>
      <c r="V37" s="1"/>
      <c r="W37" s="1"/>
      <c r="X37" s="1"/>
      <c r="Y37" s="1"/>
      <c r="Z37" s="1"/>
      <c r="AA37" s="1"/>
      <c r="AB37" s="1"/>
      <c r="AI37" s="1"/>
      <c r="AK37" s="1"/>
      <c r="AU37" s="1"/>
      <c r="AV37" s="1"/>
      <c r="AW37" s="1"/>
      <c r="AX37" s="1"/>
      <c r="AY37" s="1"/>
      <c r="BA37" s="1"/>
      <c r="BM37" s="1"/>
      <c r="BN37" s="1"/>
      <c r="BV37" s="1"/>
      <c r="CX37" s="1"/>
      <c r="CZ37" s="1"/>
      <c r="DB37" s="1"/>
    </row>
    <row r="38" spans="1:107" ht="15.75" customHeight="1" x14ac:dyDescent="0.25">
      <c r="A38" s="1"/>
      <c r="B38" s="3"/>
      <c r="C38" s="1"/>
      <c r="D38" s="1"/>
      <c r="N38" s="1"/>
      <c r="V38" s="1"/>
      <c r="W38" s="1"/>
      <c r="X38" s="1"/>
      <c r="Y38" s="1"/>
      <c r="Z38" s="1"/>
      <c r="AA38" s="1"/>
      <c r="AB38" s="1"/>
      <c r="AI38" s="1"/>
      <c r="AK38" s="1"/>
      <c r="AU38" s="1"/>
      <c r="AV38" s="1"/>
      <c r="AW38" s="1"/>
      <c r="AX38" s="1"/>
      <c r="AY38" s="1"/>
      <c r="BA38" s="1"/>
      <c r="BM38" s="1"/>
      <c r="BN38" s="1"/>
      <c r="BV38" s="1"/>
      <c r="CH38" s="1"/>
      <c r="CI38" s="1"/>
      <c r="CJ38" s="1"/>
      <c r="CK38" s="1"/>
      <c r="CL38" s="1"/>
      <c r="CX38" s="1"/>
      <c r="CZ38" s="1"/>
      <c r="DC38" s="1"/>
    </row>
    <row r="39" spans="1:107" ht="15.75" customHeight="1" x14ac:dyDescent="0.25">
      <c r="A39" s="1"/>
      <c r="B39" s="3"/>
      <c r="C39" s="1"/>
      <c r="D39" s="1"/>
      <c r="N39" s="1"/>
      <c r="V39" s="1"/>
      <c r="W39" s="1"/>
      <c r="X39" s="1"/>
      <c r="Y39" s="1"/>
      <c r="Z39" s="1"/>
      <c r="AA39" s="1"/>
      <c r="AB39" s="1"/>
      <c r="AI39" s="1"/>
      <c r="AK39" s="1"/>
      <c r="AU39" s="1"/>
      <c r="AV39" s="1"/>
      <c r="AW39" s="1"/>
      <c r="AX39" s="1"/>
      <c r="AY39" s="1"/>
      <c r="BA39" s="1"/>
      <c r="BM39" s="1"/>
      <c r="BN39" s="1"/>
    </row>
    <row r="40" spans="1:107" ht="15.75" customHeight="1" x14ac:dyDescent="0.25">
      <c r="A40" s="1"/>
      <c r="B40" s="3"/>
      <c r="C40" s="1"/>
      <c r="D40" s="1"/>
      <c r="N40" s="1"/>
      <c r="V40" s="1"/>
      <c r="W40" s="1"/>
      <c r="X40" s="1"/>
      <c r="Y40" s="1"/>
      <c r="Z40" s="1"/>
      <c r="AA40" s="1"/>
      <c r="AB40" s="1"/>
      <c r="AI40" s="1"/>
      <c r="AK40" s="1"/>
      <c r="AU40" s="1"/>
      <c r="AV40" s="1"/>
      <c r="AW40" s="1"/>
      <c r="AX40" s="1"/>
      <c r="AY40" s="1"/>
      <c r="BA40" s="1"/>
      <c r="BM40" s="1"/>
      <c r="BN40" s="1"/>
      <c r="CH40" s="1"/>
      <c r="CI40" s="1"/>
      <c r="CJ40" s="1"/>
      <c r="CL40" s="1"/>
      <c r="CX40" s="1"/>
      <c r="CZ40" s="1"/>
      <c r="DB40" s="1"/>
    </row>
    <row r="41" spans="1:107" ht="15.75" customHeight="1" x14ac:dyDescent="0.25">
      <c r="A41" s="1"/>
      <c r="B41" s="3"/>
      <c r="C41" s="1"/>
      <c r="D41" s="1"/>
      <c r="N41" s="1"/>
      <c r="V41" s="1"/>
      <c r="W41" s="1"/>
      <c r="X41" s="1"/>
      <c r="Y41" s="1"/>
      <c r="Z41" s="1"/>
      <c r="AA41" s="1"/>
      <c r="AB41" s="1"/>
      <c r="AI41" s="1"/>
      <c r="AK41" s="1"/>
      <c r="AU41" s="1"/>
      <c r="AV41" s="1"/>
      <c r="AW41" s="1"/>
      <c r="AX41" s="1"/>
      <c r="AY41" s="1"/>
      <c r="BA41" s="1"/>
      <c r="BM41" s="1"/>
      <c r="BN41" s="1"/>
      <c r="BW41" s="1"/>
      <c r="CB41" s="1"/>
      <c r="CF41" s="1"/>
      <c r="CG41" s="1"/>
      <c r="CH41" s="1"/>
      <c r="CL41" s="1"/>
      <c r="CX41" s="1"/>
      <c r="CZ41" s="1"/>
      <c r="DB41" s="1"/>
      <c r="DC41" s="1"/>
    </row>
    <row r="42" spans="1:107" ht="15.75" customHeight="1" x14ac:dyDescent="0.25">
      <c r="A42" s="1"/>
      <c r="B42" s="3"/>
      <c r="C42" s="1"/>
      <c r="D42" s="1"/>
      <c r="N42" s="1"/>
      <c r="V42" s="1"/>
      <c r="W42" s="1"/>
      <c r="X42" s="1"/>
      <c r="Y42" s="1"/>
      <c r="Z42" s="1"/>
      <c r="AA42" s="1"/>
      <c r="AB42" s="1"/>
      <c r="AI42" s="1"/>
      <c r="AK42" s="1"/>
      <c r="AU42" s="1"/>
      <c r="AV42" s="1"/>
      <c r="AW42" s="1"/>
      <c r="AX42" s="1"/>
      <c r="AY42" s="1"/>
      <c r="BA42" s="1"/>
      <c r="BM42" s="1"/>
      <c r="BN42" s="1"/>
      <c r="CX42" s="1"/>
      <c r="CZ42" s="1"/>
      <c r="DB42" s="1"/>
      <c r="DC42" s="1"/>
    </row>
    <row r="43" spans="1:107" ht="15.75" customHeight="1" x14ac:dyDescent="0.25">
      <c r="A43" s="1"/>
      <c r="B43" s="3"/>
      <c r="C43" s="1"/>
      <c r="D43" s="1"/>
      <c r="N43" s="1"/>
      <c r="V43" s="1"/>
      <c r="W43" s="1"/>
      <c r="X43" s="1"/>
      <c r="Y43" s="1"/>
      <c r="Z43" s="1"/>
      <c r="AA43" s="1"/>
      <c r="AB43" s="1"/>
      <c r="AI43" s="1"/>
      <c r="AK43" s="1"/>
      <c r="AU43" s="1"/>
      <c r="AV43" s="1"/>
      <c r="AW43" s="1"/>
      <c r="AX43" s="1"/>
      <c r="AY43" s="1"/>
      <c r="BA43" s="1"/>
      <c r="BM43" s="1"/>
      <c r="BN43" s="1"/>
      <c r="CX43" s="1"/>
      <c r="CZ43" s="1"/>
      <c r="DB43" s="1"/>
      <c r="DC43" s="1"/>
    </row>
    <row r="44" spans="1:107" ht="15.75" customHeight="1" x14ac:dyDescent="0.25">
      <c r="A44" s="1"/>
      <c r="B44" s="3"/>
      <c r="C44" s="1"/>
      <c r="D44" s="1"/>
      <c r="N44" s="1"/>
      <c r="W44" s="1"/>
      <c r="X44" s="1"/>
      <c r="Y44" s="1"/>
      <c r="Z44" s="1"/>
      <c r="AA44" s="1"/>
      <c r="AB44" s="1"/>
      <c r="AI44" s="1"/>
      <c r="AK44" s="1"/>
      <c r="AU44" s="1"/>
      <c r="AV44" s="1"/>
      <c r="AW44" s="1"/>
      <c r="AX44" s="1"/>
      <c r="AY44" s="1"/>
      <c r="BA44" s="1"/>
      <c r="BM44" s="1"/>
      <c r="BN44" s="1"/>
      <c r="BW44" s="1"/>
      <c r="BZ44" s="1"/>
      <c r="CX44" s="1"/>
      <c r="CZ44" s="1"/>
      <c r="DB44" s="1"/>
      <c r="DC44" s="1"/>
    </row>
    <row r="45" spans="1:107" ht="15.75" customHeight="1" x14ac:dyDescent="0.25">
      <c r="A45" s="1"/>
      <c r="B45" s="3"/>
      <c r="C45" s="1"/>
      <c r="D45" s="1"/>
      <c r="N45" s="1"/>
      <c r="W45" s="1"/>
      <c r="X45" s="1"/>
      <c r="Y45" s="1"/>
      <c r="Z45" s="1"/>
      <c r="AA45" s="1"/>
      <c r="AB45" s="1"/>
      <c r="AI45" s="1"/>
      <c r="AK45" s="1"/>
      <c r="AU45" s="1"/>
      <c r="AV45" s="1"/>
      <c r="AW45" s="1"/>
      <c r="AX45" s="1"/>
      <c r="AY45" s="1"/>
      <c r="AZ45" s="1"/>
      <c r="BA45" s="1"/>
      <c r="BW45" s="1"/>
      <c r="CX45" s="1"/>
      <c r="CZ45" s="1"/>
      <c r="DB45" s="1"/>
      <c r="DC45" s="1"/>
    </row>
    <row r="46" spans="1:107" ht="15.75" customHeight="1" x14ac:dyDescent="0.25">
      <c r="A46" s="1"/>
      <c r="B46" s="3"/>
      <c r="C46" s="1"/>
      <c r="D46" s="1"/>
      <c r="N46" s="1"/>
      <c r="W46" s="1"/>
      <c r="X46" s="1"/>
      <c r="Y46" s="1"/>
      <c r="Z46" s="1"/>
      <c r="AA46" s="1"/>
      <c r="AB46" s="1"/>
      <c r="AI46" s="1"/>
      <c r="AJ46" s="1"/>
      <c r="AK46" s="1"/>
      <c r="AT46" s="1"/>
      <c r="AU46" s="1"/>
      <c r="AV46" s="1"/>
      <c r="AW46" s="1"/>
      <c r="AX46" s="1"/>
      <c r="AY46" s="1"/>
      <c r="BA46" s="1"/>
      <c r="BM46" s="1"/>
      <c r="BN46" s="1"/>
      <c r="BV46" s="1"/>
      <c r="BW46" s="1"/>
      <c r="BZ46" s="1"/>
      <c r="CX46" s="1"/>
      <c r="DC46" s="1"/>
    </row>
    <row r="47" spans="1:107" ht="15.75" customHeight="1" x14ac:dyDescent="0.25">
      <c r="A47" s="1"/>
      <c r="B47" s="3"/>
      <c r="C47" s="1"/>
      <c r="D47" s="1"/>
      <c r="N47" s="1"/>
      <c r="V47" s="1"/>
      <c r="W47" s="1"/>
      <c r="X47" s="1"/>
      <c r="Y47" s="1"/>
      <c r="Z47" s="1"/>
      <c r="AA47" s="1"/>
      <c r="AB47" s="1"/>
      <c r="AI47" s="1"/>
      <c r="AK47" s="1"/>
      <c r="AU47" s="1"/>
      <c r="AV47" s="1"/>
      <c r="AW47" s="1"/>
      <c r="AX47" s="1"/>
      <c r="AY47" s="1"/>
      <c r="BA47" s="1"/>
      <c r="BM47" s="1"/>
      <c r="BN47" s="1"/>
      <c r="BW47" s="1"/>
      <c r="CX47" s="1"/>
      <c r="CZ47" s="1"/>
      <c r="DC47" s="1"/>
    </row>
    <row r="48" spans="1:107" ht="15.75" customHeight="1" x14ac:dyDescent="0.25">
      <c r="A48" s="1"/>
      <c r="B48" s="3"/>
      <c r="C48" s="1"/>
      <c r="D48" s="1"/>
      <c r="N48" s="1"/>
      <c r="W48" s="1"/>
      <c r="X48" s="1"/>
      <c r="Y48" s="1"/>
      <c r="Z48" s="1"/>
      <c r="AA48" s="1"/>
      <c r="AB48" s="1"/>
      <c r="AI48" s="1"/>
      <c r="AJ48" s="1"/>
      <c r="AK48" s="1"/>
      <c r="AU48" s="1"/>
      <c r="AV48" s="1"/>
      <c r="AW48" s="1"/>
      <c r="AX48" s="1"/>
      <c r="AY48" s="1"/>
      <c r="BA48" s="1"/>
      <c r="BM48" s="1"/>
      <c r="BN48" s="1"/>
      <c r="CX48" s="1"/>
      <c r="CZ48" s="1"/>
      <c r="DC48" s="1"/>
    </row>
    <row r="49" spans="1:107" ht="15.75" customHeight="1" x14ac:dyDescent="0.25">
      <c r="A49" s="1"/>
      <c r="B49" s="3"/>
      <c r="C49" s="1"/>
      <c r="D49" s="1"/>
      <c r="N49" s="1"/>
      <c r="V49" s="1"/>
      <c r="W49" s="1"/>
      <c r="X49" s="1"/>
      <c r="Y49" s="1"/>
      <c r="Z49" s="1"/>
      <c r="AA49" s="1"/>
      <c r="AI49" s="1"/>
      <c r="AK49" s="1"/>
      <c r="AU49" s="1"/>
      <c r="AV49" s="1"/>
      <c r="AW49" s="1"/>
      <c r="AX49" s="1"/>
      <c r="AY49" s="1"/>
      <c r="BA49" s="1"/>
      <c r="BM49" s="1"/>
      <c r="BN49" s="1"/>
      <c r="CX49" s="1"/>
      <c r="CZ49" s="1"/>
      <c r="DA49" s="1"/>
      <c r="DB49" s="1"/>
      <c r="DC49" s="1"/>
    </row>
    <row r="50" spans="1:107" ht="15.75" customHeight="1" x14ac:dyDescent="0.25">
      <c r="A50" s="1"/>
      <c r="B50" s="3"/>
      <c r="C50" s="1"/>
      <c r="D50" s="1"/>
      <c r="N50" s="1"/>
      <c r="W50" s="1"/>
      <c r="X50" s="1"/>
      <c r="Y50" s="1"/>
      <c r="Z50" s="1"/>
      <c r="AA50" s="1"/>
      <c r="AB50" s="1"/>
      <c r="AI50" s="1"/>
      <c r="AK50" s="1"/>
      <c r="AU50" s="1"/>
      <c r="AV50" s="1"/>
      <c r="AW50" s="1"/>
      <c r="AX50" s="1"/>
      <c r="AY50" s="1"/>
      <c r="AZ50" s="1"/>
      <c r="CX50" s="1"/>
      <c r="CZ50" s="1"/>
      <c r="DC50" s="1"/>
    </row>
    <row r="51" spans="1:107" ht="15.75" customHeight="1" x14ac:dyDescent="0.25">
      <c r="A51" s="1"/>
      <c r="B51" s="3"/>
      <c r="C51" s="1"/>
      <c r="D51" s="1"/>
      <c r="N51" s="1"/>
      <c r="W51" s="1"/>
      <c r="X51" s="1"/>
      <c r="Y51" s="1"/>
      <c r="Z51" s="1"/>
      <c r="AA51" s="1"/>
      <c r="AB51" s="1"/>
      <c r="AI51" s="1"/>
      <c r="AK51" s="1"/>
      <c r="AU51" s="1"/>
      <c r="AV51" s="1"/>
      <c r="AW51" s="1"/>
      <c r="AX51" s="1"/>
      <c r="AY51" s="1"/>
      <c r="BA51" s="1"/>
      <c r="BM51" s="1"/>
      <c r="BN51" s="1"/>
      <c r="CX51" s="1"/>
      <c r="CZ51" s="1"/>
      <c r="DC51" s="1"/>
    </row>
    <row r="52" spans="1:107" ht="15.75" customHeight="1" x14ac:dyDescent="0.25">
      <c r="A52" s="1"/>
      <c r="B52" s="3"/>
      <c r="C52" s="1"/>
      <c r="D52" s="1"/>
      <c r="N52" s="1"/>
      <c r="W52" s="1"/>
      <c r="X52" s="1"/>
      <c r="Y52" s="1"/>
      <c r="Z52" s="1"/>
      <c r="AA52" s="1"/>
      <c r="AB52" s="1"/>
      <c r="AI52" s="1"/>
      <c r="AK52" s="1"/>
      <c r="AU52" s="1"/>
      <c r="AV52" s="1"/>
      <c r="AW52" s="1"/>
      <c r="AX52" s="1"/>
      <c r="AY52" s="1"/>
      <c r="BA52" s="1"/>
      <c r="BM52" s="1"/>
      <c r="BN52" s="1"/>
      <c r="CX52" s="1"/>
      <c r="CZ52" s="1"/>
      <c r="DC52" s="1"/>
    </row>
    <row r="53" spans="1:107" ht="15.75" customHeight="1" x14ac:dyDescent="0.25">
      <c r="A53" s="1"/>
      <c r="B53" s="3"/>
      <c r="C53" s="1"/>
      <c r="D53" s="1"/>
      <c r="N53" s="1"/>
      <c r="V53" s="1"/>
      <c r="W53" s="1"/>
      <c r="X53" s="1"/>
      <c r="Y53" s="1"/>
      <c r="Z53" s="1"/>
      <c r="AA53" s="1"/>
      <c r="AB53" s="1"/>
      <c r="AI53" s="1"/>
      <c r="AK53" s="1"/>
      <c r="AU53" s="1"/>
      <c r="AV53" s="1"/>
      <c r="AW53" s="1"/>
      <c r="AX53" s="1"/>
      <c r="AY53" s="1"/>
      <c r="BA53" s="1"/>
      <c r="BM53" s="1"/>
      <c r="BN53" s="1"/>
      <c r="BW53" s="1"/>
      <c r="BZ53" s="1"/>
      <c r="CM53" s="1"/>
      <c r="CQ53" s="1"/>
      <c r="CX53" s="1"/>
      <c r="CZ53" s="1"/>
      <c r="DC53" s="1"/>
    </row>
    <row r="54" spans="1:107" ht="15.75" customHeight="1" x14ac:dyDescent="0.25">
      <c r="A54" s="1"/>
      <c r="B54" s="3"/>
      <c r="C54" s="1"/>
      <c r="D54" s="1"/>
      <c r="N54" s="1"/>
      <c r="W54" s="1"/>
      <c r="X54" s="1"/>
      <c r="Y54" s="1"/>
      <c r="Z54" s="1"/>
      <c r="AA54" s="1"/>
      <c r="AB54" s="1"/>
      <c r="AI54" s="1"/>
      <c r="AK54" s="1"/>
      <c r="AU54" s="1"/>
      <c r="AV54" s="1"/>
      <c r="AW54" s="1"/>
      <c r="AX54" s="1"/>
      <c r="AY54" s="1"/>
      <c r="BA54" s="1"/>
      <c r="BM54" s="1"/>
      <c r="BN54" s="1"/>
      <c r="CH54" s="1"/>
      <c r="CJ54" s="1"/>
      <c r="CL54" s="1"/>
      <c r="CX54" s="1"/>
      <c r="CZ54" s="1"/>
      <c r="DC54" s="1"/>
    </row>
    <row r="55" spans="1:107" ht="15.75" customHeight="1" x14ac:dyDescent="0.25">
      <c r="A55" s="1"/>
      <c r="B55" s="3"/>
      <c r="C55" s="1"/>
      <c r="D55" s="1"/>
      <c r="N55" s="1"/>
      <c r="W55" s="1"/>
      <c r="X55" s="1"/>
      <c r="Y55" s="1"/>
      <c r="Z55" s="1"/>
      <c r="AA55" s="1"/>
      <c r="AB55" s="1"/>
      <c r="AI55" s="1"/>
      <c r="AK55" s="1"/>
      <c r="AT55" s="1"/>
      <c r="AU55" s="1"/>
      <c r="AV55" s="1"/>
      <c r="AW55" s="1"/>
      <c r="AX55" s="1"/>
      <c r="AY55" s="1"/>
      <c r="BA55" s="1"/>
      <c r="BL55" s="1"/>
      <c r="BM55" s="1"/>
      <c r="BN55" s="1"/>
      <c r="BV55" s="1"/>
    </row>
    <row r="56" spans="1:107" ht="15.75" customHeight="1" x14ac:dyDescent="0.25">
      <c r="A56" s="1"/>
      <c r="B56" s="3"/>
      <c r="C56" s="1"/>
      <c r="D56" s="1"/>
      <c r="N56" s="1"/>
      <c r="V56" s="1"/>
      <c r="W56" s="1"/>
      <c r="X56" s="1"/>
      <c r="Y56" s="1"/>
      <c r="Z56" s="1"/>
      <c r="AA56" s="1"/>
      <c r="AB56" s="1"/>
      <c r="AI56" s="1"/>
      <c r="AJ56" s="1"/>
      <c r="AK56" s="1"/>
      <c r="AU56" s="1"/>
      <c r="AV56" s="1"/>
      <c r="AW56" s="1"/>
      <c r="AX56" s="1"/>
      <c r="AY56" s="1"/>
      <c r="BA56" s="1"/>
      <c r="BM56" s="1"/>
      <c r="BN56" s="1"/>
      <c r="CH56" s="1"/>
      <c r="CI56" s="1"/>
      <c r="CJ56" s="1"/>
      <c r="CL56" s="1"/>
      <c r="CX56" s="1"/>
      <c r="CZ56" s="1"/>
      <c r="DB56" s="1"/>
      <c r="DC56" s="1"/>
    </row>
    <row r="57" spans="1:107" ht="15.75" customHeight="1" x14ac:dyDescent="0.25">
      <c r="A57" s="1"/>
      <c r="B57" s="3"/>
      <c r="C57" s="1"/>
      <c r="D57" s="1"/>
      <c r="N57" s="1"/>
      <c r="W57" s="1"/>
      <c r="X57" s="1"/>
      <c r="Y57" s="1"/>
      <c r="Z57" s="1"/>
      <c r="AA57" s="1"/>
      <c r="AB57" s="1"/>
      <c r="AI57" s="1"/>
      <c r="AK57" s="1"/>
      <c r="AU57" s="1"/>
      <c r="AV57" s="1"/>
      <c r="AW57" s="1"/>
      <c r="AX57" s="1"/>
      <c r="AY57" s="1"/>
      <c r="BA57" s="1"/>
      <c r="BM57" s="1"/>
      <c r="BN57" s="1"/>
      <c r="BW57" s="1"/>
      <c r="BZ57" s="1"/>
      <c r="CH57" s="1"/>
      <c r="CJ57" s="1"/>
      <c r="CL57" s="1"/>
      <c r="CM57" s="1"/>
      <c r="CX57" s="1"/>
      <c r="CZ57" s="1"/>
      <c r="DC57" s="1"/>
    </row>
    <row r="58" spans="1:107" ht="15.75" customHeight="1" x14ac:dyDescent="0.25">
      <c r="A58" s="1"/>
      <c r="B58" s="3"/>
      <c r="C58" s="1"/>
      <c r="D58" s="1"/>
      <c r="N58" s="1"/>
      <c r="V58" s="1"/>
      <c r="W58" s="1"/>
      <c r="X58" s="1"/>
      <c r="Y58" s="1"/>
      <c r="Z58" s="1"/>
      <c r="AA58" s="1"/>
      <c r="AB58" s="1"/>
      <c r="AI58" s="1"/>
      <c r="AJ58" s="1"/>
      <c r="AK58" s="1"/>
      <c r="AU58" s="1"/>
      <c r="AV58" s="1"/>
      <c r="AW58" s="1"/>
      <c r="AX58" s="1"/>
      <c r="AY58" s="1"/>
      <c r="BA58" s="1"/>
      <c r="BM58" s="1"/>
      <c r="BN58" s="1"/>
      <c r="BV58" s="1"/>
      <c r="CH58" s="1"/>
      <c r="CI58" s="1"/>
      <c r="CL58" s="1"/>
      <c r="CX58" s="1"/>
      <c r="CZ58" s="1"/>
      <c r="DB58" s="1"/>
      <c r="DC58" s="1"/>
    </row>
    <row r="59" spans="1:107" ht="15.75" customHeight="1" x14ac:dyDescent="0.25">
      <c r="A59" s="1"/>
      <c r="B59" s="3"/>
      <c r="C59" s="1"/>
      <c r="D59" s="1"/>
      <c r="N59" s="1"/>
      <c r="V59" s="1"/>
      <c r="W59" s="1"/>
      <c r="X59" s="1"/>
      <c r="Y59" s="1"/>
      <c r="Z59" s="1"/>
      <c r="AA59" s="1"/>
      <c r="AB59" s="1"/>
      <c r="AI59" s="1"/>
      <c r="AK59" s="1"/>
      <c r="AU59" s="1"/>
      <c r="AV59" s="1"/>
      <c r="AW59" s="1"/>
      <c r="AX59" s="1"/>
      <c r="AY59" s="1"/>
      <c r="BA59" s="1"/>
      <c r="BM59" s="1"/>
      <c r="BN59" s="1"/>
      <c r="BW59" s="1"/>
      <c r="BZ59" s="1"/>
      <c r="CX59" s="1"/>
      <c r="CZ59" s="1"/>
      <c r="DA59" s="1"/>
      <c r="DB59" s="1"/>
      <c r="DC59" s="1"/>
    </row>
    <row r="60" spans="1:107" ht="15.75" customHeight="1" x14ac:dyDescent="0.25">
      <c r="A60" s="1"/>
      <c r="B60" s="3"/>
      <c r="C60" s="1"/>
      <c r="D60" s="1"/>
      <c r="N60" s="1"/>
      <c r="V60" s="1"/>
      <c r="W60" s="1"/>
      <c r="X60" s="1"/>
      <c r="Y60" s="1"/>
      <c r="Z60" s="1"/>
      <c r="AA60" s="1"/>
      <c r="AB60" s="1"/>
      <c r="AI60" s="1"/>
      <c r="AK60" s="1"/>
      <c r="AU60" s="1"/>
      <c r="AV60" s="1"/>
      <c r="AW60" s="1"/>
      <c r="AX60" s="1"/>
      <c r="AY60" s="1"/>
      <c r="BA60" s="1"/>
      <c r="BM60" s="1"/>
      <c r="BN60" s="1"/>
      <c r="BW60" s="1"/>
      <c r="BZ60" s="1"/>
      <c r="CX60" s="1"/>
      <c r="CZ60" s="1"/>
      <c r="DC60" s="1"/>
    </row>
    <row r="61" spans="1:107" ht="15.75" customHeight="1" x14ac:dyDescent="0.25">
      <c r="A61" s="1"/>
      <c r="B61" s="3"/>
      <c r="C61" s="1"/>
      <c r="D61" s="1"/>
      <c r="N61" s="1"/>
      <c r="U61" s="1"/>
      <c r="V61" s="1"/>
      <c r="W61" s="1"/>
      <c r="X61" s="1"/>
      <c r="Y61" s="1"/>
      <c r="Z61" s="1"/>
      <c r="AA61" s="1"/>
      <c r="AB61" s="1"/>
      <c r="AI61" s="1"/>
      <c r="AK61" s="1"/>
      <c r="AT61" s="1"/>
      <c r="AU61" s="1"/>
      <c r="AV61" s="1"/>
      <c r="AW61" s="1"/>
      <c r="AX61" s="1"/>
      <c r="AY61" s="1"/>
      <c r="BA61" s="1"/>
      <c r="BM61" s="1"/>
      <c r="BN61" s="1"/>
      <c r="CX61" s="1"/>
      <c r="CZ61" s="1"/>
      <c r="DB61" s="1"/>
      <c r="DC61" s="1"/>
    </row>
    <row r="62" spans="1:107" ht="15.75" customHeight="1" x14ac:dyDescent="0.25">
      <c r="A62" s="1"/>
      <c r="B62" s="3"/>
      <c r="C62" s="1"/>
      <c r="D62" s="1"/>
      <c r="N62" s="1"/>
      <c r="W62" s="1"/>
      <c r="X62" s="1"/>
      <c r="Y62" s="1"/>
      <c r="Z62" s="1"/>
      <c r="AA62" s="1"/>
      <c r="AB62" s="1"/>
      <c r="AI62" s="1"/>
      <c r="AJ62" s="1"/>
      <c r="AK62" s="1"/>
      <c r="AU62" s="1"/>
      <c r="AV62" s="1"/>
      <c r="AW62" s="1"/>
      <c r="AX62" s="1"/>
      <c r="AY62" s="1"/>
      <c r="BA62" s="1"/>
      <c r="BM62" s="1"/>
      <c r="BN62" s="1"/>
      <c r="CX62" s="1"/>
      <c r="CZ62" s="1"/>
      <c r="DC62" s="1"/>
    </row>
    <row r="63" spans="1:107" ht="15.75" customHeight="1" x14ac:dyDescent="0.25">
      <c r="A63" s="1"/>
      <c r="B63" s="3"/>
      <c r="C63" s="1"/>
      <c r="D63" s="1"/>
      <c r="N63" s="1"/>
      <c r="V63" s="1"/>
      <c r="W63" s="1"/>
      <c r="X63" s="1"/>
      <c r="Y63" s="1"/>
      <c r="Z63" s="1"/>
      <c r="AA63" s="1"/>
      <c r="AB63" s="1"/>
      <c r="AI63" s="1"/>
      <c r="AK63" s="1"/>
      <c r="AU63" s="1"/>
      <c r="AV63" s="1"/>
      <c r="AW63" s="1"/>
      <c r="AX63" s="1"/>
      <c r="AY63" s="1"/>
      <c r="BA63" s="1"/>
      <c r="BM63" s="1"/>
      <c r="BN63" s="1"/>
      <c r="CX63" s="1"/>
      <c r="CZ63" s="1"/>
      <c r="DC63" s="1"/>
    </row>
    <row r="64" spans="1:107" ht="15.75" customHeight="1" x14ac:dyDescent="0.25">
      <c r="A64" s="1"/>
      <c r="B64" s="3"/>
      <c r="C64" s="1"/>
      <c r="D64" s="1"/>
      <c r="N64" s="1"/>
      <c r="V64" s="1"/>
      <c r="W64" s="1"/>
      <c r="X64" s="1"/>
      <c r="Y64" s="1"/>
      <c r="Z64" s="1"/>
      <c r="AA64" s="1"/>
      <c r="AB64" s="1"/>
      <c r="AI64" s="1"/>
      <c r="AK64" s="1"/>
      <c r="AU64" s="1"/>
      <c r="AV64" s="1"/>
      <c r="AW64" s="1"/>
      <c r="AX64" s="1"/>
      <c r="AY64" s="1"/>
      <c r="BA64" s="1"/>
      <c r="BM64" s="1"/>
      <c r="BN64" s="1"/>
      <c r="BV64" s="1"/>
      <c r="BW64" s="1"/>
      <c r="CX64" s="1"/>
      <c r="CY64" s="1"/>
      <c r="CZ64" s="1"/>
      <c r="DB64" s="1"/>
      <c r="DC64" s="1"/>
    </row>
    <row r="65" spans="1:107" ht="15.75" customHeight="1" x14ac:dyDescent="0.25">
      <c r="A65" s="1"/>
      <c r="B65" s="3"/>
      <c r="C65" s="1"/>
      <c r="D65" s="1"/>
      <c r="N65" s="1"/>
      <c r="W65" s="1"/>
      <c r="X65" s="1"/>
      <c r="Y65" s="1"/>
      <c r="Z65" s="1"/>
      <c r="AA65" s="1"/>
      <c r="AI65" s="1"/>
      <c r="AV65" s="1"/>
      <c r="AW65" s="1"/>
      <c r="AX65" s="1"/>
    </row>
    <row r="66" spans="1:107" ht="15.75" customHeight="1" x14ac:dyDescent="0.25">
      <c r="A66" s="1"/>
      <c r="B66" s="3"/>
      <c r="C66" s="1"/>
      <c r="D66" s="1"/>
      <c r="N66" s="1"/>
      <c r="V66" s="1"/>
      <c r="W66" s="1"/>
      <c r="X66" s="1"/>
      <c r="Y66" s="1"/>
      <c r="Z66" s="1"/>
      <c r="AA66" s="1"/>
      <c r="AI66" s="1"/>
      <c r="AK66" s="1"/>
      <c r="AU66" s="1"/>
      <c r="AV66" s="1"/>
      <c r="AW66" s="1"/>
      <c r="AX66" s="1"/>
      <c r="AY66" s="1"/>
      <c r="BA66" s="1"/>
      <c r="BM66" s="1"/>
      <c r="BN66" s="1"/>
      <c r="BV66" s="1"/>
      <c r="DC66" s="1"/>
    </row>
    <row r="67" spans="1:107" ht="15.75" customHeight="1" x14ac:dyDescent="0.25">
      <c r="A67" s="1"/>
      <c r="B67" s="3"/>
      <c r="C67" s="1"/>
      <c r="D67" s="1"/>
      <c r="N67" s="1"/>
      <c r="V67" s="1"/>
      <c r="W67" s="1"/>
      <c r="X67" s="1"/>
      <c r="Y67" s="1"/>
      <c r="Z67" s="1"/>
      <c r="AA67" s="1"/>
      <c r="AB67" s="1"/>
      <c r="AI67" s="1"/>
      <c r="AJ67" s="1"/>
      <c r="AK67" s="1"/>
      <c r="AU67" s="1"/>
      <c r="AV67" s="1"/>
      <c r="AW67" s="1"/>
      <c r="AX67" s="1"/>
      <c r="AY67" s="1"/>
      <c r="BA67" s="1"/>
      <c r="BM67" s="1"/>
      <c r="BN67" s="1"/>
      <c r="DC67" s="1"/>
    </row>
    <row r="68" spans="1:107" ht="15.75" customHeight="1" x14ac:dyDescent="0.25">
      <c r="A68" s="1"/>
      <c r="B68" s="3"/>
      <c r="C68" s="1"/>
      <c r="D68" s="1"/>
      <c r="N68" s="1"/>
      <c r="V68" s="1"/>
      <c r="W68" s="1"/>
      <c r="X68" s="1"/>
      <c r="Y68" s="1"/>
      <c r="Z68" s="1"/>
      <c r="AA68" s="1"/>
      <c r="AB68" s="1"/>
      <c r="AI68" s="1"/>
      <c r="AK68" s="1"/>
      <c r="AU68" s="1"/>
      <c r="AV68" s="1"/>
      <c r="AW68" s="1"/>
      <c r="AX68" s="1"/>
      <c r="AY68" s="1"/>
      <c r="BA68" s="1"/>
      <c r="BM68" s="1"/>
      <c r="BN68" s="1"/>
      <c r="BW68" s="1"/>
      <c r="BZ68" s="1"/>
      <c r="DC68" s="1"/>
    </row>
    <row r="69" spans="1:107" ht="15.75" customHeight="1" x14ac:dyDescent="0.25">
      <c r="A69" s="1"/>
      <c r="B69" s="3"/>
      <c r="C69" s="1"/>
      <c r="D69" s="1"/>
      <c r="N69" s="1"/>
      <c r="V69" s="1"/>
      <c r="W69" s="1"/>
      <c r="X69" s="1"/>
      <c r="Y69" s="1"/>
      <c r="Z69" s="1"/>
      <c r="AA69" s="1"/>
      <c r="AB69" s="1"/>
      <c r="AI69" s="1"/>
      <c r="AK69" s="1"/>
      <c r="AU69" s="1"/>
      <c r="AV69" s="1"/>
      <c r="AW69" s="1"/>
      <c r="AX69" s="1"/>
      <c r="AY69" s="1"/>
      <c r="BA69" s="1"/>
      <c r="BM69" s="1"/>
      <c r="BN69" s="1"/>
      <c r="DC69" s="1"/>
    </row>
    <row r="70" spans="1:107" ht="15.75" customHeight="1" x14ac:dyDescent="0.25">
      <c r="A70" s="1"/>
      <c r="B70" s="3"/>
      <c r="C70" s="1"/>
      <c r="D70" s="1"/>
      <c r="N70" s="1"/>
      <c r="V70" s="1"/>
      <c r="W70" s="1"/>
      <c r="X70" s="1"/>
      <c r="Y70" s="1"/>
      <c r="Z70" s="1"/>
      <c r="AA70" s="1"/>
      <c r="AB70" s="1"/>
      <c r="AI70" s="1"/>
      <c r="AK70" s="1"/>
      <c r="AU70" s="1"/>
      <c r="AV70" s="1"/>
      <c r="AW70" s="1"/>
      <c r="AX70" s="1"/>
      <c r="AY70" s="1"/>
      <c r="BA70" s="1"/>
      <c r="BM70" s="1"/>
      <c r="BN70" s="1"/>
      <c r="BV70" s="1"/>
      <c r="DC70" s="1"/>
    </row>
    <row r="71" spans="1:107" ht="15.75" customHeight="1" x14ac:dyDescent="0.25">
      <c r="A71" s="1"/>
      <c r="B71" s="3"/>
      <c r="C71" s="1"/>
      <c r="D71" s="1"/>
      <c r="N71" s="1"/>
      <c r="V71" s="1"/>
      <c r="W71" s="1"/>
      <c r="X71" s="1"/>
      <c r="Y71" s="1"/>
      <c r="Z71" s="1"/>
      <c r="AA71" s="1"/>
      <c r="AB71" s="1"/>
      <c r="AI71" s="1"/>
      <c r="AJ71" s="1"/>
      <c r="AK71" s="1"/>
      <c r="AU71" s="1"/>
      <c r="AV71" s="1"/>
      <c r="AW71" s="1"/>
      <c r="AX71" s="1"/>
      <c r="AY71" s="1"/>
      <c r="AZ71" s="1"/>
      <c r="BA71" s="1"/>
      <c r="BW71" s="1"/>
      <c r="BY71" s="1"/>
      <c r="BZ71" s="1"/>
      <c r="CB71" s="1"/>
      <c r="CF71" s="1"/>
      <c r="CG71" s="1"/>
      <c r="DC71" s="1"/>
    </row>
    <row r="72" spans="1:107" ht="15.75" customHeight="1" x14ac:dyDescent="0.25">
      <c r="A72" s="1"/>
      <c r="B72" s="3"/>
      <c r="C72" s="1"/>
      <c r="D72" s="1"/>
      <c r="N72" s="1"/>
      <c r="U72" s="1"/>
      <c r="W72" s="1"/>
      <c r="X72" s="1"/>
      <c r="Y72" s="1"/>
      <c r="Z72" s="1"/>
      <c r="AA72" s="1"/>
      <c r="AB72" s="1"/>
      <c r="AI72" s="1"/>
      <c r="AJ72" s="1"/>
      <c r="AK72" s="1"/>
      <c r="AU72" s="1"/>
      <c r="AV72" s="1"/>
      <c r="AW72" s="1"/>
      <c r="AX72" s="1"/>
      <c r="AY72" s="1"/>
      <c r="BA72" s="1"/>
      <c r="BM72" s="1"/>
      <c r="BN72" s="1"/>
      <c r="BV72" s="1"/>
      <c r="BW72" s="1"/>
      <c r="BY72" s="1"/>
      <c r="BZ72" s="1"/>
      <c r="CA72" s="1"/>
      <c r="CH72" s="1"/>
      <c r="CI72" s="1"/>
      <c r="CJ72" s="1"/>
      <c r="CK72" s="1"/>
      <c r="CL72" s="1"/>
      <c r="CR72" s="1"/>
      <c r="CT72" s="1"/>
      <c r="DC72" s="1"/>
    </row>
    <row r="73" spans="1:107" ht="15.75" customHeight="1" x14ac:dyDescent="0.25">
      <c r="A73" s="1"/>
      <c r="B73" s="3"/>
      <c r="C73" s="1"/>
      <c r="D73" s="1"/>
      <c r="N73" s="1"/>
      <c r="V73" s="1"/>
      <c r="W73" s="1"/>
      <c r="X73" s="1"/>
      <c r="Y73" s="1"/>
      <c r="Z73" s="1"/>
      <c r="AA73" s="1"/>
      <c r="AB73" s="1"/>
      <c r="AI73" s="1"/>
      <c r="AK73" s="1"/>
      <c r="AU73" s="1"/>
      <c r="AV73" s="1"/>
      <c r="AW73" s="1"/>
      <c r="AX73" s="1"/>
      <c r="AY73" s="1"/>
      <c r="AZ73" s="1"/>
      <c r="BA73" s="1"/>
    </row>
    <row r="74" spans="1:107" ht="15.75" customHeight="1" x14ac:dyDescent="0.25">
      <c r="A74" s="1"/>
      <c r="B74" s="3"/>
      <c r="C74" s="1"/>
      <c r="D74" s="1"/>
      <c r="N74" s="1"/>
      <c r="V74" s="1"/>
      <c r="W74" s="1"/>
      <c r="X74" s="1"/>
      <c r="Y74" s="1"/>
      <c r="Z74" s="1"/>
      <c r="AA74" s="1"/>
      <c r="AB74" s="1"/>
      <c r="AI74" s="1"/>
      <c r="AK74" s="1"/>
      <c r="AU74" s="1"/>
      <c r="AV74" s="1"/>
      <c r="AW74" s="1"/>
      <c r="AX74" s="1"/>
      <c r="AY74" s="1"/>
      <c r="BA74" s="1"/>
      <c r="DC74" s="1"/>
    </row>
    <row r="75" spans="1:107" ht="15.75" customHeight="1" x14ac:dyDescent="0.25">
      <c r="A75" s="1"/>
      <c r="B75" s="3"/>
      <c r="C75" s="1"/>
      <c r="D75" s="1"/>
      <c r="N75" s="1"/>
      <c r="V75" s="1"/>
      <c r="W75" s="1"/>
      <c r="X75" s="1"/>
      <c r="Y75" s="1"/>
      <c r="Z75" s="1"/>
      <c r="AA75" s="1"/>
      <c r="AB75" s="1"/>
      <c r="AI75" s="1"/>
      <c r="AK75" s="1"/>
      <c r="AU75" s="1"/>
      <c r="AV75" s="1"/>
      <c r="AW75" s="1"/>
      <c r="AX75" s="1"/>
      <c r="AY75" s="1"/>
      <c r="AZ75" s="1"/>
      <c r="BA75" s="1"/>
      <c r="BW75" s="1"/>
      <c r="DC75" s="1"/>
    </row>
    <row r="76" spans="1:107" ht="15.75" customHeight="1" x14ac:dyDescent="0.25">
      <c r="A76" s="1"/>
      <c r="B76" s="3"/>
      <c r="C76" s="1"/>
      <c r="D76" s="1"/>
      <c r="N76" s="1"/>
      <c r="V76" s="1"/>
      <c r="W76" s="1"/>
      <c r="X76" s="1"/>
      <c r="Y76" s="1"/>
      <c r="Z76" s="1"/>
      <c r="AA76" s="1"/>
      <c r="AB76" s="1"/>
      <c r="AI76" s="1"/>
      <c r="AK76" s="1"/>
      <c r="AU76" s="1"/>
      <c r="AV76" s="1"/>
      <c r="AW76" s="1"/>
      <c r="AX76" s="1"/>
      <c r="AY76" s="1"/>
      <c r="BA76" s="1"/>
      <c r="BM76" s="1"/>
      <c r="BN76" s="1"/>
      <c r="DC76" s="1"/>
    </row>
    <row r="77" spans="1:107" ht="15.75" customHeight="1" x14ac:dyDescent="0.25">
      <c r="A77" s="1"/>
      <c r="B77" s="3"/>
      <c r="C77" s="1"/>
      <c r="D77" s="1"/>
      <c r="N77" s="1"/>
      <c r="V77" s="1"/>
      <c r="W77" s="1"/>
      <c r="X77" s="1"/>
      <c r="Y77" s="1"/>
      <c r="Z77" s="1"/>
      <c r="AA77" s="1"/>
      <c r="AB77" s="1"/>
      <c r="AI77" s="1"/>
      <c r="AJ77" s="1"/>
      <c r="AK77" s="1"/>
      <c r="AU77" s="1"/>
      <c r="AV77" s="1"/>
      <c r="AW77" s="1"/>
      <c r="AX77" s="1"/>
      <c r="AY77" s="1"/>
      <c r="AZ77" s="1"/>
      <c r="BA77" s="1"/>
      <c r="BW77" s="1"/>
      <c r="BZ77" s="1"/>
      <c r="DC77" s="1"/>
    </row>
    <row r="78" spans="1:107" ht="15.75" customHeight="1" x14ac:dyDescent="0.25">
      <c r="A78" s="1"/>
      <c r="B78" s="3"/>
      <c r="C78" s="1"/>
      <c r="D78" s="1"/>
      <c r="N78" s="1"/>
      <c r="V78" s="1"/>
      <c r="W78" s="1"/>
      <c r="X78" s="1"/>
      <c r="Y78" s="1"/>
      <c r="Z78" s="1"/>
      <c r="AA78" s="1"/>
      <c r="AB78" s="1"/>
      <c r="AI78" s="1"/>
      <c r="AJ78" s="1"/>
      <c r="AK78" s="1"/>
      <c r="AU78" s="1"/>
      <c r="AV78" s="1"/>
      <c r="AW78" s="1"/>
      <c r="AX78" s="1"/>
      <c r="AY78" s="1"/>
      <c r="BA78" s="1"/>
      <c r="BM78" s="1"/>
      <c r="BN78" s="1"/>
      <c r="BW78" s="1"/>
      <c r="BZ78" s="1"/>
      <c r="DC78" s="1"/>
    </row>
    <row r="79" spans="1:107" ht="15.75" customHeight="1" x14ac:dyDescent="0.25">
      <c r="A79" s="1"/>
      <c r="B79" s="3"/>
      <c r="C79" s="1"/>
      <c r="D79" s="1"/>
      <c r="N79" s="1"/>
      <c r="W79" s="1"/>
      <c r="X79" s="1"/>
      <c r="Y79" s="1"/>
      <c r="Z79" s="1"/>
      <c r="AA79" s="1"/>
      <c r="AB79" s="1"/>
      <c r="AI79" s="1"/>
      <c r="AK79" s="1"/>
      <c r="AU79" s="1"/>
      <c r="AV79" s="1"/>
      <c r="AW79" s="1"/>
      <c r="AX79" s="1"/>
      <c r="AY79" s="1"/>
      <c r="BA79" s="1"/>
      <c r="BM79" s="1"/>
      <c r="BN79" s="1"/>
      <c r="DC79" s="1"/>
    </row>
    <row r="80" spans="1:107" ht="15.75" customHeight="1" x14ac:dyDescent="0.25">
      <c r="A80" s="1"/>
      <c r="B80" s="3"/>
      <c r="C80" s="1"/>
      <c r="D80" s="1"/>
      <c r="N80" s="1"/>
      <c r="V80" s="1"/>
      <c r="W80" s="1"/>
      <c r="X80" s="1"/>
      <c r="Y80" s="1"/>
      <c r="Z80" s="1"/>
      <c r="AA80" s="1"/>
      <c r="AB80" s="1"/>
      <c r="AI80" s="1"/>
      <c r="AJ80" s="1"/>
      <c r="AK80" s="1"/>
      <c r="AU80" s="1"/>
      <c r="AV80" s="1"/>
      <c r="AW80" s="1"/>
      <c r="AX80" s="1"/>
      <c r="AY80" s="1"/>
      <c r="BA80" s="1"/>
      <c r="BM80" s="1"/>
      <c r="BN80" s="1"/>
      <c r="BW80" s="1"/>
      <c r="BZ80" s="1"/>
      <c r="DC80" s="1"/>
    </row>
    <row r="81" spans="1:107" ht="15.75" customHeight="1" x14ac:dyDescent="0.25">
      <c r="A81" s="1"/>
      <c r="B81" s="3"/>
      <c r="C81" s="1"/>
      <c r="D81" s="1"/>
      <c r="N81" s="1"/>
      <c r="V81" s="1"/>
      <c r="W81" s="1"/>
      <c r="X81" s="1"/>
      <c r="Y81" s="1"/>
      <c r="Z81" s="1"/>
      <c r="AA81" s="1"/>
      <c r="AB81" s="1"/>
      <c r="AI81" s="1"/>
      <c r="AJ81" s="1"/>
      <c r="AK81" s="1"/>
      <c r="AU81" s="1"/>
      <c r="AV81" s="1"/>
      <c r="AW81" s="1"/>
      <c r="AX81" s="1"/>
      <c r="AY81" s="1"/>
      <c r="BA81" s="1"/>
      <c r="DC81" s="1"/>
    </row>
    <row r="82" spans="1:107" ht="15.75" customHeight="1" x14ac:dyDescent="0.25">
      <c r="A82" s="1"/>
      <c r="B82" s="3"/>
      <c r="C82" s="1"/>
      <c r="D82" s="1"/>
      <c r="N82" s="1"/>
      <c r="V82" s="1"/>
      <c r="W82" s="1"/>
      <c r="X82" s="1"/>
      <c r="Y82" s="1"/>
      <c r="Z82" s="1"/>
      <c r="AA82" s="1"/>
      <c r="AB82" s="1"/>
      <c r="AI82" s="1"/>
      <c r="AJ82" s="1"/>
      <c r="AK82" s="1"/>
      <c r="AU82" s="1"/>
      <c r="AV82" s="1"/>
      <c r="AW82" s="1"/>
      <c r="AX82" s="1"/>
      <c r="AY82" s="1"/>
      <c r="BA82" s="1"/>
      <c r="BM82" s="1"/>
      <c r="BN82" s="1"/>
      <c r="DC82" s="1"/>
    </row>
    <row r="83" spans="1:107" ht="15.75" customHeight="1" x14ac:dyDescent="0.25">
      <c r="A83" s="1"/>
      <c r="B83" s="3"/>
      <c r="C83" s="1"/>
      <c r="D83" s="1"/>
      <c r="N83" s="1"/>
      <c r="W83" s="1"/>
      <c r="X83" s="1"/>
      <c r="Y83" s="1"/>
      <c r="Z83" s="1"/>
      <c r="AA83" s="1"/>
      <c r="AB83" s="1"/>
      <c r="AI83" s="1"/>
      <c r="AJ83" s="1"/>
      <c r="AK83" s="1"/>
      <c r="AU83" s="1"/>
      <c r="AV83" s="1"/>
      <c r="AW83" s="1"/>
      <c r="AX83" s="1"/>
      <c r="AY83" s="1"/>
      <c r="BA83" s="1"/>
      <c r="BM83" s="1"/>
      <c r="BN83" s="1"/>
      <c r="BW83" s="1"/>
      <c r="BY83" s="1"/>
      <c r="BZ83" s="1"/>
      <c r="DC83" s="1"/>
    </row>
    <row r="84" spans="1:107" ht="15.75" customHeight="1" x14ac:dyDescent="0.25">
      <c r="A84" s="1"/>
      <c r="B84" s="3"/>
      <c r="C84" s="1"/>
      <c r="D84" s="1"/>
      <c r="N84" s="1"/>
      <c r="W84" s="1"/>
      <c r="X84" s="1"/>
      <c r="Y84" s="1"/>
      <c r="Z84" s="1"/>
      <c r="AA84" s="1"/>
      <c r="AB84" s="1"/>
      <c r="AI84" s="1"/>
      <c r="AK84" s="1"/>
      <c r="AU84" s="1"/>
      <c r="AV84" s="1"/>
      <c r="AW84" s="1"/>
      <c r="AX84" s="1"/>
      <c r="AY84" s="1"/>
      <c r="BA84" s="1"/>
      <c r="BM84" s="1"/>
      <c r="BN84" s="1"/>
      <c r="DC84" s="1"/>
    </row>
    <row r="85" spans="1:107" ht="15.75" customHeight="1" x14ac:dyDescent="0.25">
      <c r="A85" s="1"/>
      <c r="B85" s="3"/>
      <c r="C85" s="1"/>
      <c r="D85" s="1"/>
      <c r="N85" s="1"/>
      <c r="W85" s="1"/>
      <c r="X85" s="1"/>
      <c r="Y85" s="1"/>
      <c r="Z85" s="1"/>
      <c r="AA85" s="1"/>
      <c r="AB85" s="1"/>
      <c r="AI85" s="1"/>
      <c r="AK85" s="1"/>
      <c r="AU85" s="1"/>
      <c r="AV85" s="1"/>
      <c r="AW85" s="1"/>
      <c r="AX85" s="1"/>
      <c r="AY85" s="1"/>
      <c r="BA85" s="1"/>
      <c r="BM85" s="1"/>
      <c r="BN85" s="1"/>
      <c r="DC85" s="1"/>
    </row>
    <row r="86" spans="1:107" ht="15.75" customHeight="1" x14ac:dyDescent="0.25">
      <c r="A86" s="1"/>
      <c r="B86" s="3"/>
      <c r="C86" s="1"/>
      <c r="D86" s="1"/>
      <c r="N86" s="1"/>
      <c r="W86" s="1"/>
      <c r="X86" s="1"/>
      <c r="Y86" s="1"/>
      <c r="Z86" s="1"/>
      <c r="AA86" s="1"/>
      <c r="AB86" s="1"/>
      <c r="AI86" s="1"/>
      <c r="AK86" s="1"/>
      <c r="AU86" s="1"/>
      <c r="AV86" s="1"/>
      <c r="AW86" s="1"/>
      <c r="AX86" s="1"/>
      <c r="AY86" s="1"/>
      <c r="BA86" s="1"/>
      <c r="BM86" s="1"/>
      <c r="BN86" s="1"/>
      <c r="DC86" s="1"/>
    </row>
    <row r="87" spans="1:107" ht="15.75" customHeight="1" x14ac:dyDescent="0.25">
      <c r="A87" s="1"/>
      <c r="B87" s="3"/>
      <c r="C87" s="1"/>
      <c r="D87" s="1"/>
      <c r="N87" s="1"/>
      <c r="V87" s="1"/>
      <c r="W87" s="1"/>
      <c r="X87" s="1"/>
      <c r="Y87" s="1"/>
      <c r="Z87" s="1"/>
      <c r="AA87" s="1"/>
      <c r="AB87" s="1"/>
      <c r="AI87" s="1"/>
      <c r="AK87" s="1"/>
      <c r="AU87" s="1"/>
      <c r="AV87" s="1"/>
      <c r="AW87" s="1"/>
      <c r="AX87" s="1"/>
      <c r="AY87" s="1"/>
      <c r="AZ87" s="1"/>
      <c r="DC87" s="1"/>
    </row>
    <row r="88" spans="1:107" ht="15.75" customHeight="1" x14ac:dyDescent="0.25">
      <c r="A88" s="1"/>
      <c r="B88" s="3"/>
      <c r="C88" s="1"/>
      <c r="D88" s="1"/>
      <c r="N88" s="1"/>
      <c r="V88" s="1"/>
      <c r="W88" s="1"/>
      <c r="X88" s="1"/>
      <c r="Y88" s="1"/>
      <c r="Z88" s="1"/>
      <c r="AA88" s="1"/>
      <c r="AB88" s="1"/>
      <c r="AI88" s="1"/>
      <c r="AK88" s="1"/>
      <c r="AU88" s="1"/>
      <c r="AV88" s="1"/>
      <c r="AW88" s="1"/>
      <c r="AX88" s="1"/>
      <c r="AY88" s="1"/>
      <c r="BA88" s="1"/>
      <c r="BM88" s="1"/>
      <c r="BN88" s="1"/>
      <c r="DC88" s="1"/>
    </row>
    <row r="89" spans="1:107" ht="15.75" customHeight="1" x14ac:dyDescent="0.25">
      <c r="A89" s="1"/>
      <c r="B89" s="3"/>
      <c r="C89" s="1"/>
      <c r="D89" s="1"/>
      <c r="N89" s="1"/>
      <c r="V89" s="1"/>
      <c r="W89" s="1"/>
      <c r="X89" s="1"/>
      <c r="Y89" s="1"/>
      <c r="Z89" s="1"/>
      <c r="AA89" s="1"/>
      <c r="AB89" s="1"/>
      <c r="AI89" s="1"/>
      <c r="AK89" s="1"/>
      <c r="AU89" s="1"/>
      <c r="AV89" s="1"/>
      <c r="AW89" s="1"/>
      <c r="AX89" s="1"/>
      <c r="AY89" s="1"/>
      <c r="BA89" s="1"/>
      <c r="BM89" s="1"/>
      <c r="BN89" s="1"/>
      <c r="DC89" s="1"/>
    </row>
    <row r="90" spans="1:107" ht="15.75" customHeight="1" x14ac:dyDescent="0.25">
      <c r="A90" s="1"/>
      <c r="B90" s="3"/>
      <c r="C90" s="1"/>
      <c r="D90" s="1"/>
      <c r="N90" s="1"/>
      <c r="W90" s="1"/>
      <c r="X90" s="1"/>
      <c r="Y90" s="1"/>
      <c r="Z90" s="1"/>
      <c r="AA90" s="1"/>
      <c r="AB90" s="1"/>
      <c r="AI90" s="1"/>
      <c r="AK90" s="1"/>
      <c r="AU90" s="1"/>
      <c r="AV90" s="1"/>
      <c r="AW90" s="1"/>
      <c r="AX90" s="1"/>
      <c r="AY90" s="1"/>
      <c r="BA90" s="1"/>
      <c r="BM90" s="1"/>
      <c r="BN90" s="1"/>
      <c r="DC90" s="1"/>
    </row>
    <row r="91" spans="1:107" ht="15.75" customHeight="1" x14ac:dyDescent="0.25">
      <c r="A91" s="1"/>
      <c r="B91" s="3"/>
      <c r="C91" s="1"/>
      <c r="D91" s="1"/>
      <c r="N91" s="1"/>
      <c r="W91" s="1"/>
      <c r="X91" s="1"/>
      <c r="Y91" s="1"/>
      <c r="Z91" s="1"/>
      <c r="AA91" s="1"/>
      <c r="AB91" s="1"/>
      <c r="AI91" s="1"/>
      <c r="AK91" s="1"/>
      <c r="AU91" s="1"/>
      <c r="AV91" s="1"/>
      <c r="AW91" s="1"/>
      <c r="AX91" s="1"/>
      <c r="AY91" s="1"/>
      <c r="BA91" s="1"/>
      <c r="BM91" s="1"/>
      <c r="BN91" s="1"/>
      <c r="DC91" s="1"/>
    </row>
    <row r="92" spans="1:107" ht="15.75" customHeight="1" x14ac:dyDescent="0.25">
      <c r="A92" s="1"/>
      <c r="B92" s="3"/>
      <c r="C92" s="1"/>
      <c r="D92" s="1"/>
      <c r="N92" s="1"/>
      <c r="V92" s="1"/>
      <c r="W92" s="1"/>
      <c r="X92" s="1"/>
      <c r="Y92" s="1"/>
      <c r="Z92" s="1"/>
      <c r="AA92" s="1"/>
      <c r="AB92" s="1"/>
      <c r="AI92" s="1"/>
      <c r="AK92" s="1"/>
      <c r="AU92" s="1"/>
      <c r="AV92" s="1"/>
      <c r="AW92" s="1"/>
      <c r="AX92" s="1"/>
      <c r="AY92" s="1"/>
      <c r="BA92" s="1"/>
      <c r="BM92" s="1"/>
      <c r="BN92" s="1"/>
      <c r="DC92" s="1"/>
    </row>
    <row r="93" spans="1:107" ht="15.75" customHeight="1" x14ac:dyDescent="0.25">
      <c r="A93" s="1"/>
      <c r="B93" s="3"/>
      <c r="C93" s="1"/>
      <c r="D93" s="1"/>
      <c r="N93" s="1"/>
      <c r="V93" s="1"/>
      <c r="W93" s="1"/>
      <c r="X93" s="1"/>
      <c r="Y93" s="1"/>
      <c r="Z93" s="1"/>
      <c r="AA93" s="1"/>
      <c r="AB93" s="1"/>
      <c r="AI93" s="1"/>
      <c r="AK93" s="1"/>
      <c r="AU93" s="1"/>
      <c r="AV93" s="1"/>
      <c r="AW93" s="1"/>
      <c r="AX93" s="1"/>
      <c r="AY93" s="1"/>
      <c r="BA93" s="1"/>
      <c r="BM93" s="1"/>
      <c r="BN93" s="1"/>
      <c r="DC93" s="1"/>
    </row>
    <row r="94" spans="1:107" ht="15.75" customHeight="1" x14ac:dyDescent="0.25">
      <c r="A94" s="1"/>
      <c r="B94" s="3"/>
      <c r="C94" s="1"/>
      <c r="D94" s="1"/>
      <c r="N94" s="1"/>
      <c r="W94" s="1"/>
      <c r="X94" s="1"/>
      <c r="Y94" s="1"/>
      <c r="Z94" s="1"/>
      <c r="AA94" s="1"/>
      <c r="AB94" s="1"/>
      <c r="AI94" s="1"/>
      <c r="AK94" s="1"/>
      <c r="AU94" s="1"/>
      <c r="AV94" s="1"/>
      <c r="AW94" s="1"/>
      <c r="AX94" s="1"/>
      <c r="AY94" s="1"/>
      <c r="BA94" s="1"/>
      <c r="BM94" s="1"/>
      <c r="BN94" s="1"/>
      <c r="DC94" s="1"/>
    </row>
    <row r="95" spans="1:107" ht="15.75" customHeight="1" x14ac:dyDescent="0.25">
      <c r="A95" s="1"/>
      <c r="B95" s="3"/>
      <c r="C95" s="1"/>
      <c r="D95" s="1"/>
      <c r="N95" s="1"/>
      <c r="V95" s="1"/>
      <c r="W95" s="1"/>
      <c r="X95" s="1"/>
      <c r="Y95" s="1"/>
      <c r="Z95" s="1"/>
      <c r="AA95" s="1"/>
      <c r="AB95" s="1"/>
      <c r="AI95" s="1"/>
      <c r="AK95" s="1"/>
      <c r="AU95" s="1"/>
      <c r="AV95" s="1"/>
      <c r="AW95" s="1"/>
      <c r="AX95" s="1"/>
      <c r="AY95" s="1"/>
      <c r="BA95" s="1"/>
      <c r="BM95" s="1"/>
      <c r="BN95" s="1"/>
      <c r="BW95" s="1"/>
      <c r="DC95" s="1"/>
    </row>
    <row r="96" spans="1:107" ht="15.75" customHeight="1" x14ac:dyDescent="0.25">
      <c r="A96" s="1"/>
      <c r="B96" s="3"/>
      <c r="C96" s="1"/>
      <c r="D96" s="1"/>
      <c r="N96" s="1"/>
      <c r="V96" s="1"/>
      <c r="W96" s="1"/>
      <c r="X96" s="1"/>
      <c r="Y96" s="1"/>
      <c r="Z96" s="1"/>
      <c r="AA96" s="1"/>
      <c r="AB96" s="1"/>
      <c r="AI96" s="1"/>
      <c r="AK96" s="1"/>
      <c r="AU96" s="1"/>
      <c r="AV96" s="1"/>
      <c r="AW96" s="1"/>
      <c r="AX96" s="1"/>
      <c r="AY96" s="1"/>
      <c r="BA96" s="1"/>
      <c r="BM96" s="1"/>
      <c r="BN96" s="1"/>
      <c r="BW96" s="1"/>
      <c r="BY96" s="1"/>
      <c r="BZ96" s="1"/>
      <c r="CA96" s="1"/>
      <c r="DC96" s="1"/>
    </row>
    <row r="97" spans="1:107" ht="15.75" customHeight="1" x14ac:dyDescent="0.25">
      <c r="A97" s="1"/>
      <c r="B97" s="3"/>
      <c r="C97" s="1"/>
      <c r="D97" s="1"/>
      <c r="N97" s="1"/>
      <c r="W97" s="1"/>
      <c r="X97" s="1"/>
      <c r="Y97" s="1"/>
      <c r="Z97" s="1"/>
      <c r="AA97" s="1"/>
      <c r="AB97" s="1"/>
      <c r="AI97" s="1"/>
      <c r="AJ97" s="1"/>
      <c r="AK97" s="1"/>
      <c r="AU97" s="1"/>
      <c r="AV97" s="1"/>
      <c r="AW97" s="1"/>
      <c r="AX97" s="1"/>
      <c r="AY97" s="1"/>
      <c r="AZ97" s="1"/>
      <c r="BA97" s="1"/>
      <c r="DC97" s="1"/>
    </row>
    <row r="98" spans="1:107" ht="15.75" customHeight="1" x14ac:dyDescent="0.25">
      <c r="A98" s="1"/>
      <c r="B98" s="3"/>
      <c r="C98" s="1"/>
      <c r="D98" s="1"/>
      <c r="N98" s="1"/>
      <c r="V98" s="1"/>
      <c r="W98" s="1"/>
      <c r="X98" s="1"/>
      <c r="Y98" s="1"/>
      <c r="Z98" s="1"/>
      <c r="AA98" s="1"/>
      <c r="AB98" s="1"/>
      <c r="AI98" s="1"/>
      <c r="AK98" s="1"/>
      <c r="AU98" s="1"/>
      <c r="AV98" s="1"/>
      <c r="AW98" s="1"/>
      <c r="AX98" s="1"/>
      <c r="AY98" s="1"/>
      <c r="BA98" s="1"/>
      <c r="BM98" s="1"/>
      <c r="BN98" s="1"/>
      <c r="DC98" s="1"/>
    </row>
    <row r="99" spans="1:107" ht="15.75" customHeight="1" x14ac:dyDescent="0.25">
      <c r="A99" s="1"/>
      <c r="B99" s="3"/>
      <c r="C99" s="1"/>
      <c r="D99" s="1"/>
      <c r="N99" s="1"/>
      <c r="V99" s="1"/>
      <c r="W99" s="1"/>
      <c r="X99" s="1"/>
      <c r="Y99" s="1"/>
      <c r="Z99" s="1"/>
      <c r="AA99" s="1"/>
      <c r="AB99" s="1"/>
      <c r="AI99" s="1"/>
      <c r="AK99" s="1"/>
      <c r="AU99" s="1"/>
      <c r="AV99" s="1"/>
      <c r="AW99" s="1"/>
      <c r="AX99" s="1"/>
      <c r="AY99" s="1"/>
      <c r="BA99" s="1"/>
      <c r="BM99" s="1"/>
      <c r="BN99" s="1"/>
      <c r="BW99" s="1"/>
      <c r="BY99" s="1"/>
      <c r="BZ99" s="1"/>
      <c r="DC99" s="1"/>
    </row>
    <row r="100" spans="1:107" ht="15.75" customHeight="1" x14ac:dyDescent="0.25">
      <c r="A100" s="1"/>
      <c r="B100" s="3"/>
      <c r="C100" s="1"/>
      <c r="D100" s="1"/>
      <c r="M100" s="1"/>
      <c r="N100" s="1"/>
      <c r="V100" s="1"/>
      <c r="W100" s="1"/>
      <c r="X100" s="1"/>
      <c r="Y100" s="1"/>
      <c r="Z100" s="1"/>
      <c r="AA100" s="1"/>
      <c r="AB100" s="1"/>
      <c r="AI100" s="1"/>
      <c r="AJ100" s="1"/>
      <c r="AK100" s="1"/>
      <c r="AU100" s="1"/>
      <c r="AV100" s="1"/>
      <c r="AW100" s="1"/>
      <c r="AX100" s="1"/>
      <c r="AY100" s="1"/>
      <c r="BA100" s="1"/>
      <c r="BM100" s="1"/>
      <c r="BN100" s="1"/>
      <c r="BV100" s="1"/>
      <c r="BW100" s="1"/>
      <c r="BY100" s="1"/>
      <c r="BZ100" s="1"/>
      <c r="CH100" s="1"/>
      <c r="CI100" s="1"/>
      <c r="CJ100" s="1"/>
      <c r="CL100" s="1"/>
      <c r="DC100" s="1"/>
    </row>
    <row r="101" spans="1:107" ht="15.75" customHeight="1" x14ac:dyDescent="0.25">
      <c r="A101" s="1"/>
      <c r="B101" s="3"/>
      <c r="C101" s="1"/>
      <c r="D101" s="1"/>
      <c r="N101" s="1"/>
      <c r="W101" s="1"/>
      <c r="X101" s="1"/>
      <c r="Y101" s="1"/>
      <c r="Z101" s="1"/>
      <c r="AA101" s="1"/>
      <c r="AB101" s="1"/>
      <c r="AI101" s="1"/>
      <c r="AK101" s="1"/>
      <c r="AU101" s="1"/>
      <c r="AV101" s="1"/>
      <c r="AW101" s="1"/>
      <c r="AX101" s="1"/>
      <c r="AY101" s="1"/>
      <c r="BA101" s="1"/>
      <c r="BL101" s="1"/>
      <c r="BM101" s="1"/>
      <c r="BN101" s="1"/>
      <c r="CH101" s="1"/>
      <c r="CI101" s="1"/>
      <c r="CJ101" s="1"/>
      <c r="CL101" s="1"/>
      <c r="DC101" s="1"/>
    </row>
    <row r="102" spans="1:107" ht="15.75" customHeight="1" x14ac:dyDescent="0.25">
      <c r="A102" s="1"/>
      <c r="B102" s="3"/>
      <c r="C102" s="1"/>
      <c r="D102" s="1"/>
      <c r="N102" s="1"/>
      <c r="V102" s="1"/>
      <c r="W102" s="1"/>
      <c r="X102" s="1"/>
      <c r="Y102" s="1"/>
      <c r="Z102" s="1"/>
      <c r="AA102" s="1"/>
      <c r="AB102" s="1"/>
      <c r="AI102" s="1"/>
      <c r="AK102" s="1"/>
      <c r="AU102" s="1"/>
      <c r="AV102" s="1"/>
      <c r="AW102" s="1"/>
      <c r="AX102" s="1"/>
      <c r="AY102" s="1"/>
      <c r="BA102" s="1"/>
      <c r="BM102" s="1"/>
      <c r="BN102" s="1"/>
      <c r="CH102" s="1"/>
      <c r="CI102" s="1"/>
      <c r="CJ102" s="1"/>
      <c r="CK102" s="1"/>
      <c r="CL102" s="1"/>
    </row>
    <row r="103" spans="1:107" ht="15.75" customHeight="1" x14ac:dyDescent="0.25">
      <c r="A103" s="1"/>
      <c r="B103" s="3"/>
      <c r="C103" s="1"/>
      <c r="D103" s="1"/>
      <c r="N103" s="1"/>
      <c r="V103" s="1"/>
      <c r="W103" s="1"/>
      <c r="X103" s="1"/>
      <c r="Y103" s="1"/>
      <c r="Z103" s="1"/>
      <c r="AA103" s="1"/>
      <c r="AB103" s="1"/>
      <c r="AI103" s="1"/>
      <c r="AJ103" s="1"/>
      <c r="AK103" s="1"/>
      <c r="AU103" s="1"/>
      <c r="AV103" s="1"/>
      <c r="AW103" s="1"/>
      <c r="AX103" s="1"/>
      <c r="AY103" s="1"/>
      <c r="AZ103" s="1"/>
      <c r="BA103" s="1"/>
    </row>
    <row r="104" spans="1:107" ht="15.75" customHeight="1" x14ac:dyDescent="0.25">
      <c r="A104" s="1"/>
      <c r="B104" s="3"/>
      <c r="C104" s="1"/>
      <c r="D104" s="1"/>
      <c r="N104" s="1"/>
      <c r="V104" s="1"/>
      <c r="W104" s="1"/>
      <c r="X104" s="1"/>
      <c r="Y104" s="1"/>
      <c r="Z104" s="1"/>
      <c r="AA104" s="1"/>
      <c r="AB104" s="1"/>
      <c r="AI104" s="1"/>
      <c r="AJ104" s="1"/>
      <c r="AK104" s="1"/>
      <c r="AU104" s="1"/>
      <c r="AV104" s="1"/>
      <c r="AW104" s="1"/>
      <c r="AX104" s="1"/>
      <c r="AY104" s="1"/>
      <c r="AZ104" s="1"/>
      <c r="BA104" s="1"/>
      <c r="DC104" s="1"/>
    </row>
    <row r="105" spans="1:107" ht="15.75" customHeight="1" x14ac:dyDescent="0.25">
      <c r="A105" s="1"/>
      <c r="B105" s="3"/>
      <c r="C105" s="1"/>
      <c r="D105" s="1"/>
      <c r="N105" s="1"/>
      <c r="V105" s="1"/>
      <c r="W105" s="1"/>
      <c r="X105" s="1"/>
      <c r="Y105" s="1"/>
      <c r="Z105" s="1"/>
      <c r="AA105" s="1"/>
      <c r="AB105" s="1"/>
      <c r="AI105" s="1"/>
      <c r="AK105" s="1"/>
      <c r="AU105" s="1"/>
      <c r="AV105" s="1"/>
      <c r="AW105" s="1"/>
      <c r="AX105" s="1"/>
      <c r="AY105" s="1"/>
      <c r="AZ105" s="1"/>
      <c r="BA105" s="1"/>
      <c r="DC105" s="1"/>
    </row>
    <row r="106" spans="1:107" ht="15.75" customHeight="1" x14ac:dyDescent="0.25">
      <c r="A106" s="1"/>
      <c r="B106" s="3"/>
      <c r="C106" s="1"/>
      <c r="D106" s="1"/>
      <c r="N106" s="1"/>
      <c r="W106" s="1"/>
      <c r="X106" s="1"/>
      <c r="Y106" s="1"/>
      <c r="Z106" s="1"/>
      <c r="AA106" s="1"/>
      <c r="AB106" s="1"/>
      <c r="AI106" s="1"/>
      <c r="AK106" s="1"/>
      <c r="AU106" s="1"/>
      <c r="AV106" s="1"/>
      <c r="AW106" s="1"/>
      <c r="AX106" s="1"/>
      <c r="AY106" s="1"/>
      <c r="BA106" s="1"/>
      <c r="BM106" s="1"/>
      <c r="BN106" s="1"/>
      <c r="DC106" s="1"/>
    </row>
    <row r="107" spans="1:107" ht="15.75" customHeight="1" x14ac:dyDescent="0.25">
      <c r="A107" s="1"/>
      <c r="B107" s="3"/>
      <c r="C107" s="1"/>
      <c r="D107" s="1"/>
      <c r="N107" s="1"/>
      <c r="W107" s="1"/>
      <c r="X107" s="1"/>
      <c r="Y107" s="1"/>
      <c r="Z107" s="1"/>
      <c r="AA107" s="1"/>
      <c r="AB107" s="1"/>
      <c r="AI107" s="1"/>
      <c r="AK107" s="1"/>
      <c r="AU107" s="1"/>
      <c r="AV107" s="1"/>
      <c r="AW107" s="1"/>
      <c r="AX107" s="1"/>
      <c r="AY107" s="1"/>
      <c r="BA107" s="1"/>
      <c r="BM107" s="1"/>
      <c r="BN107" s="1"/>
      <c r="DC107" s="1"/>
    </row>
    <row r="108" spans="1:107" ht="15.75" customHeight="1" x14ac:dyDescent="0.25">
      <c r="A108" s="1"/>
      <c r="B108" s="3"/>
      <c r="C108" s="1"/>
      <c r="D108" s="1"/>
      <c r="N108" s="1"/>
      <c r="V108" s="1"/>
      <c r="W108" s="1"/>
      <c r="X108" s="1"/>
      <c r="Y108" s="1"/>
      <c r="Z108" s="1"/>
      <c r="AA108" s="1"/>
      <c r="AB108" s="1"/>
      <c r="AI108" s="1"/>
      <c r="AK108" s="1"/>
      <c r="AU108" s="1"/>
      <c r="AV108" s="1"/>
      <c r="AW108" s="1"/>
      <c r="AX108" s="1"/>
      <c r="AY108" s="1"/>
      <c r="BA108" s="1"/>
      <c r="BM108" s="1"/>
      <c r="BN108" s="1"/>
      <c r="DC108" s="1"/>
    </row>
    <row r="109" spans="1:107" ht="15.75" customHeight="1" x14ac:dyDescent="0.25">
      <c r="A109" s="1"/>
      <c r="B109" s="3"/>
      <c r="C109" s="1"/>
      <c r="D109" s="1"/>
      <c r="N109" s="1"/>
      <c r="W109" s="1"/>
      <c r="X109" s="1"/>
      <c r="Y109" s="1"/>
      <c r="Z109" s="1"/>
      <c r="AA109" s="1"/>
      <c r="AB109" s="1"/>
      <c r="AI109" s="1"/>
      <c r="AK109" s="1"/>
      <c r="AU109" s="1"/>
      <c r="AV109" s="1"/>
      <c r="AW109" s="1"/>
      <c r="AX109" s="1"/>
      <c r="AY109" s="1"/>
      <c r="BA109" s="1"/>
      <c r="BM109" s="1"/>
      <c r="BN109" s="1"/>
      <c r="DC109" s="1"/>
    </row>
    <row r="110" spans="1:107" ht="15.75" customHeight="1" x14ac:dyDescent="0.25">
      <c r="A110" s="1"/>
      <c r="B110" s="3"/>
      <c r="C110" s="1"/>
      <c r="D110" s="1"/>
      <c r="N110" s="1"/>
      <c r="W110" s="1"/>
      <c r="X110" s="1"/>
      <c r="Y110" s="1"/>
      <c r="Z110" s="1"/>
      <c r="AA110" s="1"/>
      <c r="AB110" s="1"/>
      <c r="AI110" s="1"/>
      <c r="AK110" s="1"/>
      <c r="AU110" s="1"/>
      <c r="AV110" s="1"/>
      <c r="AW110" s="1"/>
      <c r="AX110" s="1"/>
      <c r="AY110" s="1"/>
      <c r="BA110" s="1"/>
      <c r="BM110" s="1"/>
      <c r="BN110" s="1"/>
    </row>
    <row r="111" spans="1:107" ht="15.75" customHeight="1" x14ac:dyDescent="0.25">
      <c r="A111" s="1"/>
      <c r="B111" s="3"/>
      <c r="C111" s="1"/>
      <c r="D111" s="1"/>
      <c r="N111" s="1"/>
      <c r="V111" s="1"/>
      <c r="W111" s="1"/>
      <c r="X111" s="1"/>
      <c r="Y111" s="1"/>
      <c r="Z111" s="1"/>
      <c r="AA111" s="1"/>
      <c r="AB111" s="1"/>
      <c r="AI111" s="1"/>
      <c r="AK111" s="1"/>
      <c r="AU111" s="1"/>
      <c r="AV111" s="1"/>
      <c r="AW111" s="1"/>
      <c r="AX111" s="1"/>
      <c r="AY111" s="1"/>
      <c r="BA111" s="1"/>
      <c r="BM111" s="1"/>
      <c r="BN111" s="1"/>
      <c r="DC111" s="1"/>
    </row>
    <row r="112" spans="1:107" ht="15.75" customHeight="1" x14ac:dyDescent="0.25">
      <c r="A112" s="1"/>
      <c r="B112" s="3"/>
      <c r="C112" s="1"/>
      <c r="D112" s="1"/>
      <c r="N112" s="1"/>
      <c r="V112" s="1"/>
      <c r="W112" s="1"/>
      <c r="X112" s="1"/>
      <c r="Y112" s="1"/>
      <c r="Z112" s="1"/>
      <c r="AA112" s="1"/>
      <c r="AB112" s="1"/>
      <c r="AI112" s="1"/>
      <c r="AK112" s="1"/>
      <c r="AU112" s="1"/>
      <c r="AV112" s="1"/>
      <c r="AW112" s="1"/>
      <c r="AX112" s="1"/>
      <c r="AY112" s="1"/>
      <c r="BA112" s="1"/>
      <c r="BM112" s="1"/>
      <c r="BN112" s="1"/>
      <c r="DC112" s="1"/>
    </row>
    <row r="113" spans="1:107" ht="15.75" customHeight="1" x14ac:dyDescent="0.25">
      <c r="A113" s="1"/>
      <c r="B113" s="3"/>
      <c r="C113" s="1"/>
      <c r="D113" s="1"/>
      <c r="N113" s="1"/>
      <c r="W113" s="1"/>
      <c r="X113" s="1"/>
      <c r="Y113" s="1"/>
      <c r="Z113" s="1"/>
      <c r="AA113" s="1"/>
      <c r="AB113" s="1"/>
      <c r="AI113" s="1"/>
      <c r="AK113" s="1"/>
      <c r="AU113" s="1"/>
      <c r="AV113" s="1"/>
      <c r="AW113" s="1"/>
      <c r="AX113" s="1"/>
      <c r="AY113" s="1"/>
      <c r="BA113" s="1"/>
      <c r="BM113" s="1"/>
      <c r="BN113" s="1"/>
      <c r="DC113" s="1"/>
    </row>
    <row r="114" spans="1:107" ht="15.75" customHeight="1" x14ac:dyDescent="0.25">
      <c r="A114" s="1"/>
      <c r="B114" s="3"/>
      <c r="C114" s="1"/>
      <c r="D114" s="1"/>
      <c r="N114" s="1"/>
      <c r="W114" s="1"/>
      <c r="X114" s="1"/>
      <c r="Y114" s="1"/>
      <c r="Z114" s="1"/>
      <c r="AA114" s="1"/>
      <c r="AB114" s="1"/>
      <c r="AI114" s="1"/>
      <c r="AK114" s="1"/>
      <c r="AU114" s="1"/>
      <c r="AV114" s="1"/>
      <c r="AW114" s="1"/>
      <c r="AX114" s="1"/>
      <c r="AY114" s="1"/>
      <c r="BA114" s="1"/>
      <c r="BM114" s="1"/>
      <c r="BN114" s="1"/>
      <c r="DC114" s="1"/>
    </row>
    <row r="115" spans="1:107" ht="15.75" customHeight="1" x14ac:dyDescent="0.25">
      <c r="A115" s="1"/>
      <c r="B115" s="3"/>
      <c r="C115" s="1"/>
      <c r="D115" s="1"/>
      <c r="N115" s="1"/>
      <c r="V115" s="1"/>
      <c r="W115" s="1"/>
      <c r="X115" s="1"/>
      <c r="Y115" s="1"/>
      <c r="Z115" s="1"/>
      <c r="AA115" s="1"/>
      <c r="AB115" s="1"/>
      <c r="AI115" s="1"/>
      <c r="AJ115" s="1"/>
      <c r="AK115" s="1"/>
      <c r="AU115" s="1"/>
      <c r="AV115" s="1"/>
      <c r="AW115" s="1"/>
      <c r="AX115" s="1"/>
      <c r="AY115" s="1"/>
      <c r="BA115" s="1"/>
      <c r="BM115" s="1"/>
      <c r="BN115" s="1"/>
      <c r="DC115" s="1"/>
    </row>
    <row r="116" spans="1:107" ht="15.75" customHeight="1" x14ac:dyDescent="0.25">
      <c r="A116" s="1"/>
      <c r="B116" s="3"/>
      <c r="C116" s="1"/>
      <c r="D116" s="1"/>
      <c r="N116" s="1"/>
      <c r="V116" s="1"/>
      <c r="W116" s="1"/>
      <c r="X116" s="1"/>
      <c r="Y116" s="1"/>
      <c r="Z116" s="1"/>
      <c r="AA116" s="1"/>
      <c r="AI116" s="1"/>
      <c r="AK116" s="1"/>
      <c r="AU116" s="1"/>
      <c r="AV116" s="1"/>
      <c r="AW116" s="1"/>
      <c r="AX116" s="1"/>
      <c r="AY116" s="1"/>
      <c r="AZ116" s="1"/>
      <c r="BA116" s="1"/>
    </row>
    <row r="117" spans="1:107" ht="15.75" customHeight="1" x14ac:dyDescent="0.25">
      <c r="A117" s="1"/>
      <c r="B117" s="3"/>
      <c r="C117" s="1"/>
      <c r="D117" s="1"/>
      <c r="N117" s="1"/>
      <c r="V117" s="1"/>
      <c r="W117" s="1"/>
      <c r="X117" s="1"/>
      <c r="Y117" s="1"/>
      <c r="Z117" s="1"/>
      <c r="AA117" s="1"/>
      <c r="AB117" s="1"/>
      <c r="AI117" s="1"/>
      <c r="AJ117" s="1"/>
      <c r="AK117" s="1"/>
      <c r="AU117" s="1"/>
      <c r="AV117" s="1"/>
      <c r="AW117" s="1"/>
      <c r="AX117" s="1"/>
      <c r="AY117" s="1"/>
      <c r="BA117" s="1"/>
      <c r="BM117" s="1"/>
      <c r="BN117" s="1"/>
      <c r="DC117" s="1"/>
    </row>
    <row r="118" spans="1:107" ht="15.75" customHeight="1" x14ac:dyDescent="0.25">
      <c r="A118" s="1"/>
      <c r="B118" s="3"/>
      <c r="C118" s="1"/>
      <c r="D118" s="1"/>
      <c r="N118" s="1"/>
      <c r="W118" s="1"/>
      <c r="X118" s="1"/>
      <c r="Y118" s="1"/>
      <c r="Z118" s="1"/>
      <c r="AA118" s="1"/>
      <c r="AB118" s="1"/>
      <c r="AI118" s="1"/>
      <c r="AK118" s="1"/>
      <c r="AU118" s="1"/>
      <c r="AV118" s="1"/>
      <c r="AW118" s="1"/>
      <c r="AX118" s="1"/>
      <c r="AY118" s="1"/>
      <c r="BA118" s="1"/>
      <c r="BM118" s="1"/>
      <c r="BN118" s="1"/>
      <c r="DC118" s="1"/>
    </row>
    <row r="119" spans="1:107" ht="15.75" customHeight="1" x14ac:dyDescent="0.25">
      <c r="A119" s="1"/>
      <c r="B119" s="3"/>
      <c r="C119" s="1"/>
      <c r="D119" s="1"/>
      <c r="N119" s="1"/>
      <c r="W119" s="1"/>
      <c r="X119" s="1"/>
      <c r="Y119" s="1"/>
      <c r="Z119" s="1"/>
      <c r="AA119" s="1"/>
      <c r="AB119" s="1"/>
      <c r="AI119" s="1"/>
      <c r="AJ119" s="1"/>
      <c r="AK119" s="1"/>
      <c r="AU119" s="1"/>
      <c r="AV119" s="1"/>
      <c r="AW119" s="1"/>
      <c r="AX119" s="1"/>
      <c r="AY119" s="1"/>
      <c r="BA119" s="1"/>
      <c r="BM119" s="1"/>
      <c r="BN119" s="1"/>
      <c r="BV119" s="1"/>
      <c r="DC119" s="1"/>
    </row>
    <row r="120" spans="1:107" ht="15.75" customHeight="1" x14ac:dyDescent="0.25">
      <c r="A120" s="1"/>
      <c r="B120" s="3"/>
      <c r="C120" s="1"/>
      <c r="D120" s="1"/>
      <c r="N120" s="1"/>
      <c r="V120" s="1"/>
      <c r="W120" s="1"/>
      <c r="X120" s="1"/>
      <c r="Y120" s="1"/>
      <c r="Z120" s="1"/>
      <c r="AA120" s="1"/>
      <c r="AB120" s="1"/>
      <c r="AI120" s="1"/>
      <c r="AK120" s="1"/>
      <c r="AU120" s="1"/>
      <c r="AV120" s="1"/>
      <c r="AW120" s="1"/>
      <c r="AX120" s="1"/>
      <c r="AY120" s="1"/>
      <c r="BA120" s="1"/>
      <c r="BM120" s="1"/>
      <c r="BN120" s="1"/>
      <c r="DC120" s="1"/>
    </row>
    <row r="121" spans="1:107" ht="15.75" customHeight="1" x14ac:dyDescent="0.25">
      <c r="A121" s="1"/>
      <c r="B121" s="3"/>
      <c r="C121" s="1"/>
      <c r="D121" s="1"/>
      <c r="N121" s="1"/>
      <c r="W121" s="1"/>
      <c r="X121" s="1"/>
      <c r="Y121" s="1"/>
      <c r="Z121" s="1"/>
      <c r="AA121" s="1"/>
      <c r="AB121" s="1"/>
      <c r="AI121" s="1"/>
      <c r="AK121" s="1"/>
      <c r="AU121" s="1"/>
      <c r="AV121" s="1"/>
      <c r="AW121" s="1"/>
      <c r="AX121" s="1"/>
      <c r="AY121" s="1"/>
      <c r="BA121" s="1"/>
      <c r="BM121" s="1"/>
      <c r="BN121" s="1"/>
      <c r="DC121" s="1"/>
    </row>
    <row r="122" spans="1:107" ht="15.75" customHeight="1" x14ac:dyDescent="0.25">
      <c r="A122" s="1"/>
      <c r="B122" s="3"/>
      <c r="C122" s="1"/>
      <c r="D122" s="1"/>
      <c r="N122" s="1"/>
      <c r="W122" s="1"/>
      <c r="X122" s="1"/>
      <c r="Y122" s="1"/>
      <c r="Z122" s="1"/>
      <c r="AA122" s="1"/>
      <c r="AB122" s="1"/>
      <c r="AI122" s="1"/>
      <c r="AK122" s="1"/>
      <c r="AU122" s="1"/>
      <c r="AV122" s="1"/>
      <c r="AW122" s="1"/>
      <c r="AX122" s="1"/>
      <c r="AY122" s="1"/>
      <c r="BA122" s="1"/>
      <c r="BM122" s="1"/>
      <c r="BN122" s="1"/>
      <c r="DC122" s="1"/>
    </row>
    <row r="123" spans="1:107" ht="15.75" customHeight="1" x14ac:dyDescent="0.25">
      <c r="A123" s="1"/>
      <c r="B123" s="3"/>
      <c r="C123" s="1"/>
      <c r="D123" s="1"/>
      <c r="N123" s="1"/>
      <c r="V123" s="1"/>
      <c r="W123" s="1"/>
      <c r="X123" s="1"/>
      <c r="Y123" s="1"/>
      <c r="Z123" s="1"/>
      <c r="AA123" s="1"/>
      <c r="AB123" s="1"/>
      <c r="AI123" s="1"/>
      <c r="AJ123" s="1"/>
      <c r="AK123" s="1"/>
      <c r="AU123" s="1"/>
      <c r="AV123" s="1"/>
      <c r="AW123" s="1"/>
      <c r="AX123" s="1"/>
      <c r="AY123" s="1"/>
      <c r="AZ123" s="1"/>
      <c r="BA123" s="1"/>
      <c r="DC123" s="1"/>
    </row>
    <row r="124" spans="1:107" ht="15.75" customHeight="1" x14ac:dyDescent="0.25">
      <c r="A124" s="1"/>
      <c r="B124" s="3"/>
      <c r="C124" s="1"/>
      <c r="D124" s="1"/>
      <c r="N124" s="1"/>
      <c r="V124" s="1"/>
      <c r="W124" s="1"/>
      <c r="X124" s="1"/>
      <c r="Y124" s="1"/>
      <c r="Z124" s="1"/>
      <c r="AA124" s="1"/>
      <c r="AB124" s="1"/>
      <c r="AI124" s="1"/>
      <c r="AK124" s="1"/>
      <c r="AU124" s="1"/>
      <c r="AV124" s="1"/>
      <c r="AW124" s="1"/>
      <c r="AX124" s="1"/>
      <c r="AY124" s="1"/>
      <c r="BA124" s="1"/>
      <c r="BM124" s="1"/>
      <c r="BN124" s="1"/>
      <c r="CH124" s="1"/>
      <c r="CJ124" s="1"/>
      <c r="CL124" s="1"/>
      <c r="DC124" s="1"/>
    </row>
    <row r="125" spans="1:107" ht="15.75" customHeight="1" x14ac:dyDescent="0.25">
      <c r="A125" s="1"/>
      <c r="B125" s="3"/>
      <c r="C125" s="1"/>
      <c r="D125" s="1"/>
      <c r="N125" s="1"/>
      <c r="W125" s="1"/>
      <c r="X125" s="1"/>
      <c r="Y125" s="1"/>
      <c r="Z125" s="1"/>
      <c r="AA125" s="1"/>
      <c r="AI125" s="1"/>
      <c r="AV125" s="1"/>
      <c r="AW125" s="1"/>
      <c r="AX125" s="1"/>
    </row>
    <row r="126" spans="1:107" ht="15.75" customHeight="1" x14ac:dyDescent="0.25">
      <c r="A126" s="1"/>
      <c r="B126" s="3"/>
      <c r="C126" s="1"/>
      <c r="D126" s="1"/>
      <c r="N126" s="1"/>
      <c r="W126" s="1"/>
      <c r="X126" s="1"/>
      <c r="Y126" s="1"/>
      <c r="Z126" s="1"/>
      <c r="AA126" s="1"/>
      <c r="AI126" s="1"/>
      <c r="AV126" s="1"/>
      <c r="AW126" s="1"/>
      <c r="AX126" s="1"/>
    </row>
    <row r="127" spans="1:107" ht="15.75" customHeight="1" x14ac:dyDescent="0.25">
      <c r="A127" s="1"/>
      <c r="B127" s="3"/>
      <c r="C127" s="1"/>
      <c r="D127" s="1"/>
      <c r="N127" s="1"/>
      <c r="V127" s="1"/>
      <c r="W127" s="1"/>
      <c r="X127" s="1"/>
      <c r="Y127" s="1"/>
      <c r="Z127" s="1"/>
      <c r="AA127" s="1"/>
      <c r="AB127" s="1"/>
      <c r="AI127" s="1"/>
      <c r="AK127" s="1"/>
      <c r="AU127" s="1"/>
      <c r="AV127" s="1"/>
      <c r="AW127" s="1"/>
      <c r="AX127" s="1"/>
      <c r="AY127" s="1"/>
      <c r="BA127" s="1"/>
      <c r="BM127" s="1"/>
      <c r="BN127" s="1"/>
      <c r="BY127" s="1"/>
      <c r="BZ127" s="1"/>
      <c r="CM127" s="1"/>
      <c r="CQ127" s="1"/>
      <c r="DC127" s="1"/>
    </row>
    <row r="128" spans="1:107" ht="15.75" customHeight="1" x14ac:dyDescent="0.25">
      <c r="A128" s="1"/>
      <c r="B128" s="3"/>
      <c r="C128" s="1"/>
      <c r="D128" s="1"/>
      <c r="N128" s="1"/>
      <c r="W128" s="1"/>
      <c r="X128" s="1"/>
      <c r="Y128" s="1"/>
      <c r="Z128" s="1"/>
      <c r="AA128" s="1"/>
      <c r="AB128" s="1"/>
      <c r="AI128" s="1"/>
      <c r="AK128" s="1"/>
      <c r="AU128" s="1"/>
      <c r="AV128" s="1"/>
      <c r="AW128" s="1"/>
      <c r="AX128" s="1"/>
      <c r="AY128" s="1"/>
      <c r="BA128" s="1"/>
      <c r="BM128" s="1"/>
      <c r="BN128" s="1"/>
      <c r="CH128" s="1"/>
      <c r="CJ128" s="1"/>
      <c r="CL128" s="1"/>
      <c r="CR128" s="1"/>
      <c r="DC128" s="1"/>
    </row>
    <row r="129" spans="1:107" ht="15.75" customHeight="1" x14ac:dyDescent="0.25">
      <c r="A129" s="1"/>
      <c r="B129" s="3"/>
      <c r="C129" s="1"/>
      <c r="D129" s="1"/>
      <c r="N129" s="1"/>
      <c r="V129" s="1"/>
      <c r="W129" s="1"/>
      <c r="X129" s="1"/>
      <c r="Y129" s="1"/>
      <c r="Z129" s="1"/>
      <c r="AA129" s="1"/>
      <c r="AB129" s="1"/>
      <c r="AI129" s="1"/>
      <c r="AK129" s="1"/>
      <c r="AU129" s="1"/>
      <c r="AV129" s="1"/>
      <c r="AW129" s="1"/>
      <c r="AX129" s="1"/>
      <c r="AY129" s="1"/>
      <c r="BA129" s="1"/>
      <c r="BM129" s="1"/>
      <c r="BN129" s="1"/>
      <c r="BW129" s="1"/>
      <c r="BY129" s="1"/>
      <c r="BZ129" s="1"/>
      <c r="CM129" s="1"/>
      <c r="CQ129" s="1"/>
      <c r="CR129" s="1"/>
      <c r="CT129" s="1"/>
      <c r="DC129" s="1"/>
    </row>
    <row r="130" spans="1:107" ht="15.75" customHeight="1" x14ac:dyDescent="0.25">
      <c r="A130" s="1"/>
      <c r="B130" s="3"/>
      <c r="C130" s="1"/>
      <c r="D130" s="1"/>
      <c r="N130" s="1"/>
      <c r="W130" s="1"/>
      <c r="X130" s="1"/>
      <c r="Y130" s="1"/>
      <c r="Z130" s="1"/>
      <c r="AA130" s="1"/>
      <c r="AB130" s="1"/>
      <c r="AI130" s="1"/>
      <c r="AK130" s="1"/>
      <c r="AU130" s="1"/>
      <c r="AV130" s="1"/>
      <c r="AW130" s="1"/>
      <c r="AX130" s="1"/>
      <c r="AY130" s="1"/>
      <c r="BA130" s="1"/>
      <c r="BM130" s="1"/>
      <c r="BN130" s="1"/>
      <c r="CH130" s="1"/>
      <c r="CI130" s="1"/>
      <c r="CJ130" s="1"/>
      <c r="CK130" s="1"/>
      <c r="CL130" s="1"/>
      <c r="DC130" s="1"/>
    </row>
    <row r="131" spans="1:107" ht="15.75" customHeight="1" x14ac:dyDescent="0.25">
      <c r="A131" s="1"/>
      <c r="B131" s="3"/>
      <c r="C131" s="1"/>
      <c r="D131" s="1"/>
      <c r="N131" s="1"/>
      <c r="W131" s="1"/>
      <c r="X131" s="1"/>
      <c r="Y131" s="1"/>
      <c r="Z131" s="1"/>
      <c r="AA131" s="1"/>
      <c r="AB131" s="1"/>
      <c r="AI131" s="1"/>
      <c r="AK131" s="1"/>
      <c r="AU131" s="1"/>
      <c r="AV131" s="1"/>
      <c r="AW131" s="1"/>
      <c r="AX131" s="1"/>
      <c r="AY131" s="1"/>
      <c r="AZ131" s="1"/>
      <c r="BA131" s="1"/>
      <c r="CR131" s="1"/>
      <c r="CT131" s="1"/>
      <c r="DC131" s="1"/>
    </row>
    <row r="132" spans="1:107" ht="15.75" customHeight="1" x14ac:dyDescent="0.25">
      <c r="A132" s="1"/>
      <c r="B132" s="3"/>
      <c r="C132" s="1"/>
      <c r="D132" s="1"/>
      <c r="M132" s="1"/>
      <c r="N132" s="1"/>
      <c r="V132" s="1"/>
      <c r="W132" s="1"/>
      <c r="X132" s="1"/>
      <c r="Y132" s="1"/>
      <c r="Z132" s="1"/>
      <c r="AA132" s="1"/>
      <c r="AB132" s="1"/>
      <c r="AI132" s="1"/>
      <c r="AK132" s="1"/>
      <c r="AU132" s="1"/>
      <c r="AV132" s="1"/>
      <c r="AW132" s="1"/>
      <c r="AX132" s="1"/>
      <c r="AY132" s="1"/>
      <c r="BA132" s="1"/>
      <c r="BM132" s="1"/>
      <c r="BN132" s="1"/>
      <c r="DC132" s="1"/>
    </row>
    <row r="133" spans="1:107" ht="15.75" customHeight="1" x14ac:dyDescent="0.25">
      <c r="A133" s="1"/>
      <c r="B133" s="3"/>
      <c r="C133" s="1"/>
      <c r="D133" s="1"/>
      <c r="N133" s="1"/>
      <c r="V133" s="1"/>
      <c r="W133" s="1"/>
      <c r="X133" s="1"/>
      <c r="Y133" s="1"/>
      <c r="Z133" s="1"/>
      <c r="AA133" s="1"/>
      <c r="AB133" s="1"/>
      <c r="AI133" s="1"/>
      <c r="AK133" s="1"/>
      <c r="AU133" s="1"/>
      <c r="AV133" s="1"/>
      <c r="AW133" s="1"/>
      <c r="AX133" s="1"/>
      <c r="AY133" s="1"/>
      <c r="BA133" s="1"/>
      <c r="BM133" s="1"/>
      <c r="BN133" s="1"/>
      <c r="CH133" s="1"/>
      <c r="CI133" s="1"/>
      <c r="CJ133" s="1"/>
      <c r="CL133" s="1"/>
      <c r="DC133" s="1"/>
    </row>
    <row r="134" spans="1:107" ht="15.75" customHeight="1" x14ac:dyDescent="0.25">
      <c r="A134" s="1"/>
      <c r="B134" s="3"/>
      <c r="C134" s="1"/>
      <c r="D134" s="1"/>
      <c r="N134" s="1"/>
      <c r="V134" s="1"/>
      <c r="W134" s="1"/>
      <c r="X134" s="1"/>
      <c r="Y134" s="1"/>
      <c r="Z134" s="1"/>
      <c r="AA134" s="1"/>
      <c r="AB134" s="1"/>
      <c r="AI134" s="1"/>
      <c r="AK134" s="1"/>
      <c r="AU134" s="1"/>
      <c r="AV134" s="1"/>
      <c r="AW134" s="1"/>
      <c r="AX134" s="1"/>
      <c r="AY134" s="1"/>
      <c r="BA134" s="1"/>
      <c r="BM134" s="1"/>
      <c r="BN134" s="1"/>
      <c r="BW134" s="1"/>
      <c r="CM134" s="1"/>
      <c r="CQ134" s="1"/>
      <c r="DC134" s="1"/>
    </row>
    <row r="135" spans="1:107" ht="15.75" customHeight="1" x14ac:dyDescent="0.25">
      <c r="A135" s="1"/>
      <c r="B135" s="3"/>
      <c r="C135" s="1"/>
      <c r="D135" s="1"/>
      <c r="N135" s="1"/>
      <c r="V135" s="1"/>
      <c r="W135" s="1"/>
      <c r="X135" s="1"/>
      <c r="Y135" s="1"/>
      <c r="Z135" s="1"/>
      <c r="AA135" s="1"/>
      <c r="AB135" s="1"/>
      <c r="AI135" s="1"/>
      <c r="AK135" s="1"/>
      <c r="AU135" s="1"/>
      <c r="AV135" s="1"/>
      <c r="AW135" s="1"/>
      <c r="AX135" s="1"/>
      <c r="AY135" s="1"/>
      <c r="AZ135" s="1"/>
      <c r="BA135" s="1"/>
      <c r="CB135" s="1"/>
      <c r="CF135" s="1"/>
      <c r="CG135" s="1"/>
      <c r="CH135" s="1"/>
      <c r="CI135" s="1"/>
      <c r="CJ135" s="1"/>
      <c r="CL135" s="1"/>
      <c r="DC135" s="1"/>
    </row>
    <row r="136" spans="1:107" ht="15.75" customHeight="1" x14ac:dyDescent="0.25">
      <c r="A136" s="1"/>
      <c r="B136" s="3"/>
      <c r="C136" s="1"/>
      <c r="D136" s="1"/>
      <c r="N136" s="1"/>
      <c r="O136" s="1"/>
      <c r="P136" s="1"/>
      <c r="Q136" s="1"/>
      <c r="R136" s="1"/>
      <c r="S136" s="1"/>
      <c r="T136" s="1"/>
      <c r="W136" s="1"/>
      <c r="X136" s="1"/>
      <c r="Y136" s="1"/>
      <c r="Z136" s="1"/>
      <c r="AA136" s="1"/>
      <c r="AI136" s="1"/>
      <c r="AV136" s="1"/>
      <c r="AW136" s="1"/>
      <c r="AX136" s="1"/>
    </row>
    <row r="137" spans="1:107" ht="15.75" customHeight="1" x14ac:dyDescent="0.25">
      <c r="A137" s="1"/>
      <c r="B137" s="3"/>
      <c r="C137" s="1"/>
      <c r="D137" s="1"/>
      <c r="N137" s="1"/>
      <c r="O137" s="1"/>
      <c r="P137" s="1"/>
      <c r="Q137" s="1"/>
      <c r="R137" s="1"/>
      <c r="S137" s="1"/>
      <c r="T137" s="1"/>
      <c r="W137" s="1"/>
      <c r="X137" s="1"/>
      <c r="Y137" s="1"/>
      <c r="Z137" s="1"/>
      <c r="AA137" s="1"/>
      <c r="AI137" s="1"/>
      <c r="AV137" s="1"/>
      <c r="AW137" s="1"/>
      <c r="AX137" s="1"/>
    </row>
    <row r="138" spans="1:107" ht="15.75" customHeight="1" x14ac:dyDescent="0.25">
      <c r="A138" s="1"/>
      <c r="B138" s="3"/>
      <c r="C138" s="1"/>
      <c r="D138" s="1"/>
      <c r="N138" s="1"/>
      <c r="O138" s="1"/>
      <c r="P138" s="1"/>
      <c r="Q138" s="1"/>
      <c r="R138" s="1"/>
      <c r="S138" s="1"/>
      <c r="T138" s="1"/>
      <c r="W138" s="1"/>
      <c r="X138" s="1"/>
      <c r="Y138" s="1"/>
      <c r="Z138" s="1"/>
      <c r="AA138" s="1"/>
      <c r="AI138" s="1"/>
      <c r="AV138" s="1"/>
      <c r="AW138" s="1"/>
      <c r="AX138" s="1"/>
    </row>
    <row r="139" spans="1:107" ht="15.75" customHeight="1" x14ac:dyDescent="0.25">
      <c r="A139" s="1"/>
      <c r="B139" s="3"/>
      <c r="C139" s="1"/>
      <c r="D139" s="1"/>
      <c r="N139" s="1"/>
      <c r="O139" s="1"/>
      <c r="P139" s="1"/>
      <c r="Q139" s="1"/>
      <c r="R139" s="1"/>
      <c r="S139" s="1"/>
      <c r="T139" s="1"/>
      <c r="W139" s="1"/>
      <c r="X139" s="1"/>
      <c r="Y139" s="1"/>
      <c r="Z139" s="1"/>
      <c r="AA139" s="1"/>
      <c r="AI139" s="1"/>
      <c r="AV139" s="1"/>
      <c r="AW139" s="1"/>
      <c r="AX139" s="1"/>
    </row>
    <row r="140" spans="1:107" ht="15.75" customHeight="1" x14ac:dyDescent="0.25">
      <c r="A140" s="1"/>
      <c r="B140" s="3"/>
      <c r="C140" s="1"/>
      <c r="D140" s="1"/>
      <c r="N140" s="1"/>
      <c r="O140" s="1"/>
      <c r="P140" s="1"/>
      <c r="Q140" s="1"/>
      <c r="R140" s="1"/>
      <c r="S140" s="1"/>
      <c r="T140" s="1"/>
      <c r="W140" s="1"/>
      <c r="X140" s="1"/>
      <c r="Y140" s="1"/>
      <c r="Z140" s="1"/>
      <c r="AA140" s="1"/>
      <c r="AI140" s="1"/>
      <c r="AV140" s="1"/>
      <c r="AW140" s="1"/>
      <c r="AX140" s="1"/>
    </row>
    <row r="141" spans="1:107" ht="15.75" customHeight="1" x14ac:dyDescent="0.25">
      <c r="A141" s="1"/>
      <c r="B141" s="3"/>
      <c r="C141" s="1"/>
      <c r="D141" s="1"/>
      <c r="N141" s="1"/>
      <c r="O141" s="1"/>
      <c r="P141" s="1"/>
      <c r="Q141" s="1"/>
      <c r="R141" s="1"/>
      <c r="S141" s="1"/>
      <c r="T141" s="1"/>
      <c r="W141" s="1"/>
      <c r="X141" s="1"/>
      <c r="Y141" s="1"/>
      <c r="Z141" s="1"/>
      <c r="AA141" s="1"/>
      <c r="AI141" s="1"/>
      <c r="AV141" s="1"/>
      <c r="AW141" s="1"/>
      <c r="AX141" s="1"/>
    </row>
    <row r="142" spans="1:107" ht="15.75" customHeight="1" x14ac:dyDescent="0.25">
      <c r="A142" s="1"/>
      <c r="B142" s="3"/>
      <c r="C142" s="1"/>
      <c r="D142" s="1"/>
      <c r="N142" s="1"/>
      <c r="O142" s="1"/>
      <c r="P142" s="1"/>
      <c r="Q142" s="1"/>
      <c r="R142" s="1"/>
      <c r="S142" s="1"/>
      <c r="T142" s="1"/>
      <c r="W142" s="1"/>
      <c r="X142" s="1"/>
      <c r="Y142" s="1"/>
      <c r="Z142" s="1"/>
      <c r="AA142" s="1"/>
      <c r="AI142" s="1"/>
      <c r="AV142" s="1"/>
      <c r="AW142" s="1"/>
      <c r="AX142" s="1"/>
    </row>
    <row r="143" spans="1:107" ht="15.75" customHeight="1" x14ac:dyDescent="0.25">
      <c r="A143" s="1"/>
      <c r="B143" s="3"/>
      <c r="C143" s="1"/>
      <c r="D143" s="1"/>
      <c r="M143" s="1"/>
      <c r="N143" s="1"/>
      <c r="O143" s="1"/>
      <c r="P143" s="1"/>
      <c r="Q143" s="1"/>
      <c r="R143" s="1"/>
      <c r="S143" s="1"/>
      <c r="T143" s="1"/>
      <c r="U143" s="1"/>
      <c r="W143" s="1"/>
      <c r="X143" s="1"/>
      <c r="Y143" s="1"/>
      <c r="Z143" s="1"/>
      <c r="AA143" s="1"/>
      <c r="AB143" s="1"/>
      <c r="AI143" s="1"/>
      <c r="AJ143" s="1"/>
      <c r="AV143" s="1"/>
      <c r="AW143" s="1"/>
      <c r="AX143" s="1"/>
      <c r="BA143" s="1"/>
      <c r="BL143" s="1"/>
      <c r="DC143" s="1"/>
    </row>
    <row r="144" spans="1:107" ht="15.75" customHeight="1" x14ac:dyDescent="0.25">
      <c r="A144" s="1"/>
      <c r="B144" s="3"/>
      <c r="C144" s="1"/>
      <c r="D144" s="1"/>
      <c r="N144" s="1"/>
      <c r="O144" s="1"/>
      <c r="P144" s="1"/>
      <c r="Q144" s="1"/>
      <c r="R144" s="1"/>
      <c r="S144" s="1"/>
      <c r="T144" s="1"/>
      <c r="V144" s="1"/>
      <c r="W144" s="1"/>
      <c r="X144" s="1"/>
      <c r="Y144" s="1"/>
      <c r="Z144" s="1"/>
      <c r="AA144" s="1"/>
      <c r="AI144" s="1"/>
      <c r="AK144" s="1"/>
      <c r="AU144" s="1"/>
      <c r="AV144" s="1"/>
      <c r="AW144" s="1"/>
      <c r="AX144" s="1"/>
      <c r="AY144" s="1"/>
      <c r="BM144" s="1"/>
      <c r="CH144" s="1"/>
      <c r="CJ144" s="1"/>
      <c r="CL144" s="1"/>
    </row>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3:A144">
    <cfRule type="cellIs" dxfId="31" priority="1" operator="equal">
      <formula>"FALSE"</formula>
    </cfRule>
    <cfRule type="expression" dxfId="30" priority="2">
      <formula>D1:D146="Game Enthusiast or Collector"</formula>
    </cfRule>
  </conditionalFormatting>
  <conditionalFormatting sqref="W3:AA144">
    <cfRule type="cellIs" dxfId="29" priority="3" operator="equal">
      <formula>"False"</formula>
    </cfRule>
    <cfRule type="cellIs" dxfId="28" priority="4" operator="equal">
      <formula>"True"</formula>
    </cfRule>
  </conditionalFormatting>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C1000"/>
  <sheetViews>
    <sheetView topLeftCell="BX1" workbookViewId="0">
      <pane ySplit="2" topLeftCell="A3" activePane="bottomLeft" state="frozen"/>
      <selection pane="bottomLeft" activeCell="CA1" activeCellId="1" sqref="CH1:CH1048576 CA1:CA1048576"/>
    </sheetView>
  </sheetViews>
  <sheetFormatPr defaultColWidth="12.6640625" defaultRowHeight="15" customHeight="1" x14ac:dyDescent="0.25"/>
  <cols>
    <col min="1" max="4" width="12.6640625" customWidth="1"/>
    <col min="5" max="12" width="4" customWidth="1"/>
  </cols>
  <sheetData>
    <row r="1" spans="1:107" ht="15.75" customHeight="1" x14ac:dyDescent="0.2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ht="15.75" customHeight="1" x14ac:dyDescent="0.25">
      <c r="A2" s="1" t="s">
        <v>0</v>
      </c>
      <c r="B2" s="1" t="s">
        <v>107</v>
      </c>
      <c r="C2" s="1" t="s">
        <v>108</v>
      </c>
      <c r="D2" s="1" t="s">
        <v>109</v>
      </c>
      <c r="E2" s="1"/>
      <c r="F2" s="1"/>
      <c r="G2" s="1"/>
      <c r="H2" s="1"/>
      <c r="I2" s="1"/>
      <c r="J2" s="1"/>
      <c r="K2" s="1"/>
      <c r="L2" s="1"/>
      <c r="M2" s="1" t="s">
        <v>110</v>
      </c>
      <c r="N2" s="1" t="s">
        <v>111</v>
      </c>
      <c r="O2" s="1"/>
      <c r="P2" s="1"/>
      <c r="Q2" s="1"/>
      <c r="R2" s="1"/>
      <c r="S2" s="1"/>
      <c r="T2" s="1"/>
      <c r="U2" s="1" t="s">
        <v>112</v>
      </c>
      <c r="V2" s="1" t="s">
        <v>113</v>
      </c>
      <c r="W2" s="1"/>
      <c r="X2" s="1"/>
      <c r="Y2" s="1"/>
      <c r="Z2" s="1"/>
      <c r="AA2" s="1"/>
      <c r="AB2" s="1" t="s">
        <v>114</v>
      </c>
      <c r="AC2" s="1"/>
      <c r="AD2" s="1"/>
      <c r="AE2" s="1"/>
      <c r="AF2" s="1"/>
      <c r="AG2" s="1"/>
      <c r="AH2" s="1"/>
      <c r="AI2" s="1"/>
      <c r="AJ2" s="1" t="s">
        <v>115</v>
      </c>
      <c r="AK2" s="1" t="s">
        <v>116</v>
      </c>
      <c r="AL2" s="1"/>
      <c r="AM2" s="1"/>
      <c r="AN2" s="1"/>
      <c r="AO2" s="1"/>
      <c r="AP2" s="1"/>
      <c r="AQ2" s="1"/>
      <c r="AR2" s="1"/>
      <c r="AS2" s="1"/>
      <c r="AT2" s="1" t="s">
        <v>117</v>
      </c>
      <c r="AU2" s="1" t="s">
        <v>118</v>
      </c>
      <c r="AV2" s="1"/>
      <c r="AW2" s="1"/>
      <c r="AX2" s="1"/>
      <c r="AY2" s="1" t="s">
        <v>119</v>
      </c>
      <c r="AZ2" s="1" t="s">
        <v>120</v>
      </c>
      <c r="BA2" s="1" t="s">
        <v>121</v>
      </c>
      <c r="BB2" s="1"/>
      <c r="BC2" s="1"/>
      <c r="BD2" s="1"/>
      <c r="BE2" s="1"/>
      <c r="BF2" s="1"/>
      <c r="BG2" s="1"/>
      <c r="BH2" s="1"/>
      <c r="BI2" s="1"/>
      <c r="BJ2" s="1"/>
      <c r="BK2" s="1"/>
      <c r="BL2" s="1" t="s">
        <v>122</v>
      </c>
      <c r="BM2" s="1" t="s">
        <v>123</v>
      </c>
      <c r="BN2" s="1" t="s">
        <v>124</v>
      </c>
      <c r="BO2" s="1"/>
      <c r="BP2" s="1"/>
      <c r="BQ2" s="1"/>
      <c r="BR2" s="1"/>
      <c r="BS2" s="1"/>
      <c r="BT2" s="1"/>
      <c r="BU2" s="1"/>
      <c r="BV2" s="1" t="s">
        <v>125</v>
      </c>
      <c r="BW2" s="1" t="s">
        <v>126</v>
      </c>
      <c r="BX2" s="1" t="s">
        <v>127</v>
      </c>
      <c r="BY2" s="1" t="s">
        <v>128</v>
      </c>
      <c r="BZ2" s="1" t="s">
        <v>129</v>
      </c>
      <c r="CA2" s="1" t="s">
        <v>130</v>
      </c>
      <c r="CB2" s="1" t="s">
        <v>131</v>
      </c>
      <c r="CC2" s="1" t="s">
        <v>132</v>
      </c>
      <c r="CD2" s="1" t="s">
        <v>133</v>
      </c>
      <c r="CE2" s="1" t="s">
        <v>134</v>
      </c>
      <c r="CF2" s="1" t="s">
        <v>135</v>
      </c>
      <c r="CG2" s="1" t="s">
        <v>136</v>
      </c>
      <c r="CH2" s="1" t="s">
        <v>137</v>
      </c>
      <c r="CI2" s="1" t="s">
        <v>138</v>
      </c>
      <c r="CJ2" s="1" t="s">
        <v>139</v>
      </c>
      <c r="CK2" s="1" t="s">
        <v>140</v>
      </c>
      <c r="CL2" s="1" t="s">
        <v>141</v>
      </c>
      <c r="CM2" s="1" t="s">
        <v>142</v>
      </c>
      <c r="CN2" s="1" t="s">
        <v>143</v>
      </c>
      <c r="CO2" s="1" t="s">
        <v>144</v>
      </c>
      <c r="CP2" s="1" t="s">
        <v>145</v>
      </c>
      <c r="CQ2" s="1" t="s">
        <v>146</v>
      </c>
      <c r="CR2" s="1" t="s">
        <v>147</v>
      </c>
      <c r="CS2" s="1" t="s">
        <v>148</v>
      </c>
      <c r="CT2" s="1" t="s">
        <v>149</v>
      </c>
      <c r="CU2" s="1" t="s">
        <v>150</v>
      </c>
      <c r="CV2" s="1" t="s">
        <v>151</v>
      </c>
      <c r="CW2" s="1" t="s">
        <v>152</v>
      </c>
      <c r="CX2" s="1" t="s">
        <v>153</v>
      </c>
      <c r="CY2" s="1" t="s">
        <v>154</v>
      </c>
      <c r="CZ2" s="1" t="s">
        <v>155</v>
      </c>
      <c r="DA2" s="1" t="s">
        <v>156</v>
      </c>
      <c r="DB2" s="1" t="s">
        <v>152</v>
      </c>
      <c r="DC2" s="1" t="s">
        <v>157</v>
      </c>
    </row>
    <row r="3" spans="1:107" ht="15.75" customHeight="1" x14ac:dyDescent="0.25">
      <c r="A3" s="1" t="b">
        <v>1</v>
      </c>
      <c r="B3" s="3">
        <v>46165.302349537036</v>
      </c>
      <c r="C3" s="1" t="s">
        <v>602</v>
      </c>
      <c r="D3" s="1" t="s">
        <v>391</v>
      </c>
      <c r="E3" s="4">
        <f t="shared" ref="E3:K3" si="0">IF(ISNUMBER(SEARCH(E$1,$D3)), SEARCH(E$1,$D3), 0)</f>
        <v>1</v>
      </c>
      <c r="F3" s="4">
        <f t="shared" si="0"/>
        <v>30</v>
      </c>
      <c r="G3" s="4">
        <f t="shared" si="0"/>
        <v>105</v>
      </c>
      <c r="H3" s="4">
        <f t="shared" si="0"/>
        <v>161</v>
      </c>
      <c r="I3" s="4">
        <f t="shared" si="0"/>
        <v>199</v>
      </c>
      <c r="J3" s="4">
        <f t="shared" si="0"/>
        <v>231</v>
      </c>
      <c r="K3" s="4">
        <f t="shared" si="0"/>
        <v>268</v>
      </c>
      <c r="L3" s="4">
        <f t="shared" ref="L3:L13" si="1">(MAX(E3:K3))</f>
        <v>268</v>
      </c>
      <c r="N3" s="1" t="s">
        <v>505</v>
      </c>
      <c r="O3" s="4">
        <f t="shared" ref="O3:T3" si="2">IF(ISNUMBER(SEARCH(O$1,$N3)), 1, 0)</f>
        <v>1</v>
      </c>
      <c r="P3" s="4">
        <f t="shared" si="2"/>
        <v>1</v>
      </c>
      <c r="Q3" s="4">
        <f t="shared" si="2"/>
        <v>0</v>
      </c>
      <c r="R3" s="4">
        <f t="shared" si="2"/>
        <v>1</v>
      </c>
      <c r="S3" s="4">
        <f t="shared" si="2"/>
        <v>1</v>
      </c>
      <c r="T3" s="4">
        <f t="shared" si="2"/>
        <v>1</v>
      </c>
      <c r="W3" s="1" t="str">
        <f t="shared" ref="W3:AA13" si="3">IF(W$1=$V3, "True", "False")</f>
        <v>False</v>
      </c>
      <c r="X3" s="1" t="str">
        <f t="shared" si="3"/>
        <v>False</v>
      </c>
      <c r="Y3" s="1" t="str">
        <f t="shared" si="3"/>
        <v>False</v>
      </c>
      <c r="Z3" s="1" t="str">
        <f t="shared" si="3"/>
        <v>False</v>
      </c>
      <c r="AA3" s="1" t="str">
        <f t="shared" si="3"/>
        <v>False</v>
      </c>
      <c r="AB3" s="1" t="s">
        <v>603</v>
      </c>
      <c r="AC3" s="4">
        <f t="shared" ref="AC3:AH3" si="4">IF(ISNUMBER(SEARCH(AC$1,$AB3)), 1, 0)</f>
        <v>1</v>
      </c>
      <c r="AD3" s="4">
        <f t="shared" si="4"/>
        <v>1</v>
      </c>
      <c r="AE3" s="4">
        <f t="shared" si="4"/>
        <v>1</v>
      </c>
      <c r="AF3" s="4">
        <f t="shared" si="4"/>
        <v>1</v>
      </c>
      <c r="AG3" s="4">
        <f t="shared" si="4"/>
        <v>0</v>
      </c>
      <c r="AH3" s="4">
        <f t="shared" si="4"/>
        <v>1</v>
      </c>
      <c r="AI3" s="1">
        <f t="shared" ref="AI3:AI13" si="5">SUM(AC3:AH3)</f>
        <v>5</v>
      </c>
      <c r="AK3" s="1" t="s">
        <v>604</v>
      </c>
      <c r="AL3" s="4">
        <f t="shared" ref="AL3:AS3" si="6">IF(ISNUMBER(SEARCH(AL$1,$AK3)), 1, 0)</f>
        <v>1</v>
      </c>
      <c r="AM3" s="4">
        <f t="shared" si="6"/>
        <v>1</v>
      </c>
      <c r="AN3" s="4">
        <f t="shared" si="6"/>
        <v>1</v>
      </c>
      <c r="AO3" s="4">
        <f t="shared" si="6"/>
        <v>1</v>
      </c>
      <c r="AP3" s="4">
        <f t="shared" si="6"/>
        <v>1</v>
      </c>
      <c r="AQ3" s="4">
        <f t="shared" si="6"/>
        <v>1</v>
      </c>
      <c r="AR3" s="4">
        <f t="shared" si="6"/>
        <v>1</v>
      </c>
      <c r="AS3" s="4">
        <f t="shared" si="6"/>
        <v>1</v>
      </c>
      <c r="AU3" s="1" t="s">
        <v>48</v>
      </c>
      <c r="AV3" s="1">
        <f t="shared" ref="AV3:AV13" si="7">IF($AU3="No",1,0)</f>
        <v>0</v>
      </c>
      <c r="AW3" s="1">
        <f t="shared" ref="AW3:AW13" si="8">IF($AU3="Yes",1,0)</f>
        <v>1</v>
      </c>
      <c r="AX3" s="1">
        <f t="shared" ref="AX3:AX13" si="9">IF($AU3="Unsure",1,0)</f>
        <v>0</v>
      </c>
      <c r="AY3" s="1" t="s">
        <v>48</v>
      </c>
      <c r="BA3" s="1" t="s">
        <v>605</v>
      </c>
      <c r="BB3" s="4">
        <f t="shared" ref="BB3:BJ3" si="10">IF(ISNUMBER(SEARCH(BB$1,$BA3)), 1, 0)</f>
        <v>1</v>
      </c>
      <c r="BC3" s="4">
        <f t="shared" si="10"/>
        <v>1</v>
      </c>
      <c r="BD3" s="4">
        <f t="shared" si="10"/>
        <v>1</v>
      </c>
      <c r="BE3" s="4">
        <f t="shared" si="10"/>
        <v>1</v>
      </c>
      <c r="BF3" s="4">
        <f t="shared" si="10"/>
        <v>1</v>
      </c>
      <c r="BG3" s="4">
        <f t="shared" si="10"/>
        <v>1</v>
      </c>
      <c r="BH3" s="4">
        <f t="shared" si="10"/>
        <v>1</v>
      </c>
      <c r="BI3" s="4">
        <f t="shared" si="10"/>
        <v>1</v>
      </c>
      <c r="BJ3" s="4">
        <f t="shared" si="10"/>
        <v>1</v>
      </c>
      <c r="BK3" s="4">
        <f t="shared" ref="BK3:BK13" si="11">SUM(BB3:BJ3)</f>
        <v>9</v>
      </c>
      <c r="BO3" s="4">
        <f t="shared" ref="BO3:BU3" si="12">IF(ISNUMBER(SEARCH(BO$1,$BN3)), 1, 0)</f>
        <v>0</v>
      </c>
      <c r="BP3" s="4">
        <f t="shared" si="12"/>
        <v>0</v>
      </c>
      <c r="BQ3" s="4">
        <f t="shared" si="12"/>
        <v>0</v>
      </c>
      <c r="BR3" s="4">
        <f t="shared" si="12"/>
        <v>0</v>
      </c>
      <c r="BS3" s="4">
        <f t="shared" si="12"/>
        <v>0</v>
      </c>
      <c r="BT3" s="4">
        <f t="shared" si="12"/>
        <v>0</v>
      </c>
      <c r="BU3" s="4">
        <f t="shared" si="12"/>
        <v>0</v>
      </c>
      <c r="BZ3" s="1" t="s">
        <v>171</v>
      </c>
      <c r="CB3" s="1" t="s">
        <v>48</v>
      </c>
      <c r="CC3" s="1" t="s">
        <v>48</v>
      </c>
      <c r="CD3" s="1" t="s">
        <v>444</v>
      </c>
      <c r="CF3" s="1" t="s">
        <v>606</v>
      </c>
      <c r="CG3" s="1" t="s">
        <v>607</v>
      </c>
      <c r="CH3" s="1" t="s">
        <v>173</v>
      </c>
      <c r="CJ3" s="1" t="s">
        <v>608</v>
      </c>
      <c r="CL3" s="1" t="s">
        <v>352</v>
      </c>
      <c r="CM3" s="1" t="s">
        <v>48</v>
      </c>
      <c r="CN3" s="1" t="s">
        <v>609</v>
      </c>
      <c r="CU3" s="1" t="s">
        <v>178</v>
      </c>
      <c r="DC3" s="1" t="s">
        <v>238</v>
      </c>
    </row>
    <row r="4" spans="1:107" ht="15.75" customHeight="1" x14ac:dyDescent="0.25">
      <c r="A4" s="1" t="b">
        <v>1</v>
      </c>
      <c r="B4" s="3">
        <v>46161.275833333333</v>
      </c>
      <c r="C4" s="1" t="s">
        <v>424</v>
      </c>
      <c r="D4" s="1" t="s">
        <v>425</v>
      </c>
      <c r="E4" s="4">
        <f t="shared" ref="E4:K4" si="13">IF(ISNUMBER(SEARCH(E$1,$D4)), SEARCH(E$1,$D4), 0)</f>
        <v>1</v>
      </c>
      <c r="F4" s="4">
        <f t="shared" si="13"/>
        <v>30</v>
      </c>
      <c r="G4" s="4">
        <f t="shared" si="13"/>
        <v>105</v>
      </c>
      <c r="H4" s="4">
        <f t="shared" si="13"/>
        <v>161</v>
      </c>
      <c r="I4" s="4">
        <f t="shared" si="13"/>
        <v>199</v>
      </c>
      <c r="J4" s="4">
        <f t="shared" si="13"/>
        <v>231</v>
      </c>
      <c r="K4" s="4">
        <f t="shared" si="13"/>
        <v>268</v>
      </c>
      <c r="L4" s="4">
        <f t="shared" si="1"/>
        <v>268</v>
      </c>
      <c r="N4" s="1" t="s">
        <v>323</v>
      </c>
      <c r="O4" s="4">
        <f t="shared" ref="O4:T4" si="14">IF(ISNUMBER(SEARCH(O$1,$N4)), 1, 0)</f>
        <v>1</v>
      </c>
      <c r="P4" s="4">
        <f t="shared" si="14"/>
        <v>1</v>
      </c>
      <c r="Q4" s="4">
        <f t="shared" si="14"/>
        <v>1</v>
      </c>
      <c r="R4" s="4">
        <f t="shared" si="14"/>
        <v>1</v>
      </c>
      <c r="S4" s="4">
        <f t="shared" si="14"/>
        <v>0</v>
      </c>
      <c r="T4" s="4">
        <f t="shared" si="14"/>
        <v>1</v>
      </c>
      <c r="V4" s="1" t="s">
        <v>22</v>
      </c>
      <c r="W4" s="1" t="str">
        <f t="shared" si="3"/>
        <v>True</v>
      </c>
      <c r="X4" s="1" t="str">
        <f t="shared" si="3"/>
        <v>False</v>
      </c>
      <c r="Y4" s="1" t="str">
        <f t="shared" si="3"/>
        <v>False</v>
      </c>
      <c r="Z4" s="1" t="str">
        <f t="shared" si="3"/>
        <v>False</v>
      </c>
      <c r="AA4" s="1" t="str">
        <f t="shared" si="3"/>
        <v>False</v>
      </c>
      <c r="AB4" s="1" t="s">
        <v>183</v>
      </c>
      <c r="AC4" s="4">
        <f t="shared" ref="AC4:AH4" si="15">IF(ISNUMBER(SEARCH(AC$1,$AB4)), 1, 0)</f>
        <v>0</v>
      </c>
      <c r="AD4" s="4">
        <f t="shared" si="15"/>
        <v>0</v>
      </c>
      <c r="AE4" s="4">
        <f t="shared" si="15"/>
        <v>0</v>
      </c>
      <c r="AF4" s="4">
        <f t="shared" si="15"/>
        <v>0</v>
      </c>
      <c r="AG4" s="4">
        <f t="shared" si="15"/>
        <v>0</v>
      </c>
      <c r="AH4" s="4">
        <f t="shared" si="15"/>
        <v>0</v>
      </c>
      <c r="AI4" s="1">
        <f t="shared" si="5"/>
        <v>0</v>
      </c>
      <c r="AJ4" s="1" t="s">
        <v>426</v>
      </c>
      <c r="AK4" s="1" t="s">
        <v>427</v>
      </c>
      <c r="AL4" s="4">
        <f t="shared" ref="AL4:AS4" si="16">IF(ISNUMBER(SEARCH(AL$1,$AK4)), 1, 0)</f>
        <v>0</v>
      </c>
      <c r="AM4" s="4">
        <f t="shared" si="16"/>
        <v>1</v>
      </c>
      <c r="AN4" s="4">
        <f t="shared" si="16"/>
        <v>1</v>
      </c>
      <c r="AO4" s="4">
        <f t="shared" si="16"/>
        <v>1</v>
      </c>
      <c r="AP4" s="4">
        <f t="shared" si="16"/>
        <v>0</v>
      </c>
      <c r="AQ4" s="4">
        <f t="shared" si="16"/>
        <v>1</v>
      </c>
      <c r="AR4" s="4">
        <f t="shared" si="16"/>
        <v>1</v>
      </c>
      <c r="AS4" s="4">
        <f t="shared" si="16"/>
        <v>1</v>
      </c>
      <c r="AU4" s="1" t="s">
        <v>48</v>
      </c>
      <c r="AV4" s="1">
        <f t="shared" si="7"/>
        <v>0</v>
      </c>
      <c r="AW4" s="1">
        <f t="shared" si="8"/>
        <v>1</v>
      </c>
      <c r="AX4" s="1">
        <f t="shared" si="9"/>
        <v>0</v>
      </c>
      <c r="AY4" s="1" t="s">
        <v>47</v>
      </c>
      <c r="AZ4" s="1" t="s">
        <v>47</v>
      </c>
      <c r="BA4" s="1" t="s">
        <v>428</v>
      </c>
      <c r="BB4" s="4">
        <f t="shared" ref="BB4:BJ4" si="17">IF(ISNUMBER(SEARCH(BB$1,$BA4)), 1, 0)</f>
        <v>0</v>
      </c>
      <c r="BC4" s="4">
        <f t="shared" si="17"/>
        <v>0</v>
      </c>
      <c r="BD4" s="4">
        <f t="shared" si="17"/>
        <v>0</v>
      </c>
      <c r="BE4" s="4">
        <f t="shared" si="17"/>
        <v>0</v>
      </c>
      <c r="BF4" s="4">
        <f t="shared" si="17"/>
        <v>0</v>
      </c>
      <c r="BG4" s="4">
        <f t="shared" si="17"/>
        <v>0</v>
      </c>
      <c r="BH4" s="4">
        <f t="shared" si="17"/>
        <v>1</v>
      </c>
      <c r="BI4" s="4">
        <f t="shared" si="17"/>
        <v>1</v>
      </c>
      <c r="BJ4" s="4">
        <f t="shared" si="17"/>
        <v>1</v>
      </c>
      <c r="BK4" s="4">
        <f t="shared" si="11"/>
        <v>3</v>
      </c>
      <c r="BO4" s="4">
        <f t="shared" ref="BO4:BU4" si="18">IF(ISNUMBER(SEARCH(BO$1,$BN4)), 1, 0)</f>
        <v>0</v>
      </c>
      <c r="BP4" s="4">
        <f t="shared" si="18"/>
        <v>0</v>
      </c>
      <c r="BQ4" s="4">
        <f t="shared" si="18"/>
        <v>0</v>
      </c>
      <c r="BR4" s="4">
        <f t="shared" si="18"/>
        <v>0</v>
      </c>
      <c r="BS4" s="4">
        <f t="shared" si="18"/>
        <v>0</v>
      </c>
      <c r="BT4" s="4">
        <f t="shared" si="18"/>
        <v>0</v>
      </c>
      <c r="BU4" s="4">
        <f t="shared" si="18"/>
        <v>0</v>
      </c>
      <c r="BY4" s="1" t="s">
        <v>429</v>
      </c>
      <c r="BZ4" s="1" t="s">
        <v>183</v>
      </c>
      <c r="CA4" s="1" t="s">
        <v>430</v>
      </c>
      <c r="CB4" s="1" t="s">
        <v>48</v>
      </c>
      <c r="CC4" s="1" t="s">
        <v>47</v>
      </c>
      <c r="CD4" s="1" t="s">
        <v>431</v>
      </c>
      <c r="CF4" s="1" t="s">
        <v>412</v>
      </c>
      <c r="CG4" s="1" t="s">
        <v>432</v>
      </c>
      <c r="CI4" s="1" t="s">
        <v>433</v>
      </c>
      <c r="CJ4" s="1" t="s">
        <v>434</v>
      </c>
      <c r="CR4" s="1" t="s">
        <v>435</v>
      </c>
      <c r="CT4" s="1" t="s">
        <v>436</v>
      </c>
      <c r="CU4" s="1" t="s">
        <v>214</v>
      </c>
      <c r="CW4" s="1" t="s">
        <v>437</v>
      </c>
    </row>
    <row r="5" spans="1:107" ht="15.75" customHeight="1" x14ac:dyDescent="0.25">
      <c r="A5" s="1" t="b">
        <v>0</v>
      </c>
      <c r="B5" s="3">
        <v>46152.652453703704</v>
      </c>
      <c r="C5" s="1" t="s">
        <v>295</v>
      </c>
      <c r="D5" s="1" t="s">
        <v>296</v>
      </c>
      <c r="E5" s="4">
        <f t="shared" ref="E5:K5" si="19">IF(ISNUMBER(SEARCH(E$1,$D5)), SEARCH(E$1,$D5), 0)</f>
        <v>1</v>
      </c>
      <c r="F5" s="4">
        <f t="shared" si="19"/>
        <v>30</v>
      </c>
      <c r="G5" s="4">
        <f t="shared" si="19"/>
        <v>105</v>
      </c>
      <c r="H5" s="4">
        <f t="shared" si="19"/>
        <v>161</v>
      </c>
      <c r="I5" s="4">
        <f t="shared" si="19"/>
        <v>199</v>
      </c>
      <c r="J5" s="4">
        <f t="shared" si="19"/>
        <v>231</v>
      </c>
      <c r="K5" s="4">
        <f t="shared" si="19"/>
        <v>0</v>
      </c>
      <c r="L5" s="4">
        <f t="shared" si="1"/>
        <v>231</v>
      </c>
      <c r="N5" s="1" t="s">
        <v>240</v>
      </c>
      <c r="O5" s="4">
        <f t="shared" ref="O5:T5" si="20">IF(ISNUMBER(SEARCH(O$1,$N5)), 1, 0)</f>
        <v>1</v>
      </c>
      <c r="P5" s="4">
        <f t="shared" si="20"/>
        <v>1</v>
      </c>
      <c r="Q5" s="4">
        <f t="shared" si="20"/>
        <v>1</v>
      </c>
      <c r="R5" s="4">
        <f t="shared" si="20"/>
        <v>1</v>
      </c>
      <c r="S5" s="4">
        <f t="shared" si="20"/>
        <v>0</v>
      </c>
      <c r="T5" s="4">
        <f t="shared" si="20"/>
        <v>0</v>
      </c>
      <c r="V5" s="1" t="s">
        <v>24</v>
      </c>
      <c r="W5" s="1" t="str">
        <f t="shared" si="3"/>
        <v>False</v>
      </c>
      <c r="X5" s="1" t="str">
        <f t="shared" si="3"/>
        <v>False</v>
      </c>
      <c r="Y5" s="1" t="str">
        <f t="shared" si="3"/>
        <v>True</v>
      </c>
      <c r="Z5" s="1" t="str">
        <f t="shared" si="3"/>
        <v>False</v>
      </c>
      <c r="AA5" s="1" t="str">
        <f t="shared" si="3"/>
        <v>False</v>
      </c>
      <c r="AB5" s="1" t="s">
        <v>33</v>
      </c>
      <c r="AC5" s="4">
        <f t="shared" ref="AC5:AH5" si="21">IF(ISNUMBER(SEARCH(AC$1,$AB5)), 1, 0)</f>
        <v>0</v>
      </c>
      <c r="AD5" s="4">
        <f t="shared" si="21"/>
        <v>0</v>
      </c>
      <c r="AE5" s="4">
        <f t="shared" si="21"/>
        <v>0</v>
      </c>
      <c r="AF5" s="4">
        <f t="shared" si="21"/>
        <v>0</v>
      </c>
      <c r="AG5" s="4">
        <f t="shared" si="21"/>
        <v>0</v>
      </c>
      <c r="AH5" s="4">
        <f t="shared" si="21"/>
        <v>1</v>
      </c>
      <c r="AI5" s="1">
        <f t="shared" si="5"/>
        <v>1</v>
      </c>
      <c r="AJ5" s="1"/>
      <c r="AK5" s="1" t="s">
        <v>38</v>
      </c>
      <c r="AL5" s="4">
        <f t="shared" ref="AL5:AS5" si="22">IF(ISNUMBER(SEARCH(AL$1,$AK5)), 1, 0)</f>
        <v>0</v>
      </c>
      <c r="AM5" s="4">
        <f t="shared" si="22"/>
        <v>1</v>
      </c>
      <c r="AN5" s="4">
        <f t="shared" si="22"/>
        <v>0</v>
      </c>
      <c r="AO5" s="4">
        <f t="shared" si="22"/>
        <v>0</v>
      </c>
      <c r="AP5" s="4">
        <f t="shared" si="22"/>
        <v>0</v>
      </c>
      <c r="AQ5" s="4">
        <f t="shared" si="22"/>
        <v>0</v>
      </c>
      <c r="AR5" s="4">
        <f t="shared" si="22"/>
        <v>0</v>
      </c>
      <c r="AS5" s="4">
        <f t="shared" si="22"/>
        <v>0</v>
      </c>
      <c r="AU5" s="1" t="s">
        <v>48</v>
      </c>
      <c r="AV5" s="1">
        <f t="shared" si="7"/>
        <v>0</v>
      </c>
      <c r="AW5" s="1">
        <f t="shared" si="8"/>
        <v>1</v>
      </c>
      <c r="AX5" s="1">
        <f t="shared" si="9"/>
        <v>0</v>
      </c>
      <c r="AY5" s="1" t="s">
        <v>48</v>
      </c>
      <c r="BA5" s="1" t="s">
        <v>297</v>
      </c>
      <c r="BB5" s="4">
        <f t="shared" ref="BB5:BJ5" si="23">IF(ISNUMBER(SEARCH(BB$1,$BA5)), 1, 0)</f>
        <v>1</v>
      </c>
      <c r="BC5" s="4">
        <f t="shared" si="23"/>
        <v>0</v>
      </c>
      <c r="BD5" s="4">
        <f t="shared" si="23"/>
        <v>1</v>
      </c>
      <c r="BE5" s="4">
        <f t="shared" si="23"/>
        <v>0</v>
      </c>
      <c r="BF5" s="4">
        <f t="shared" si="23"/>
        <v>1</v>
      </c>
      <c r="BG5" s="4">
        <f t="shared" si="23"/>
        <v>1</v>
      </c>
      <c r="BH5" s="4">
        <f t="shared" si="23"/>
        <v>0</v>
      </c>
      <c r="BI5" s="4">
        <f t="shared" si="23"/>
        <v>0</v>
      </c>
      <c r="BJ5" s="4">
        <f t="shared" si="23"/>
        <v>1</v>
      </c>
      <c r="BK5" s="4">
        <f t="shared" si="11"/>
        <v>5</v>
      </c>
      <c r="BM5" s="1" t="s">
        <v>190</v>
      </c>
      <c r="BN5" s="1" t="s">
        <v>298</v>
      </c>
      <c r="BO5" s="4">
        <f t="shared" ref="BO5:BU5" si="24">IF(ISNUMBER(SEARCH(BO$1,$BN5)), 1, 0)</f>
        <v>0</v>
      </c>
      <c r="BP5" s="4">
        <f t="shared" si="24"/>
        <v>0</v>
      </c>
      <c r="BQ5" s="4">
        <f t="shared" si="24"/>
        <v>0</v>
      </c>
      <c r="BR5" s="4">
        <f t="shared" si="24"/>
        <v>1</v>
      </c>
      <c r="BS5" s="4">
        <f t="shared" si="24"/>
        <v>1</v>
      </c>
      <c r="BT5" s="4">
        <f t="shared" si="24"/>
        <v>0</v>
      </c>
      <c r="BU5" s="4">
        <f t="shared" si="24"/>
        <v>1</v>
      </c>
      <c r="BV5" s="1" t="s">
        <v>299</v>
      </c>
      <c r="BY5" s="1" t="s">
        <v>300</v>
      </c>
    </row>
    <row r="6" spans="1:107" ht="15.75" customHeight="1" x14ac:dyDescent="0.25">
      <c r="A6" s="1" t="b">
        <v>1</v>
      </c>
      <c r="B6" s="3">
        <v>46161.533495370371</v>
      </c>
      <c r="C6" s="1" t="s">
        <v>442</v>
      </c>
      <c r="D6" s="1" t="s">
        <v>425</v>
      </c>
      <c r="E6" s="4">
        <f t="shared" ref="E6:K6" si="25">IF(ISNUMBER(SEARCH(E$1,$D6)), SEARCH(E$1,$D6), 0)</f>
        <v>1</v>
      </c>
      <c r="F6" s="4">
        <f t="shared" si="25"/>
        <v>30</v>
      </c>
      <c r="G6" s="4">
        <f t="shared" si="25"/>
        <v>105</v>
      </c>
      <c r="H6" s="4">
        <f t="shared" si="25"/>
        <v>161</v>
      </c>
      <c r="I6" s="4">
        <f t="shared" si="25"/>
        <v>199</v>
      </c>
      <c r="J6" s="4">
        <f t="shared" si="25"/>
        <v>231</v>
      </c>
      <c r="K6" s="4">
        <f t="shared" si="25"/>
        <v>268</v>
      </c>
      <c r="L6" s="4">
        <f t="shared" si="1"/>
        <v>268</v>
      </c>
      <c r="O6" s="4">
        <f t="shared" ref="O6:T6" si="26">IF(ISNUMBER(SEARCH(O$1,$N6)), 1, 0)</f>
        <v>0</v>
      </c>
      <c r="P6" s="4">
        <f t="shared" si="26"/>
        <v>0</v>
      </c>
      <c r="Q6" s="4">
        <f t="shared" si="26"/>
        <v>0</v>
      </c>
      <c r="R6" s="4">
        <f t="shared" si="26"/>
        <v>0</v>
      </c>
      <c r="S6" s="4">
        <f t="shared" si="26"/>
        <v>0</v>
      </c>
      <c r="T6" s="4">
        <f t="shared" si="26"/>
        <v>0</v>
      </c>
      <c r="W6" s="1" t="str">
        <f t="shared" si="3"/>
        <v>False</v>
      </c>
      <c r="X6" s="1" t="str">
        <f t="shared" si="3"/>
        <v>False</v>
      </c>
      <c r="Y6" s="1" t="str">
        <f t="shared" si="3"/>
        <v>False</v>
      </c>
      <c r="Z6" s="1" t="str">
        <f t="shared" si="3"/>
        <v>False</v>
      </c>
      <c r="AA6" s="1" t="str">
        <f t="shared" si="3"/>
        <v>False</v>
      </c>
      <c r="AB6" s="1" t="s">
        <v>443</v>
      </c>
      <c r="AC6" s="4">
        <f t="shared" ref="AC6:AH6" si="27">IF(ISNUMBER(SEARCH(AC$1,$AB6)), 1, 0)</f>
        <v>0</v>
      </c>
      <c r="AD6" s="4">
        <f t="shared" si="27"/>
        <v>1</v>
      </c>
      <c r="AE6" s="4">
        <f t="shared" si="27"/>
        <v>1</v>
      </c>
      <c r="AF6" s="4">
        <f t="shared" si="27"/>
        <v>1</v>
      </c>
      <c r="AG6" s="4">
        <f t="shared" si="27"/>
        <v>0</v>
      </c>
      <c r="AH6" s="4">
        <f t="shared" si="27"/>
        <v>1</v>
      </c>
      <c r="AI6" s="1">
        <f t="shared" si="5"/>
        <v>4</v>
      </c>
      <c r="AL6" s="4">
        <f t="shared" ref="AL6:AS6" si="28">IF(ISNUMBER(SEARCH(AL$1,$AK6)), 1, 0)</f>
        <v>0</v>
      </c>
      <c r="AM6" s="4">
        <f t="shared" si="28"/>
        <v>0</v>
      </c>
      <c r="AN6" s="4">
        <f t="shared" si="28"/>
        <v>0</v>
      </c>
      <c r="AO6" s="4">
        <f t="shared" si="28"/>
        <v>0</v>
      </c>
      <c r="AP6" s="4">
        <f t="shared" si="28"/>
        <v>0</v>
      </c>
      <c r="AQ6" s="4">
        <f t="shared" si="28"/>
        <v>0</v>
      </c>
      <c r="AR6" s="4">
        <f t="shared" si="28"/>
        <v>0</v>
      </c>
      <c r="AS6" s="4">
        <f t="shared" si="28"/>
        <v>0</v>
      </c>
      <c r="AV6" s="1">
        <f t="shared" si="7"/>
        <v>0</v>
      </c>
      <c r="AW6" s="1">
        <f t="shared" si="8"/>
        <v>0</v>
      </c>
      <c r="AX6" s="1">
        <f t="shared" si="9"/>
        <v>0</v>
      </c>
      <c r="BB6" s="4">
        <f t="shared" ref="BB6:BJ6" si="29">IF(ISNUMBER(SEARCH(BB$1,$BA6)), 1, 0)</f>
        <v>0</v>
      </c>
      <c r="BC6" s="4">
        <f t="shared" si="29"/>
        <v>0</v>
      </c>
      <c r="BD6" s="4">
        <f t="shared" si="29"/>
        <v>0</v>
      </c>
      <c r="BE6" s="4">
        <f t="shared" si="29"/>
        <v>0</v>
      </c>
      <c r="BF6" s="4">
        <f t="shared" si="29"/>
        <v>0</v>
      </c>
      <c r="BG6" s="4">
        <f t="shared" si="29"/>
        <v>0</v>
      </c>
      <c r="BH6" s="4">
        <f t="shared" si="29"/>
        <v>0</v>
      </c>
      <c r="BI6" s="4">
        <f t="shared" si="29"/>
        <v>0</v>
      </c>
      <c r="BJ6" s="4">
        <f t="shared" si="29"/>
        <v>0</v>
      </c>
      <c r="BK6" s="4">
        <f t="shared" si="11"/>
        <v>0</v>
      </c>
      <c r="BO6" s="4">
        <f t="shared" ref="BO6:BU6" si="30">IF(ISNUMBER(SEARCH(BO$1,$BN6)), 1, 0)</f>
        <v>0</v>
      </c>
      <c r="BP6" s="4">
        <f t="shared" si="30"/>
        <v>0</v>
      </c>
      <c r="BQ6" s="4">
        <f t="shared" si="30"/>
        <v>0</v>
      </c>
      <c r="BR6" s="4">
        <f t="shared" si="30"/>
        <v>0</v>
      </c>
      <c r="BS6" s="4">
        <f t="shared" si="30"/>
        <v>0</v>
      </c>
      <c r="BT6" s="4">
        <f t="shared" si="30"/>
        <v>0</v>
      </c>
      <c r="BU6" s="4">
        <f t="shared" si="30"/>
        <v>0</v>
      </c>
      <c r="CB6" s="1" t="s">
        <v>48</v>
      </c>
      <c r="CC6" s="1" t="s">
        <v>48</v>
      </c>
      <c r="CD6" s="1" t="s">
        <v>444</v>
      </c>
      <c r="CF6" s="1" t="s">
        <v>387</v>
      </c>
      <c r="CG6" s="1" t="s">
        <v>388</v>
      </c>
      <c r="CH6" s="1" t="s">
        <v>445</v>
      </c>
      <c r="CJ6" s="1" t="s">
        <v>446</v>
      </c>
      <c r="CL6" s="1" t="s">
        <v>447</v>
      </c>
      <c r="CM6" s="1" t="s">
        <v>48</v>
      </c>
      <c r="CN6" s="1" t="s">
        <v>448</v>
      </c>
      <c r="CR6" s="1" t="s">
        <v>449</v>
      </c>
      <c r="CU6" s="1" t="s">
        <v>449</v>
      </c>
      <c r="CX6" s="1" t="s">
        <v>450</v>
      </c>
      <c r="CZ6" s="1" t="s">
        <v>451</v>
      </c>
      <c r="DC6" s="1" t="s">
        <v>238</v>
      </c>
    </row>
    <row r="7" spans="1:107" ht="15.75" customHeight="1" x14ac:dyDescent="0.25">
      <c r="A7" s="1" t="b">
        <v>1</v>
      </c>
      <c r="B7" s="3">
        <v>46158.708622685182</v>
      </c>
      <c r="C7" s="1" t="s">
        <v>390</v>
      </c>
      <c r="D7" s="1" t="s">
        <v>391</v>
      </c>
      <c r="E7" s="4">
        <f t="shared" ref="E7:K7" si="31">IF(ISNUMBER(SEARCH(E$1,$D7)), SEARCH(E$1,$D7), 0)</f>
        <v>1</v>
      </c>
      <c r="F7" s="4">
        <f t="shared" si="31"/>
        <v>30</v>
      </c>
      <c r="G7" s="4">
        <f t="shared" si="31"/>
        <v>105</v>
      </c>
      <c r="H7" s="4">
        <f t="shared" si="31"/>
        <v>161</v>
      </c>
      <c r="I7" s="4">
        <f t="shared" si="31"/>
        <v>199</v>
      </c>
      <c r="J7" s="4">
        <f t="shared" si="31"/>
        <v>231</v>
      </c>
      <c r="K7" s="4">
        <f t="shared" si="31"/>
        <v>268</v>
      </c>
      <c r="L7" s="4">
        <f t="shared" si="1"/>
        <v>268</v>
      </c>
      <c r="N7" s="1" t="s">
        <v>160</v>
      </c>
      <c r="O7" s="4">
        <f t="shared" ref="O7:T7" si="32">IF(ISNUMBER(SEARCH(O$1,$N7)), 1, 0)</f>
        <v>1</v>
      </c>
      <c r="P7" s="4">
        <f t="shared" si="32"/>
        <v>1</v>
      </c>
      <c r="Q7" s="4">
        <f t="shared" si="32"/>
        <v>1</v>
      </c>
      <c r="R7" s="4">
        <f t="shared" si="32"/>
        <v>1</v>
      </c>
      <c r="S7" s="4">
        <f t="shared" si="32"/>
        <v>1</v>
      </c>
      <c r="T7" s="4">
        <f t="shared" si="32"/>
        <v>1</v>
      </c>
      <c r="W7" s="1" t="str">
        <f t="shared" si="3"/>
        <v>False</v>
      </c>
      <c r="X7" s="1" t="str">
        <f t="shared" si="3"/>
        <v>False</v>
      </c>
      <c r="Y7" s="1" t="str">
        <f t="shared" si="3"/>
        <v>False</v>
      </c>
      <c r="Z7" s="1" t="str">
        <f t="shared" si="3"/>
        <v>False</v>
      </c>
      <c r="AA7" s="1" t="str">
        <f t="shared" si="3"/>
        <v>False</v>
      </c>
      <c r="AB7" s="1" t="s">
        <v>392</v>
      </c>
      <c r="AC7" s="4">
        <f t="shared" ref="AC7:AH7" si="33">IF(ISNUMBER(SEARCH(AC$1,$AB7)), 1, 0)</f>
        <v>0</v>
      </c>
      <c r="AD7" s="4">
        <f t="shared" si="33"/>
        <v>1</v>
      </c>
      <c r="AE7" s="4">
        <f t="shared" si="33"/>
        <v>1</v>
      </c>
      <c r="AF7" s="4">
        <f t="shared" si="33"/>
        <v>0</v>
      </c>
      <c r="AG7" s="4">
        <f t="shared" si="33"/>
        <v>0</v>
      </c>
      <c r="AH7" s="4">
        <f t="shared" si="33"/>
        <v>0</v>
      </c>
      <c r="AI7" s="1">
        <f t="shared" si="5"/>
        <v>2</v>
      </c>
      <c r="AL7" s="4">
        <f t="shared" ref="AL7:AS7" si="34">IF(ISNUMBER(SEARCH(AL$1,$AK7)), 1, 0)</f>
        <v>0</v>
      </c>
      <c r="AM7" s="4">
        <f t="shared" si="34"/>
        <v>0</v>
      </c>
      <c r="AN7" s="4">
        <f t="shared" si="34"/>
        <v>0</v>
      </c>
      <c r="AO7" s="4">
        <f t="shared" si="34"/>
        <v>0</v>
      </c>
      <c r="AP7" s="4">
        <f t="shared" si="34"/>
        <v>0</v>
      </c>
      <c r="AQ7" s="4">
        <f t="shared" si="34"/>
        <v>0</v>
      </c>
      <c r="AR7" s="4">
        <f t="shared" si="34"/>
        <v>0</v>
      </c>
      <c r="AS7" s="4">
        <f t="shared" si="34"/>
        <v>0</v>
      </c>
      <c r="AV7" s="1">
        <f t="shared" si="7"/>
        <v>0</v>
      </c>
      <c r="AW7" s="1">
        <f t="shared" si="8"/>
        <v>0</v>
      </c>
      <c r="AX7" s="1">
        <f t="shared" si="9"/>
        <v>0</v>
      </c>
      <c r="BB7" s="4">
        <f t="shared" ref="BB7:BJ7" si="35">IF(ISNUMBER(SEARCH(BB$1,$BA7)), 1, 0)</f>
        <v>0</v>
      </c>
      <c r="BC7" s="4">
        <f t="shared" si="35"/>
        <v>0</v>
      </c>
      <c r="BD7" s="4">
        <f t="shared" si="35"/>
        <v>0</v>
      </c>
      <c r="BE7" s="4">
        <f t="shared" si="35"/>
        <v>0</v>
      </c>
      <c r="BF7" s="4">
        <f t="shared" si="35"/>
        <v>0</v>
      </c>
      <c r="BG7" s="4">
        <f t="shared" si="35"/>
        <v>0</v>
      </c>
      <c r="BH7" s="4">
        <f t="shared" si="35"/>
        <v>0</v>
      </c>
      <c r="BI7" s="4">
        <f t="shared" si="35"/>
        <v>0</v>
      </c>
      <c r="BJ7" s="4">
        <f t="shared" si="35"/>
        <v>0</v>
      </c>
      <c r="BK7" s="4">
        <f t="shared" si="11"/>
        <v>0</v>
      </c>
      <c r="BO7" s="4">
        <f t="shared" ref="BO7:BU7" si="36">IF(ISNUMBER(SEARCH(BO$1,$BN7)), 1, 0)</f>
        <v>0</v>
      </c>
      <c r="BP7" s="4">
        <f t="shared" si="36"/>
        <v>0</v>
      </c>
      <c r="BQ7" s="4">
        <f t="shared" si="36"/>
        <v>0</v>
      </c>
      <c r="BR7" s="4">
        <f t="shared" si="36"/>
        <v>0</v>
      </c>
      <c r="BS7" s="4">
        <f t="shared" si="36"/>
        <v>0</v>
      </c>
      <c r="BT7" s="4">
        <f t="shared" si="36"/>
        <v>0</v>
      </c>
      <c r="BU7" s="4">
        <f t="shared" si="36"/>
        <v>0</v>
      </c>
      <c r="CB7" s="1" t="s">
        <v>48</v>
      </c>
      <c r="CC7" s="1" t="s">
        <v>48</v>
      </c>
    </row>
    <row r="8" spans="1:107" ht="15.75" customHeight="1" x14ac:dyDescent="0.25">
      <c r="A8" s="1" t="b">
        <v>1</v>
      </c>
      <c r="B8" s="3">
        <v>46164.688993055555</v>
      </c>
      <c r="C8" s="1" t="s">
        <v>517</v>
      </c>
      <c r="D8" s="1" t="s">
        <v>518</v>
      </c>
      <c r="E8" s="4">
        <f t="shared" ref="E8:K8" si="37">IF(ISNUMBER(SEARCH(E$1,$D8)), SEARCH(E$1,$D8), 0)</f>
        <v>1</v>
      </c>
      <c r="F8" s="4">
        <f t="shared" si="37"/>
        <v>30</v>
      </c>
      <c r="G8" s="4">
        <f t="shared" si="37"/>
        <v>0</v>
      </c>
      <c r="H8" s="4">
        <f t="shared" si="37"/>
        <v>105</v>
      </c>
      <c r="I8" s="4">
        <f t="shared" si="37"/>
        <v>143</v>
      </c>
      <c r="J8" s="4">
        <f t="shared" si="37"/>
        <v>0</v>
      </c>
      <c r="K8" s="4">
        <f t="shared" si="37"/>
        <v>0</v>
      </c>
      <c r="L8" s="4">
        <f t="shared" si="1"/>
        <v>143</v>
      </c>
      <c r="N8" s="1" t="s">
        <v>240</v>
      </c>
      <c r="O8" s="4">
        <f t="shared" ref="O8:T8" si="38">IF(ISNUMBER(SEARCH(O$1,$N8)), 1, 0)</f>
        <v>1</v>
      </c>
      <c r="P8" s="4">
        <f t="shared" si="38"/>
        <v>1</v>
      </c>
      <c r="Q8" s="4">
        <f t="shared" si="38"/>
        <v>1</v>
      </c>
      <c r="R8" s="4">
        <f t="shared" si="38"/>
        <v>1</v>
      </c>
      <c r="S8" s="4">
        <f t="shared" si="38"/>
        <v>0</v>
      </c>
      <c r="T8" s="4">
        <f t="shared" si="38"/>
        <v>0</v>
      </c>
      <c r="V8" s="1" t="s">
        <v>26</v>
      </c>
      <c r="W8" s="1" t="str">
        <f t="shared" si="3"/>
        <v>False</v>
      </c>
      <c r="X8" s="1" t="str">
        <f t="shared" si="3"/>
        <v>False</v>
      </c>
      <c r="Y8" s="1" t="str">
        <f t="shared" si="3"/>
        <v>False</v>
      </c>
      <c r="Z8" s="1" t="str">
        <f t="shared" si="3"/>
        <v>False</v>
      </c>
      <c r="AA8" s="1" t="str">
        <f t="shared" si="3"/>
        <v>True</v>
      </c>
      <c r="AB8" s="1" t="s">
        <v>519</v>
      </c>
      <c r="AC8" s="4">
        <f t="shared" ref="AC8:AH8" si="39">IF(ISNUMBER(SEARCH(AC$1,$AB8)), 1, 0)</f>
        <v>1</v>
      </c>
      <c r="AD8" s="4">
        <f t="shared" si="39"/>
        <v>0</v>
      </c>
      <c r="AE8" s="4">
        <f t="shared" si="39"/>
        <v>0</v>
      </c>
      <c r="AF8" s="4">
        <f t="shared" si="39"/>
        <v>0</v>
      </c>
      <c r="AG8" s="4">
        <f t="shared" si="39"/>
        <v>1</v>
      </c>
      <c r="AH8" s="4">
        <f t="shared" si="39"/>
        <v>0</v>
      </c>
      <c r="AI8" s="1">
        <f t="shared" si="5"/>
        <v>2</v>
      </c>
      <c r="AK8" s="1" t="s">
        <v>317</v>
      </c>
      <c r="AL8" s="4">
        <f t="shared" ref="AL8:AS8" si="40">IF(ISNUMBER(SEARCH(AL$1,$AK8)), 1, 0)</f>
        <v>0</v>
      </c>
      <c r="AM8" s="4">
        <f t="shared" si="40"/>
        <v>1</v>
      </c>
      <c r="AN8" s="4">
        <f t="shared" si="40"/>
        <v>0</v>
      </c>
      <c r="AO8" s="4">
        <f t="shared" si="40"/>
        <v>1</v>
      </c>
      <c r="AP8" s="4">
        <f t="shared" si="40"/>
        <v>1</v>
      </c>
      <c r="AQ8" s="4">
        <f t="shared" si="40"/>
        <v>1</v>
      </c>
      <c r="AR8" s="4">
        <f t="shared" si="40"/>
        <v>0</v>
      </c>
      <c r="AS8" s="4">
        <f t="shared" si="40"/>
        <v>0</v>
      </c>
      <c r="AU8" s="1" t="s">
        <v>48</v>
      </c>
      <c r="AV8" s="1">
        <f t="shared" si="7"/>
        <v>0</v>
      </c>
      <c r="AW8" s="1">
        <f t="shared" si="8"/>
        <v>1</v>
      </c>
      <c r="AX8" s="1">
        <f t="shared" si="9"/>
        <v>0</v>
      </c>
      <c r="AY8" s="1" t="s">
        <v>48</v>
      </c>
      <c r="BA8" s="1" t="s">
        <v>493</v>
      </c>
      <c r="BB8" s="4">
        <f t="shared" ref="BB8:BJ8" si="41">IF(ISNUMBER(SEARCH(BB$1,$BA8)), 1, 0)</f>
        <v>1</v>
      </c>
      <c r="BC8" s="4">
        <f t="shared" si="41"/>
        <v>1</v>
      </c>
      <c r="BD8" s="4">
        <f t="shared" si="41"/>
        <v>1</v>
      </c>
      <c r="BE8" s="4">
        <f t="shared" si="41"/>
        <v>0</v>
      </c>
      <c r="BF8" s="4">
        <f t="shared" si="41"/>
        <v>1</v>
      </c>
      <c r="BG8" s="4">
        <f t="shared" si="41"/>
        <v>0</v>
      </c>
      <c r="BH8" s="4">
        <f t="shared" si="41"/>
        <v>1</v>
      </c>
      <c r="BI8" s="4">
        <f t="shared" si="41"/>
        <v>0</v>
      </c>
      <c r="BJ8" s="4">
        <f t="shared" si="41"/>
        <v>1</v>
      </c>
      <c r="BK8" s="4">
        <f t="shared" si="11"/>
        <v>6</v>
      </c>
      <c r="BM8" s="1" t="s">
        <v>190</v>
      </c>
      <c r="BN8" s="1" t="s">
        <v>340</v>
      </c>
      <c r="BO8" s="4">
        <f t="shared" ref="BO8:BU8" si="42">IF(ISNUMBER(SEARCH(BO$1,$BN8)), 1, 0)</f>
        <v>1</v>
      </c>
      <c r="BP8" s="4">
        <f t="shared" si="42"/>
        <v>1</v>
      </c>
      <c r="BQ8" s="4">
        <f t="shared" si="42"/>
        <v>0</v>
      </c>
      <c r="BR8" s="4">
        <f t="shared" si="42"/>
        <v>0</v>
      </c>
      <c r="BS8" s="4">
        <f t="shared" si="42"/>
        <v>0</v>
      </c>
      <c r="BT8" s="4">
        <f t="shared" si="42"/>
        <v>0</v>
      </c>
      <c r="BU8" s="4">
        <f t="shared" si="42"/>
        <v>0</v>
      </c>
      <c r="BW8" s="1" t="s">
        <v>220</v>
      </c>
      <c r="CB8" s="1" t="s">
        <v>47</v>
      </c>
      <c r="CF8" s="1" t="s">
        <v>387</v>
      </c>
      <c r="CG8" s="1" t="s">
        <v>388</v>
      </c>
      <c r="CH8" s="1" t="s">
        <v>520</v>
      </c>
      <c r="CL8" s="1" t="s">
        <v>177</v>
      </c>
      <c r="CX8" s="1" t="s">
        <v>450</v>
      </c>
      <c r="CZ8" s="1" t="s">
        <v>250</v>
      </c>
      <c r="DB8" s="1" t="s">
        <v>521</v>
      </c>
      <c r="DC8" s="1" t="s">
        <v>238</v>
      </c>
    </row>
    <row r="9" spans="1:107" ht="15.75" customHeight="1" x14ac:dyDescent="0.25">
      <c r="A9" s="1" t="b">
        <v>1</v>
      </c>
      <c r="B9" s="3">
        <v>46158.319027777776</v>
      </c>
      <c r="C9" s="1" t="s">
        <v>383</v>
      </c>
      <c r="D9" s="1" t="s">
        <v>384</v>
      </c>
      <c r="E9" s="4">
        <f t="shared" ref="E9:K9" si="43">IF(ISNUMBER(SEARCH(E$1,$D9)), SEARCH(E$1,$D9), 0)</f>
        <v>1</v>
      </c>
      <c r="F9" s="4">
        <f t="shared" si="43"/>
        <v>0</v>
      </c>
      <c r="G9" s="4">
        <f t="shared" si="43"/>
        <v>30</v>
      </c>
      <c r="H9" s="4">
        <f t="shared" si="43"/>
        <v>86</v>
      </c>
      <c r="I9" s="4">
        <f t="shared" si="43"/>
        <v>0</v>
      </c>
      <c r="J9" s="4">
        <f t="shared" si="43"/>
        <v>0</v>
      </c>
      <c r="K9" s="4">
        <f t="shared" si="43"/>
        <v>0</v>
      </c>
      <c r="L9" s="4">
        <f t="shared" si="1"/>
        <v>86</v>
      </c>
      <c r="N9" s="1" t="s">
        <v>385</v>
      </c>
      <c r="O9" s="4">
        <f t="shared" ref="O9:T9" si="44">IF(ISNUMBER(SEARCH(O$1,$N9)), 1, 0)</f>
        <v>1</v>
      </c>
      <c r="P9" s="4">
        <f t="shared" si="44"/>
        <v>1</v>
      </c>
      <c r="Q9" s="4">
        <f t="shared" si="44"/>
        <v>0</v>
      </c>
      <c r="R9" s="4">
        <f t="shared" si="44"/>
        <v>1</v>
      </c>
      <c r="S9" s="4">
        <f t="shared" si="44"/>
        <v>1</v>
      </c>
      <c r="T9" s="4">
        <f t="shared" si="44"/>
        <v>0</v>
      </c>
      <c r="V9" s="1" t="s">
        <v>24</v>
      </c>
      <c r="W9" s="1" t="str">
        <f t="shared" si="3"/>
        <v>False</v>
      </c>
      <c r="X9" s="1" t="str">
        <f t="shared" si="3"/>
        <v>False</v>
      </c>
      <c r="Y9" s="1" t="str">
        <f t="shared" si="3"/>
        <v>True</v>
      </c>
      <c r="Z9" s="1" t="str">
        <f t="shared" si="3"/>
        <v>False</v>
      </c>
      <c r="AA9" s="1" t="str">
        <f t="shared" si="3"/>
        <v>False</v>
      </c>
      <c r="AB9" s="1" t="s">
        <v>28</v>
      </c>
      <c r="AC9" s="4">
        <f t="shared" ref="AC9:AH9" si="45">IF(ISNUMBER(SEARCH(AC$1,$AB9)), 1, 0)</f>
        <v>1</v>
      </c>
      <c r="AD9" s="4">
        <f t="shared" si="45"/>
        <v>0</v>
      </c>
      <c r="AE9" s="4">
        <f t="shared" si="45"/>
        <v>0</v>
      </c>
      <c r="AF9" s="4">
        <f t="shared" si="45"/>
        <v>0</v>
      </c>
      <c r="AG9" s="4">
        <f t="shared" si="45"/>
        <v>0</v>
      </c>
      <c r="AH9" s="4">
        <f t="shared" si="45"/>
        <v>0</v>
      </c>
      <c r="AI9" s="1">
        <f t="shared" si="5"/>
        <v>1</v>
      </c>
      <c r="AK9" s="1" t="s">
        <v>38</v>
      </c>
      <c r="AL9" s="4">
        <f t="shared" ref="AL9:AS9" si="46">IF(ISNUMBER(SEARCH(AL$1,$AK9)), 1, 0)</f>
        <v>0</v>
      </c>
      <c r="AM9" s="4">
        <f t="shared" si="46"/>
        <v>1</v>
      </c>
      <c r="AN9" s="4">
        <f t="shared" si="46"/>
        <v>0</v>
      </c>
      <c r="AO9" s="4">
        <f t="shared" si="46"/>
        <v>0</v>
      </c>
      <c r="AP9" s="4">
        <f t="shared" si="46"/>
        <v>0</v>
      </c>
      <c r="AQ9" s="4">
        <f t="shared" si="46"/>
        <v>0</v>
      </c>
      <c r="AR9" s="4">
        <f t="shared" si="46"/>
        <v>0</v>
      </c>
      <c r="AS9" s="4">
        <f t="shared" si="46"/>
        <v>0</v>
      </c>
      <c r="AU9" s="1" t="s">
        <v>48</v>
      </c>
      <c r="AV9" s="1">
        <f t="shared" si="7"/>
        <v>0</v>
      </c>
      <c r="AW9" s="1">
        <f t="shared" si="8"/>
        <v>1</v>
      </c>
      <c r="AX9" s="1">
        <f t="shared" si="9"/>
        <v>0</v>
      </c>
      <c r="AY9" s="1" t="s">
        <v>48</v>
      </c>
      <c r="BA9" s="1" t="s">
        <v>56</v>
      </c>
      <c r="BB9" s="4">
        <f t="shared" ref="BB9:BJ9" si="47">IF(ISNUMBER(SEARCH(BB$1,$BA9)), 1, 0)</f>
        <v>0</v>
      </c>
      <c r="BC9" s="4">
        <f t="shared" si="47"/>
        <v>0</v>
      </c>
      <c r="BD9" s="4">
        <f t="shared" si="47"/>
        <v>0</v>
      </c>
      <c r="BE9" s="4">
        <f t="shared" si="47"/>
        <v>1</v>
      </c>
      <c r="BF9" s="4">
        <f t="shared" si="47"/>
        <v>0</v>
      </c>
      <c r="BG9" s="4">
        <f t="shared" si="47"/>
        <v>0</v>
      </c>
      <c r="BH9" s="4">
        <f t="shared" si="47"/>
        <v>0</v>
      </c>
      <c r="BI9" s="4">
        <f t="shared" si="47"/>
        <v>0</v>
      </c>
      <c r="BJ9" s="4">
        <f t="shared" si="47"/>
        <v>0</v>
      </c>
      <c r="BK9" s="4">
        <f t="shared" si="11"/>
        <v>1</v>
      </c>
      <c r="BM9" s="1" t="s">
        <v>232</v>
      </c>
      <c r="BN9" s="1" t="s">
        <v>386</v>
      </c>
      <c r="BO9" s="4">
        <f t="shared" ref="BO9:BU9" si="48">IF(ISNUMBER(SEARCH(BO$1,$BN9)), 1, 0)</f>
        <v>0</v>
      </c>
      <c r="BP9" s="4">
        <f t="shared" si="48"/>
        <v>1</v>
      </c>
      <c r="BQ9" s="4">
        <f t="shared" si="48"/>
        <v>0</v>
      </c>
      <c r="BR9" s="4">
        <f t="shared" si="48"/>
        <v>0</v>
      </c>
      <c r="BS9" s="4">
        <f t="shared" si="48"/>
        <v>0</v>
      </c>
      <c r="BT9" s="4">
        <f t="shared" si="48"/>
        <v>1</v>
      </c>
      <c r="BU9" s="4">
        <f t="shared" si="48"/>
        <v>0</v>
      </c>
      <c r="BW9" s="1" t="s">
        <v>169</v>
      </c>
      <c r="CB9" s="1" t="s">
        <v>47</v>
      </c>
      <c r="CF9" s="1" t="s">
        <v>387</v>
      </c>
      <c r="CG9" s="1" t="s">
        <v>388</v>
      </c>
      <c r="CU9" s="1" t="s">
        <v>389</v>
      </c>
    </row>
    <row r="10" spans="1:107" ht="15.75" customHeight="1" x14ac:dyDescent="0.25">
      <c r="A10" s="1" t="b">
        <v>1</v>
      </c>
      <c r="B10" s="3">
        <v>46172.815821759257</v>
      </c>
      <c r="C10" s="1" t="s">
        <v>788</v>
      </c>
      <c r="D10" s="1" t="s">
        <v>751</v>
      </c>
      <c r="E10" s="4">
        <f t="shared" ref="E10:K10" si="49">IF(ISNUMBER(SEARCH(E$1,$D10)), SEARCH(E$1,$D10), 0)</f>
        <v>1</v>
      </c>
      <c r="F10" s="4">
        <f t="shared" si="49"/>
        <v>0</v>
      </c>
      <c r="G10" s="4">
        <f t="shared" si="49"/>
        <v>0</v>
      </c>
      <c r="H10" s="4">
        <f t="shared" si="49"/>
        <v>30</v>
      </c>
      <c r="I10" s="4">
        <f t="shared" si="49"/>
        <v>0</v>
      </c>
      <c r="J10" s="4">
        <f t="shared" si="49"/>
        <v>0</v>
      </c>
      <c r="K10" s="4">
        <f t="shared" si="49"/>
        <v>0</v>
      </c>
      <c r="L10" s="4">
        <f t="shared" si="1"/>
        <v>30</v>
      </c>
      <c r="N10" s="1" t="s">
        <v>789</v>
      </c>
      <c r="O10" s="4">
        <f t="shared" ref="O10:T10" si="50">IF(ISNUMBER(SEARCH(O$1,$N10)), 1, 0)</f>
        <v>1</v>
      </c>
      <c r="P10" s="4">
        <f t="shared" si="50"/>
        <v>1</v>
      </c>
      <c r="Q10" s="4">
        <f t="shared" si="50"/>
        <v>1</v>
      </c>
      <c r="R10" s="4">
        <f t="shared" si="50"/>
        <v>0</v>
      </c>
      <c r="S10" s="4">
        <f t="shared" si="50"/>
        <v>1</v>
      </c>
      <c r="T10" s="4">
        <f t="shared" si="50"/>
        <v>1</v>
      </c>
      <c r="V10" s="1" t="s">
        <v>23</v>
      </c>
      <c r="W10" s="1" t="str">
        <f t="shared" si="3"/>
        <v>False</v>
      </c>
      <c r="X10" s="1" t="str">
        <f t="shared" si="3"/>
        <v>True</v>
      </c>
      <c r="Y10" s="1" t="str">
        <f t="shared" si="3"/>
        <v>False</v>
      </c>
      <c r="Z10" s="1" t="str">
        <f t="shared" si="3"/>
        <v>False</v>
      </c>
      <c r="AA10" s="1" t="str">
        <f t="shared" si="3"/>
        <v>False</v>
      </c>
      <c r="AB10" s="1" t="s">
        <v>183</v>
      </c>
      <c r="AC10" s="4">
        <f t="shared" ref="AC10:AH10" si="51">IF(ISNUMBER(SEARCH(AC$1,$AB10)), 1, 0)</f>
        <v>0</v>
      </c>
      <c r="AD10" s="4">
        <f t="shared" si="51"/>
        <v>0</v>
      </c>
      <c r="AE10" s="4">
        <f t="shared" si="51"/>
        <v>0</v>
      </c>
      <c r="AF10" s="4">
        <f t="shared" si="51"/>
        <v>0</v>
      </c>
      <c r="AG10" s="4">
        <f t="shared" si="51"/>
        <v>0</v>
      </c>
      <c r="AH10" s="4">
        <f t="shared" si="51"/>
        <v>0</v>
      </c>
      <c r="AI10" s="1">
        <f t="shared" si="5"/>
        <v>0</v>
      </c>
      <c r="AJ10" s="1" t="s">
        <v>790</v>
      </c>
      <c r="AK10" s="1" t="s">
        <v>791</v>
      </c>
      <c r="AL10" s="4">
        <f t="shared" ref="AL10:AS10" si="52">IF(ISNUMBER(SEARCH(AL$1,$AK10)), 1, 0)</f>
        <v>1</v>
      </c>
      <c r="AM10" s="4">
        <f t="shared" si="52"/>
        <v>0</v>
      </c>
      <c r="AN10" s="4">
        <f t="shared" si="52"/>
        <v>0</v>
      </c>
      <c r="AO10" s="4">
        <f t="shared" si="52"/>
        <v>0</v>
      </c>
      <c r="AP10" s="4">
        <f t="shared" si="52"/>
        <v>0</v>
      </c>
      <c r="AQ10" s="4">
        <f t="shared" si="52"/>
        <v>1</v>
      </c>
      <c r="AR10" s="4">
        <f t="shared" si="52"/>
        <v>1</v>
      </c>
      <c r="AS10" s="4">
        <f t="shared" si="52"/>
        <v>0</v>
      </c>
      <c r="AU10" s="1" t="s">
        <v>48</v>
      </c>
      <c r="AV10" s="1">
        <f t="shared" si="7"/>
        <v>0</v>
      </c>
      <c r="AW10" s="1">
        <f t="shared" si="8"/>
        <v>1</v>
      </c>
      <c r="AX10" s="1">
        <f t="shared" si="9"/>
        <v>0</v>
      </c>
      <c r="AY10" s="1" t="s">
        <v>47</v>
      </c>
      <c r="AZ10" s="1" t="s">
        <v>48</v>
      </c>
      <c r="BA10" s="1" t="s">
        <v>61</v>
      </c>
      <c r="BB10" s="4">
        <f t="shared" ref="BB10:BJ10" si="53">IF(ISNUMBER(SEARCH(BB$1,$BA10)), 1, 0)</f>
        <v>0</v>
      </c>
      <c r="BC10" s="4">
        <f t="shared" si="53"/>
        <v>0</v>
      </c>
      <c r="BD10" s="4">
        <f t="shared" si="53"/>
        <v>0</v>
      </c>
      <c r="BE10" s="4">
        <f t="shared" si="53"/>
        <v>0</v>
      </c>
      <c r="BF10" s="4">
        <f t="shared" si="53"/>
        <v>0</v>
      </c>
      <c r="BG10" s="4">
        <f t="shared" si="53"/>
        <v>0</v>
      </c>
      <c r="BH10" s="4">
        <f t="shared" si="53"/>
        <v>0</v>
      </c>
      <c r="BI10" s="4">
        <f t="shared" si="53"/>
        <v>0</v>
      </c>
      <c r="BJ10" s="4">
        <f t="shared" si="53"/>
        <v>1</v>
      </c>
      <c r="BK10" s="4">
        <f t="shared" si="11"/>
        <v>1</v>
      </c>
      <c r="BO10" s="4">
        <f t="shared" ref="BO10:BU10" si="54">IF(ISNUMBER(SEARCH(BO$1,$BN10)), 1, 0)</f>
        <v>0</v>
      </c>
      <c r="BP10" s="4">
        <f t="shared" si="54"/>
        <v>0</v>
      </c>
      <c r="BQ10" s="4">
        <f t="shared" si="54"/>
        <v>0</v>
      </c>
      <c r="BR10" s="4">
        <f t="shared" si="54"/>
        <v>0</v>
      </c>
      <c r="BS10" s="4">
        <f t="shared" si="54"/>
        <v>0</v>
      </c>
      <c r="BT10" s="4">
        <f t="shared" si="54"/>
        <v>0</v>
      </c>
      <c r="BU10" s="4">
        <f t="shared" si="54"/>
        <v>0</v>
      </c>
      <c r="BW10" s="1" t="s">
        <v>516</v>
      </c>
      <c r="BY10" s="1" t="s">
        <v>792</v>
      </c>
      <c r="BZ10" s="1" t="s">
        <v>793</v>
      </c>
      <c r="CB10" s="1" t="s">
        <v>49</v>
      </c>
      <c r="CF10" s="1" t="s">
        <v>387</v>
      </c>
      <c r="CG10" s="1" t="s">
        <v>388</v>
      </c>
      <c r="DC10" s="1" t="s">
        <v>180</v>
      </c>
    </row>
    <row r="11" spans="1:107" ht="15.75" customHeight="1" x14ac:dyDescent="0.25">
      <c r="A11" s="1" t="b">
        <v>0</v>
      </c>
      <c r="B11" s="3">
        <v>46169.409421296295</v>
      </c>
      <c r="C11" s="1" t="s">
        <v>737</v>
      </c>
      <c r="D11" s="1" t="s">
        <v>738</v>
      </c>
      <c r="E11" s="4">
        <f t="shared" ref="E11:K11" si="55">IF(ISNUMBER(SEARCH(E$1,$D11)), SEARCH(E$1,$D11), 0)</f>
        <v>1</v>
      </c>
      <c r="F11" s="4">
        <f t="shared" si="55"/>
        <v>0</v>
      </c>
      <c r="G11" s="4">
        <f t="shared" si="55"/>
        <v>0</v>
      </c>
      <c r="H11" s="4">
        <f t="shared" si="55"/>
        <v>30</v>
      </c>
      <c r="I11" s="4">
        <f t="shared" si="55"/>
        <v>68</v>
      </c>
      <c r="J11" s="4">
        <f t="shared" si="55"/>
        <v>0</v>
      </c>
      <c r="K11" s="4">
        <f t="shared" si="55"/>
        <v>0</v>
      </c>
      <c r="L11" s="4">
        <f t="shared" si="1"/>
        <v>68</v>
      </c>
      <c r="N11" s="1" t="s">
        <v>739</v>
      </c>
      <c r="O11" s="4">
        <f t="shared" ref="O11:T11" si="56">IF(ISNUMBER(SEARCH(O$1,$N11)), 1, 0)</f>
        <v>0</v>
      </c>
      <c r="P11" s="4">
        <f t="shared" si="56"/>
        <v>0</v>
      </c>
      <c r="Q11" s="4">
        <f t="shared" si="56"/>
        <v>1</v>
      </c>
      <c r="R11" s="4">
        <f t="shared" si="56"/>
        <v>1</v>
      </c>
      <c r="S11" s="4">
        <f t="shared" si="56"/>
        <v>0</v>
      </c>
      <c r="T11" s="4">
        <f t="shared" si="56"/>
        <v>0</v>
      </c>
      <c r="V11" s="1" t="s">
        <v>25</v>
      </c>
      <c r="W11" s="1" t="str">
        <f t="shared" si="3"/>
        <v>False</v>
      </c>
      <c r="X11" s="1" t="str">
        <f t="shared" si="3"/>
        <v>False</v>
      </c>
      <c r="Y11" s="1" t="str">
        <f t="shared" si="3"/>
        <v>False</v>
      </c>
      <c r="Z11" s="1" t="str">
        <f t="shared" si="3"/>
        <v>True</v>
      </c>
      <c r="AA11" s="1" t="str">
        <f t="shared" si="3"/>
        <v>False</v>
      </c>
      <c r="AB11" s="1" t="s">
        <v>357</v>
      </c>
      <c r="AC11" s="4">
        <f t="shared" ref="AC11:AH11" si="57">IF(ISNUMBER(SEARCH(AC$1,$AB11)), 1, 0)</f>
        <v>1</v>
      </c>
      <c r="AD11" s="4">
        <f t="shared" si="57"/>
        <v>0</v>
      </c>
      <c r="AE11" s="4">
        <f t="shared" si="57"/>
        <v>0</v>
      </c>
      <c r="AF11" s="4">
        <f t="shared" si="57"/>
        <v>0</v>
      </c>
      <c r="AG11" s="4">
        <f t="shared" si="57"/>
        <v>0</v>
      </c>
      <c r="AH11" s="4">
        <f t="shared" si="57"/>
        <v>1</v>
      </c>
      <c r="AI11" s="1">
        <f t="shared" si="5"/>
        <v>2</v>
      </c>
      <c r="AK11" s="1" t="s">
        <v>492</v>
      </c>
      <c r="AL11" s="4">
        <f t="shared" ref="AL11:AS11" si="58">IF(ISNUMBER(SEARCH(AL$1,$AK11)), 1, 0)</f>
        <v>1</v>
      </c>
      <c r="AM11" s="4">
        <f t="shared" si="58"/>
        <v>1</v>
      </c>
      <c r="AN11" s="4">
        <f t="shared" si="58"/>
        <v>1</v>
      </c>
      <c r="AO11" s="4">
        <f t="shared" si="58"/>
        <v>1</v>
      </c>
      <c r="AP11" s="4">
        <f t="shared" si="58"/>
        <v>1</v>
      </c>
      <c r="AQ11" s="4">
        <f t="shared" si="58"/>
        <v>1</v>
      </c>
      <c r="AR11" s="4">
        <f t="shared" si="58"/>
        <v>1</v>
      </c>
      <c r="AS11" s="4">
        <f t="shared" si="58"/>
        <v>0</v>
      </c>
      <c r="AU11" s="1" t="s">
        <v>47</v>
      </c>
      <c r="AV11" s="1">
        <f t="shared" si="7"/>
        <v>1</v>
      </c>
      <c r="AW11" s="1">
        <f t="shared" si="8"/>
        <v>0</v>
      </c>
      <c r="AX11" s="1">
        <f t="shared" si="9"/>
        <v>0</v>
      </c>
      <c r="AY11" s="1" t="s">
        <v>47</v>
      </c>
      <c r="AZ11" s="1" t="s">
        <v>48</v>
      </c>
      <c r="BA11" s="1" t="s">
        <v>231</v>
      </c>
      <c r="BB11" s="4">
        <f t="shared" ref="BB11:BJ11" si="59">IF(ISNUMBER(SEARCH(BB$1,$BA11)), 1, 0)</f>
        <v>1</v>
      </c>
      <c r="BC11" s="4">
        <f t="shared" si="59"/>
        <v>1</v>
      </c>
      <c r="BD11" s="4">
        <f t="shared" si="59"/>
        <v>1</v>
      </c>
      <c r="BE11" s="4">
        <f t="shared" si="59"/>
        <v>1</v>
      </c>
      <c r="BF11" s="4">
        <f t="shared" si="59"/>
        <v>1</v>
      </c>
      <c r="BG11" s="4">
        <f t="shared" si="59"/>
        <v>1</v>
      </c>
      <c r="BH11" s="4">
        <f t="shared" si="59"/>
        <v>0</v>
      </c>
      <c r="BI11" s="4">
        <f t="shared" si="59"/>
        <v>0</v>
      </c>
      <c r="BJ11" s="4">
        <f t="shared" si="59"/>
        <v>1</v>
      </c>
      <c r="BK11" s="4">
        <f t="shared" si="11"/>
        <v>7</v>
      </c>
      <c r="BO11" s="4">
        <f t="shared" ref="BO11:BU11" si="60">IF(ISNUMBER(SEARCH(BO$1,$BN11)), 1, 0)</f>
        <v>0</v>
      </c>
      <c r="BP11" s="4">
        <f t="shared" si="60"/>
        <v>0</v>
      </c>
      <c r="BQ11" s="4">
        <f t="shared" si="60"/>
        <v>0</v>
      </c>
      <c r="BR11" s="4">
        <f t="shared" si="60"/>
        <v>0</v>
      </c>
      <c r="BS11" s="4">
        <f t="shared" si="60"/>
        <v>0</v>
      </c>
      <c r="BT11" s="4">
        <f t="shared" si="60"/>
        <v>0</v>
      </c>
      <c r="BU11" s="4">
        <f t="shared" si="60"/>
        <v>0</v>
      </c>
    </row>
    <row r="12" spans="1:107" ht="15.75" customHeight="1" x14ac:dyDescent="0.25">
      <c r="A12" s="1" t="b">
        <v>0</v>
      </c>
      <c r="B12" s="3">
        <v>46169.651643518519</v>
      </c>
      <c r="C12" s="1" t="s">
        <v>750</v>
      </c>
      <c r="D12" s="1" t="s">
        <v>751</v>
      </c>
      <c r="E12" s="4">
        <f t="shared" ref="E12:K12" si="61">IF(ISNUMBER(SEARCH(E$1,$D12)), SEARCH(E$1,$D12), 0)</f>
        <v>1</v>
      </c>
      <c r="F12" s="4">
        <f t="shared" si="61"/>
        <v>0</v>
      </c>
      <c r="G12" s="4">
        <f t="shared" si="61"/>
        <v>0</v>
      </c>
      <c r="H12" s="4">
        <f t="shared" si="61"/>
        <v>30</v>
      </c>
      <c r="I12" s="4">
        <f t="shared" si="61"/>
        <v>0</v>
      </c>
      <c r="J12" s="4">
        <f t="shared" si="61"/>
        <v>0</v>
      </c>
      <c r="K12" s="4">
        <f t="shared" si="61"/>
        <v>0</v>
      </c>
      <c r="L12" s="4">
        <f t="shared" si="1"/>
        <v>30</v>
      </c>
      <c r="N12" s="1" t="s">
        <v>323</v>
      </c>
      <c r="O12" s="4">
        <f t="shared" ref="O12:T12" si="62">IF(ISNUMBER(SEARCH(O$1,$N12)), 1, 0)</f>
        <v>1</v>
      </c>
      <c r="P12" s="4">
        <f t="shared" si="62"/>
        <v>1</v>
      </c>
      <c r="Q12" s="4">
        <f t="shared" si="62"/>
        <v>1</v>
      </c>
      <c r="R12" s="4">
        <f t="shared" si="62"/>
        <v>1</v>
      </c>
      <c r="S12" s="4">
        <f t="shared" si="62"/>
        <v>0</v>
      </c>
      <c r="T12" s="4">
        <f t="shared" si="62"/>
        <v>1</v>
      </c>
      <c r="W12" s="1" t="str">
        <f t="shared" si="3"/>
        <v>False</v>
      </c>
      <c r="X12" s="1" t="str">
        <f t="shared" si="3"/>
        <v>False</v>
      </c>
      <c r="Y12" s="1" t="str">
        <f t="shared" si="3"/>
        <v>False</v>
      </c>
      <c r="Z12" s="1" t="str">
        <f t="shared" si="3"/>
        <v>False</v>
      </c>
      <c r="AA12" s="1" t="str">
        <f t="shared" si="3"/>
        <v>False</v>
      </c>
      <c r="AC12" s="4">
        <f t="shared" ref="AC12:AH12" si="63">IF(ISNUMBER(SEARCH(AC$1,$AB12)), 1, 0)</f>
        <v>0</v>
      </c>
      <c r="AD12" s="4">
        <f t="shared" si="63"/>
        <v>0</v>
      </c>
      <c r="AE12" s="4">
        <f t="shared" si="63"/>
        <v>0</v>
      </c>
      <c r="AF12" s="4">
        <f t="shared" si="63"/>
        <v>0</v>
      </c>
      <c r="AG12" s="4">
        <f t="shared" si="63"/>
        <v>0</v>
      </c>
      <c r="AH12" s="4">
        <f t="shared" si="63"/>
        <v>0</v>
      </c>
      <c r="AI12" s="1">
        <f t="shared" si="5"/>
        <v>0</v>
      </c>
      <c r="AL12" s="4">
        <f t="shared" ref="AL12:AS12" si="64">IF(ISNUMBER(SEARCH(AL$1,$AK12)), 1, 0)</f>
        <v>0</v>
      </c>
      <c r="AM12" s="4">
        <f t="shared" si="64"/>
        <v>0</v>
      </c>
      <c r="AN12" s="4">
        <f t="shared" si="64"/>
        <v>0</v>
      </c>
      <c r="AO12" s="4">
        <f t="shared" si="64"/>
        <v>0</v>
      </c>
      <c r="AP12" s="4">
        <f t="shared" si="64"/>
        <v>0</v>
      </c>
      <c r="AQ12" s="4">
        <f t="shared" si="64"/>
        <v>0</v>
      </c>
      <c r="AR12" s="4">
        <f t="shared" si="64"/>
        <v>0</v>
      </c>
      <c r="AS12" s="4">
        <f t="shared" si="64"/>
        <v>0</v>
      </c>
      <c r="AV12" s="1">
        <f t="shared" si="7"/>
        <v>0</v>
      </c>
      <c r="AW12" s="1">
        <f t="shared" si="8"/>
        <v>0</v>
      </c>
      <c r="AX12" s="1">
        <f t="shared" si="9"/>
        <v>0</v>
      </c>
      <c r="BB12" s="4">
        <f t="shared" ref="BB12:BJ12" si="65">IF(ISNUMBER(SEARCH(BB$1,$BA12)), 1, 0)</f>
        <v>0</v>
      </c>
      <c r="BC12" s="4">
        <f t="shared" si="65"/>
        <v>0</v>
      </c>
      <c r="BD12" s="4">
        <f t="shared" si="65"/>
        <v>0</v>
      </c>
      <c r="BE12" s="4">
        <f t="shared" si="65"/>
        <v>0</v>
      </c>
      <c r="BF12" s="4">
        <f t="shared" si="65"/>
        <v>0</v>
      </c>
      <c r="BG12" s="4">
        <f t="shared" si="65"/>
        <v>0</v>
      </c>
      <c r="BH12" s="4">
        <f t="shared" si="65"/>
        <v>0</v>
      </c>
      <c r="BI12" s="4">
        <f t="shared" si="65"/>
        <v>0</v>
      </c>
      <c r="BJ12" s="4">
        <f t="shared" si="65"/>
        <v>0</v>
      </c>
      <c r="BK12" s="4">
        <f t="shared" si="11"/>
        <v>0</v>
      </c>
      <c r="BO12" s="4">
        <f t="shared" ref="BO12:BU12" si="66">IF(ISNUMBER(SEARCH(BO$1,$BN12)), 1, 0)</f>
        <v>0</v>
      </c>
      <c r="BP12" s="4">
        <f t="shared" si="66"/>
        <v>0</v>
      </c>
      <c r="BQ12" s="4">
        <f t="shared" si="66"/>
        <v>0</v>
      </c>
      <c r="BR12" s="4">
        <f t="shared" si="66"/>
        <v>0</v>
      </c>
      <c r="BS12" s="4">
        <f t="shared" si="66"/>
        <v>0</v>
      </c>
      <c r="BT12" s="4">
        <f t="shared" si="66"/>
        <v>0</v>
      </c>
      <c r="BU12" s="4">
        <f t="shared" si="66"/>
        <v>0</v>
      </c>
    </row>
    <row r="13" spans="1:107" ht="15.75" customHeight="1" x14ac:dyDescent="0.25">
      <c r="A13" s="1" t="b">
        <v>1</v>
      </c>
      <c r="B13" s="3">
        <v>46160.127824074072</v>
      </c>
      <c r="C13" s="1" t="s">
        <v>407</v>
      </c>
      <c r="D13" s="1" t="s">
        <v>408</v>
      </c>
      <c r="E13" s="4">
        <f t="shared" ref="E13:K13" si="67">IF(ISNUMBER(SEARCH(E$1,$D13)), SEARCH(E$1,$D13), 0)</f>
        <v>0</v>
      </c>
      <c r="F13" s="4">
        <f t="shared" si="67"/>
        <v>0</v>
      </c>
      <c r="G13" s="4">
        <f t="shared" si="67"/>
        <v>0</v>
      </c>
      <c r="H13" s="4">
        <f t="shared" si="67"/>
        <v>1</v>
      </c>
      <c r="I13" s="4">
        <f t="shared" si="67"/>
        <v>39</v>
      </c>
      <c r="J13" s="4">
        <f t="shared" si="67"/>
        <v>0</v>
      </c>
      <c r="K13" s="4">
        <f t="shared" si="67"/>
        <v>0</v>
      </c>
      <c r="L13" s="4">
        <f t="shared" si="1"/>
        <v>39</v>
      </c>
      <c r="N13" s="1" t="s">
        <v>409</v>
      </c>
      <c r="O13" s="4">
        <f t="shared" ref="O13:T13" si="68">IF(ISNUMBER(SEARCH(O$1,$N13)), 1, 0)</f>
        <v>0</v>
      </c>
      <c r="P13" s="4">
        <f t="shared" si="68"/>
        <v>0</v>
      </c>
      <c r="Q13" s="4">
        <f t="shared" si="68"/>
        <v>1</v>
      </c>
      <c r="R13" s="4">
        <f t="shared" si="68"/>
        <v>0</v>
      </c>
      <c r="S13" s="4">
        <f t="shared" si="68"/>
        <v>0</v>
      </c>
      <c r="T13" s="4">
        <f t="shared" si="68"/>
        <v>1</v>
      </c>
      <c r="V13" s="1" t="s">
        <v>22</v>
      </c>
      <c r="W13" s="1" t="str">
        <f t="shared" si="3"/>
        <v>True</v>
      </c>
      <c r="X13" s="1" t="str">
        <f t="shared" si="3"/>
        <v>False</v>
      </c>
      <c r="Y13" s="1" t="str">
        <f t="shared" si="3"/>
        <v>False</v>
      </c>
      <c r="Z13" s="1" t="str">
        <f t="shared" si="3"/>
        <v>False</v>
      </c>
      <c r="AA13" s="1" t="str">
        <f t="shared" si="3"/>
        <v>False</v>
      </c>
      <c r="AB13" s="1" t="s">
        <v>230</v>
      </c>
      <c r="AC13" s="4">
        <f t="shared" ref="AC13:AH13" si="69">IF(ISNUMBER(SEARCH(AC$1,$AB13)), 1, 0)</f>
        <v>1</v>
      </c>
      <c r="AD13" s="4">
        <f t="shared" si="69"/>
        <v>1</v>
      </c>
      <c r="AE13" s="4">
        <f t="shared" si="69"/>
        <v>0</v>
      </c>
      <c r="AF13" s="4">
        <f t="shared" si="69"/>
        <v>0</v>
      </c>
      <c r="AG13" s="4">
        <f t="shared" si="69"/>
        <v>0</v>
      </c>
      <c r="AH13" s="4">
        <f t="shared" si="69"/>
        <v>0</v>
      </c>
      <c r="AI13" s="1">
        <f t="shared" si="5"/>
        <v>2</v>
      </c>
      <c r="AK13" s="1" t="s">
        <v>410</v>
      </c>
      <c r="AL13" s="4">
        <f t="shared" ref="AL13:AS13" si="70">IF(ISNUMBER(SEARCH(AL$1,$AK13)), 1, 0)</f>
        <v>1</v>
      </c>
      <c r="AM13" s="4">
        <f t="shared" si="70"/>
        <v>0</v>
      </c>
      <c r="AN13" s="4">
        <f t="shared" si="70"/>
        <v>1</v>
      </c>
      <c r="AO13" s="4">
        <f t="shared" si="70"/>
        <v>1</v>
      </c>
      <c r="AP13" s="4">
        <f t="shared" si="70"/>
        <v>0</v>
      </c>
      <c r="AQ13" s="4">
        <f t="shared" si="70"/>
        <v>0</v>
      </c>
      <c r="AR13" s="4">
        <f t="shared" si="70"/>
        <v>0</v>
      </c>
      <c r="AS13" s="4">
        <f t="shared" si="70"/>
        <v>0</v>
      </c>
      <c r="AU13" s="1" t="s">
        <v>47</v>
      </c>
      <c r="AV13" s="1">
        <f t="shared" si="7"/>
        <v>1</v>
      </c>
      <c r="AW13" s="1">
        <f t="shared" si="8"/>
        <v>0</v>
      </c>
      <c r="AX13" s="1">
        <f t="shared" si="9"/>
        <v>0</v>
      </c>
      <c r="AY13" s="1" t="s">
        <v>47</v>
      </c>
      <c r="AZ13" s="1" t="s">
        <v>47</v>
      </c>
      <c r="BA13" s="1" t="s">
        <v>411</v>
      </c>
      <c r="BB13" s="4">
        <f t="shared" ref="BB13:BJ13" si="71">IF(ISNUMBER(SEARCH(BB$1,$BA13)), 1, 0)</f>
        <v>0</v>
      </c>
      <c r="BC13" s="4">
        <f t="shared" si="71"/>
        <v>1</v>
      </c>
      <c r="BD13" s="4">
        <f t="shared" si="71"/>
        <v>0</v>
      </c>
      <c r="BE13" s="4">
        <f t="shared" si="71"/>
        <v>0</v>
      </c>
      <c r="BF13" s="4">
        <f t="shared" si="71"/>
        <v>1</v>
      </c>
      <c r="BG13" s="4">
        <f t="shared" si="71"/>
        <v>0</v>
      </c>
      <c r="BH13" s="4">
        <f t="shared" si="71"/>
        <v>0</v>
      </c>
      <c r="BI13" s="4">
        <f t="shared" si="71"/>
        <v>0</v>
      </c>
      <c r="BJ13" s="4">
        <f t="shared" si="71"/>
        <v>1</v>
      </c>
      <c r="BK13" s="4">
        <f t="shared" si="11"/>
        <v>3</v>
      </c>
      <c r="BO13" s="4">
        <f t="shared" ref="BO13:BU13" si="72">IF(ISNUMBER(SEARCH(BO$1,$BN13)), 1, 0)</f>
        <v>0</v>
      </c>
      <c r="BP13" s="4">
        <f t="shared" si="72"/>
        <v>0</v>
      </c>
      <c r="BQ13" s="4">
        <f t="shared" si="72"/>
        <v>0</v>
      </c>
      <c r="BR13" s="4">
        <f t="shared" si="72"/>
        <v>0</v>
      </c>
      <c r="BS13" s="4">
        <f t="shared" si="72"/>
        <v>0</v>
      </c>
      <c r="BT13" s="4">
        <f t="shared" si="72"/>
        <v>0</v>
      </c>
      <c r="BU13" s="4">
        <f t="shared" si="72"/>
        <v>0</v>
      </c>
      <c r="CB13" s="1" t="s">
        <v>47</v>
      </c>
      <c r="CF13" s="1" t="s">
        <v>412</v>
      </c>
      <c r="CG13" s="1" t="s">
        <v>413</v>
      </c>
      <c r="CH13" s="1" t="s">
        <v>173</v>
      </c>
      <c r="CI13" s="1" t="s">
        <v>414</v>
      </c>
      <c r="CJ13" s="1" t="s">
        <v>415</v>
      </c>
      <c r="CL13" s="1" t="s">
        <v>177</v>
      </c>
      <c r="DC13" s="1" t="s">
        <v>180</v>
      </c>
    </row>
    <row r="14" spans="1:107" ht="15.75" customHeight="1" x14ac:dyDescent="0.25">
      <c r="A14" s="1"/>
      <c r="B14" s="3"/>
      <c r="C14" s="1"/>
      <c r="D14" s="1"/>
      <c r="N14" s="1"/>
      <c r="O14" s="4">
        <f>SUM(O$2:O13)</f>
        <v>8</v>
      </c>
      <c r="P14" s="4">
        <f>SUM(P$2:P13)</f>
        <v>8</v>
      </c>
      <c r="Q14" s="4">
        <f>SUM(Q$2:Q13)</f>
        <v>8</v>
      </c>
      <c r="R14" s="4">
        <f>SUM(R$2:R13)</f>
        <v>8</v>
      </c>
      <c r="S14" s="4">
        <f>SUM(S$2:S13)</f>
        <v>4</v>
      </c>
      <c r="T14" s="4">
        <f>SUM(T$2:T13)</f>
        <v>6</v>
      </c>
      <c r="V14" s="1"/>
      <c r="W14" s="1"/>
      <c r="X14" s="1"/>
      <c r="Y14" s="1"/>
      <c r="Z14" s="1"/>
      <c r="AA14" s="1"/>
      <c r="AB14" s="1"/>
      <c r="AC14" s="4">
        <f>SUM(AC$2:AC13)</f>
        <v>5</v>
      </c>
      <c r="AD14" s="4">
        <f>SUM(AD$2:AD13)</f>
        <v>4</v>
      </c>
      <c r="AE14" s="4">
        <f>SUM(AE$2:AE13)</f>
        <v>3</v>
      </c>
      <c r="AF14" s="4">
        <f>SUM(AF$2:AF13)</f>
        <v>2</v>
      </c>
      <c r="AG14" s="4">
        <f>SUM(AG$2:AG13)</f>
        <v>1</v>
      </c>
      <c r="AH14" s="4">
        <f>SUM(AH$2:AH13)</f>
        <v>4</v>
      </c>
      <c r="AI14" s="1"/>
      <c r="AK14" s="1"/>
      <c r="AL14" s="4">
        <f>SUM(AL$2:AL13)</f>
        <v>4</v>
      </c>
      <c r="AM14" s="4">
        <f>SUM(AM$2:AM13)</f>
        <v>6</v>
      </c>
      <c r="AN14" s="4">
        <f>SUM(AN$2:AN13)</f>
        <v>4</v>
      </c>
      <c r="AO14" s="4">
        <f>SUM(AO$2:AO13)</f>
        <v>5</v>
      </c>
      <c r="AP14" s="4">
        <f>SUM(AP$2:AP13)</f>
        <v>3</v>
      </c>
      <c r="AQ14" s="4">
        <f>SUM(AQ$2:AQ13)</f>
        <v>5</v>
      </c>
      <c r="AR14" s="4">
        <f>SUM(AR$2:AR13)</f>
        <v>4</v>
      </c>
      <c r="AS14" s="4">
        <f>SUM(AS$2:AS13)</f>
        <v>2</v>
      </c>
      <c r="AU14" s="1"/>
      <c r="AV14" s="4">
        <f>SUM(AV$2:AV13)</f>
        <v>2</v>
      </c>
      <c r="AW14" s="4">
        <f>SUM(AW$2:AW13)</f>
        <v>6</v>
      </c>
      <c r="AX14" s="4">
        <f>SUM(AX$2:AX13)</f>
        <v>0</v>
      </c>
      <c r="AY14" s="1"/>
      <c r="BA14" s="1"/>
      <c r="BB14" s="4">
        <f>SUM(BB$2:BB13)</f>
        <v>4</v>
      </c>
      <c r="BC14" s="4">
        <f>SUM(BC$2:BC13)</f>
        <v>4</v>
      </c>
      <c r="BD14" s="4">
        <f>SUM(BD$2:BD13)</f>
        <v>4</v>
      </c>
      <c r="BE14" s="4">
        <f>SUM(BE$2:BE13)</f>
        <v>3</v>
      </c>
      <c r="BF14" s="4">
        <f>SUM(BF$2:BF13)</f>
        <v>5</v>
      </c>
      <c r="BG14" s="4">
        <f>SUM(BG$2:BG13)</f>
        <v>3</v>
      </c>
      <c r="BH14" s="4">
        <f>SUM(BH$2:BH13)</f>
        <v>3</v>
      </c>
      <c r="BI14" s="4">
        <f>SUM(BI$2:BI13)</f>
        <v>2</v>
      </c>
      <c r="BJ14" s="4">
        <f>SUM(BJ$2:BJ13)</f>
        <v>7</v>
      </c>
      <c r="BM14" s="1"/>
      <c r="BN14" s="1"/>
      <c r="BO14" s="4">
        <f>SUM(BO$2:BO13)</f>
        <v>1</v>
      </c>
      <c r="BP14" s="4">
        <f>SUM(BP$2:BP13)</f>
        <v>2</v>
      </c>
      <c r="BQ14" s="4">
        <f>SUM(BQ$2:BQ13)</f>
        <v>0</v>
      </c>
      <c r="BR14" s="4">
        <f>SUM(BR$2:BR13)</f>
        <v>1</v>
      </c>
      <c r="BS14" s="4">
        <f>SUM(BS$2:BS13)</f>
        <v>1</v>
      </c>
      <c r="BT14" s="4">
        <f>SUM(BT$2:BT13)</f>
        <v>1</v>
      </c>
      <c r="BU14" s="4">
        <f>SUM(BU$2:BU13)</f>
        <v>1</v>
      </c>
      <c r="CU14" s="1"/>
      <c r="CW14" s="1"/>
      <c r="CX14" s="1"/>
      <c r="CZ14" s="1"/>
      <c r="DB14" s="1"/>
      <c r="DC14" s="1"/>
    </row>
    <row r="15" spans="1:107" ht="15.75" customHeight="1" x14ac:dyDescent="0.25">
      <c r="A15" s="1"/>
      <c r="B15" s="3"/>
      <c r="C15" s="1"/>
      <c r="D15" s="1"/>
      <c r="N15" s="1"/>
      <c r="O15" s="4">
        <f>(O14/COUNT(O$2:O13))*100</f>
        <v>72.727272727272734</v>
      </c>
      <c r="P15" s="4">
        <f>(P14/COUNT(P$2:P13))*100</f>
        <v>72.727272727272734</v>
      </c>
      <c r="Q15" s="4">
        <f>(Q14/COUNT(Q$2:Q13))*100</f>
        <v>72.727272727272734</v>
      </c>
      <c r="R15" s="4">
        <f>(R14/COUNT(R$2:R13))*100</f>
        <v>72.727272727272734</v>
      </c>
      <c r="S15" s="4">
        <f>(S14/COUNT(S$2:S13))*100</f>
        <v>36.363636363636367</v>
      </c>
      <c r="T15" s="4">
        <f>(T14/COUNT(T$2:T13))*100</f>
        <v>54.54545454545454</v>
      </c>
      <c r="V15" s="1"/>
      <c r="W15" s="1"/>
      <c r="X15" s="1"/>
      <c r="Y15" s="1"/>
      <c r="Z15" s="1"/>
      <c r="AA15" s="1"/>
      <c r="AB15" s="1"/>
      <c r="AC15" s="4">
        <f>(AC14/COUNT(AC$2:AC13))*100</f>
        <v>45.454545454545453</v>
      </c>
      <c r="AD15" s="4">
        <f>(AD14/COUNT(AD$2:AD13))*100</f>
        <v>36.363636363636367</v>
      </c>
      <c r="AE15" s="4">
        <f>(AE14/COUNT(AE$2:AE13))*100</f>
        <v>27.27272727272727</v>
      </c>
      <c r="AF15" s="4">
        <f>(AF14/COUNT(AF$2:AF13))*100</f>
        <v>18.181818181818183</v>
      </c>
      <c r="AG15" s="4">
        <f>(AG14/COUNT(AG$2:AG13))*100</f>
        <v>9.0909090909090917</v>
      </c>
      <c r="AH15" s="4">
        <f>(AH14/COUNT(AH$2:AH13))*100</f>
        <v>36.363636363636367</v>
      </c>
      <c r="AI15" s="1"/>
      <c r="AK15" s="1"/>
      <c r="AL15" s="4">
        <f>(AL14/COUNT(AL$2:AL13))*100</f>
        <v>36.363636363636367</v>
      </c>
      <c r="AM15" s="4">
        <f>(AM14/COUNT(AM$2:AM13))*100</f>
        <v>54.54545454545454</v>
      </c>
      <c r="AN15" s="4">
        <f>(AN14/COUNT(AN$2:AN13))*100</f>
        <v>36.363636363636367</v>
      </c>
      <c r="AO15" s="4">
        <f>(AO14/COUNT(AO$2:AO13))*100</f>
        <v>45.454545454545453</v>
      </c>
      <c r="AP15" s="4">
        <f>(AP14/COUNT(AP$2:AP13))*100</f>
        <v>27.27272727272727</v>
      </c>
      <c r="AQ15" s="4">
        <f>(AQ14/COUNT(AQ$2:AQ13))*100</f>
        <v>45.454545454545453</v>
      </c>
      <c r="AR15" s="4">
        <f>(AR14/COUNT(AR$2:AR13))*100</f>
        <v>36.363636363636367</v>
      </c>
      <c r="AS15" s="4">
        <f>(AS14/COUNT(AS$2:AS13))*100</f>
        <v>18.181818181818183</v>
      </c>
      <c r="AU15" s="1"/>
      <c r="AV15" s="4">
        <f>(AV14/COUNT(AV$2:AV13))*100</f>
        <v>18.181818181818183</v>
      </c>
      <c r="AW15" s="4">
        <f>(AW14/COUNT(AW$2:AW13))*100</f>
        <v>54.54545454545454</v>
      </c>
      <c r="AX15" s="4">
        <f>(AX14/COUNT(AX$2:AX13))*100</f>
        <v>0</v>
      </c>
      <c r="AY15" s="1"/>
      <c r="BA15" s="1"/>
      <c r="BB15" s="4">
        <f>(BB14/COUNT(BB$2:BB13))*100</f>
        <v>36.363636363636367</v>
      </c>
      <c r="BC15" s="4">
        <f>(BC14/COUNT(BC$2:BC13))*100</f>
        <v>36.363636363636367</v>
      </c>
      <c r="BD15" s="4">
        <f>(BD14/COUNT(BD$2:BD13))*100</f>
        <v>36.363636363636367</v>
      </c>
      <c r="BE15" s="4">
        <f>(BE14/COUNT(BE$2:BE13))*100</f>
        <v>27.27272727272727</v>
      </c>
      <c r="BF15" s="4">
        <f>(BF14/COUNT(BF$2:BF13))*100</f>
        <v>45.454545454545453</v>
      </c>
      <c r="BG15" s="4">
        <f>(BG14/COUNT(BG$2:BG13))*100</f>
        <v>27.27272727272727</v>
      </c>
      <c r="BH15" s="4">
        <f>(BH14/COUNT(BH$2:BH13))*100</f>
        <v>27.27272727272727</v>
      </c>
      <c r="BI15" s="4">
        <f>(BI14/COUNT(BI$2:BI13))*100</f>
        <v>18.181818181818183</v>
      </c>
      <c r="BJ15" s="4">
        <f>(BJ14/COUNT(BJ$2:BJ13))*100</f>
        <v>63.636363636363633</v>
      </c>
      <c r="BM15" s="1"/>
      <c r="BN15" s="1"/>
      <c r="BO15" s="4">
        <f>(BO14/COUNT(BO$2:BO13))*100</f>
        <v>9.0909090909090917</v>
      </c>
      <c r="BP15" s="4">
        <f>(BP14/COUNT(BP$2:BP13))*100</f>
        <v>18.181818181818183</v>
      </c>
      <c r="BQ15" s="4">
        <f>(BQ14/COUNT(BQ$2:BQ13))*100</f>
        <v>0</v>
      </c>
      <c r="BR15" s="4">
        <f>(BR14/COUNT(BR$2:BR13))*100</f>
        <v>9.0909090909090917</v>
      </c>
      <c r="BS15" s="4">
        <f>(BS14/COUNT(BS$2:BS13))*100</f>
        <v>9.0909090909090917</v>
      </c>
      <c r="BT15" s="4">
        <f>(BT14/COUNT(BT$2:BT13))*100</f>
        <v>9.0909090909090917</v>
      </c>
      <c r="BU15" s="4">
        <f>(BU14/COUNT(BU$2:BU13))*100</f>
        <v>9.0909090909090917</v>
      </c>
      <c r="CU15" s="1"/>
      <c r="CX15" s="1"/>
      <c r="CZ15" s="1"/>
      <c r="DC15" s="1"/>
    </row>
    <row r="16" spans="1:107" ht="15.75" customHeight="1" x14ac:dyDescent="0.25">
      <c r="A16" s="1"/>
      <c r="B16" s="3"/>
      <c r="C16" s="1"/>
      <c r="D16" s="1"/>
      <c r="N16" s="1"/>
      <c r="W16" s="1"/>
      <c r="X16" s="1"/>
      <c r="Y16" s="1"/>
      <c r="Z16" s="1"/>
      <c r="AA16" s="1"/>
      <c r="AB16" s="1"/>
      <c r="AI16" s="1"/>
      <c r="AJ16" s="1"/>
      <c r="AK16" s="1"/>
      <c r="AU16" s="1"/>
      <c r="AV16" s="1"/>
      <c r="AW16" s="1"/>
      <c r="AX16" s="1"/>
      <c r="AY16" s="1"/>
      <c r="BA16" s="1"/>
      <c r="BL16" s="1"/>
      <c r="BM16" s="1"/>
      <c r="BN16" s="1"/>
      <c r="BV16" s="1"/>
    </row>
    <row r="17" spans="1:107" ht="15.75" customHeight="1" x14ac:dyDescent="0.25">
      <c r="A17" s="1"/>
      <c r="B17" s="3"/>
      <c r="C17" s="1"/>
      <c r="D17" s="1"/>
      <c r="N17" s="1"/>
      <c r="V17" s="1"/>
      <c r="W17" s="1"/>
      <c r="X17" s="1"/>
      <c r="Y17" s="1"/>
      <c r="Z17" s="1"/>
      <c r="AA17" s="1"/>
      <c r="AB17" s="1"/>
      <c r="AI17" s="1"/>
      <c r="AJ17" s="1"/>
      <c r="AK17" s="1"/>
      <c r="AU17" s="1"/>
      <c r="AV17" s="1"/>
      <c r="AW17" s="1"/>
      <c r="AX17" s="1"/>
      <c r="AY17" s="1"/>
      <c r="BA17" s="1"/>
      <c r="BM17" s="1"/>
      <c r="BN17" s="1"/>
      <c r="BW17" s="1"/>
      <c r="BZ17" s="1"/>
      <c r="CR17" s="1"/>
      <c r="CT17" s="1"/>
      <c r="CU17" s="1"/>
      <c r="CW17" s="1"/>
      <c r="CX17" s="1"/>
      <c r="CZ17" s="1"/>
      <c r="DB17" s="1"/>
      <c r="DC17" s="1"/>
    </row>
    <row r="18" spans="1:107" ht="15.75" customHeight="1" x14ac:dyDescent="0.25">
      <c r="A18" s="1"/>
      <c r="B18" s="3"/>
      <c r="C18" s="1"/>
      <c r="D18" s="1"/>
      <c r="N18" s="1"/>
      <c r="V18" s="1"/>
      <c r="W18" s="1"/>
      <c r="X18" s="1"/>
      <c r="Y18" s="1"/>
      <c r="Z18" s="1"/>
      <c r="AA18" s="1"/>
      <c r="AB18" s="1"/>
      <c r="AI18" s="1"/>
      <c r="AJ18" s="1"/>
      <c r="AK18" s="1"/>
      <c r="AU18" s="1"/>
      <c r="AV18" s="1"/>
      <c r="AW18" s="1"/>
      <c r="AX18" s="1"/>
      <c r="AY18" s="1"/>
      <c r="AZ18" s="1"/>
      <c r="BA18" s="1"/>
      <c r="BW18" s="1"/>
      <c r="CX18" s="1"/>
      <c r="CZ18" s="1"/>
      <c r="DB18" s="1"/>
      <c r="DC18" s="1"/>
    </row>
    <row r="19" spans="1:107" ht="15.75" customHeight="1" x14ac:dyDescent="0.25">
      <c r="A19" s="1"/>
      <c r="B19" s="3"/>
      <c r="C19" s="1"/>
      <c r="D19" s="1"/>
      <c r="N19" s="1"/>
      <c r="U19" s="1"/>
      <c r="V19" s="1"/>
      <c r="W19" s="1"/>
      <c r="X19" s="1"/>
      <c r="Y19" s="1"/>
      <c r="Z19" s="1"/>
      <c r="AA19" s="1"/>
      <c r="AB19" s="1"/>
      <c r="AI19" s="1"/>
      <c r="AJ19" s="1"/>
      <c r="AK19" s="1"/>
      <c r="AT19" s="1"/>
      <c r="AU19" s="1"/>
      <c r="AV19" s="1"/>
      <c r="AW19" s="1"/>
      <c r="AX19" s="1"/>
      <c r="AY19" s="1"/>
      <c r="BA19" s="1"/>
      <c r="BM19" s="1"/>
      <c r="BN19" s="1"/>
      <c r="CX19" s="1"/>
      <c r="CZ19" s="1"/>
      <c r="DC19" s="1"/>
    </row>
    <row r="20" spans="1:107" ht="15.75" customHeight="1" x14ac:dyDescent="0.25">
      <c r="A20" s="1"/>
      <c r="B20" s="3"/>
      <c r="C20" s="1"/>
      <c r="D20" s="1"/>
      <c r="N20" s="1"/>
      <c r="U20" s="1"/>
      <c r="W20" s="1"/>
      <c r="X20" s="1"/>
      <c r="Y20" s="1"/>
      <c r="Z20" s="1"/>
      <c r="AA20" s="1"/>
      <c r="AB20" s="1"/>
      <c r="AI20" s="1"/>
      <c r="AJ20" s="1"/>
      <c r="AK20" s="1"/>
      <c r="AU20" s="1"/>
      <c r="AV20" s="1"/>
      <c r="AW20" s="1"/>
      <c r="AX20" s="1"/>
      <c r="AY20" s="1"/>
      <c r="BA20" s="1"/>
      <c r="BM20" s="1"/>
      <c r="BN20" s="1"/>
      <c r="BV20" s="1"/>
      <c r="CM20" s="1"/>
      <c r="CN20" s="1"/>
      <c r="CO20" s="1"/>
      <c r="CX20" s="1"/>
      <c r="CY20" s="1"/>
      <c r="CZ20" s="1"/>
      <c r="DA20" s="1"/>
      <c r="DB20" s="1"/>
      <c r="DC20" s="1"/>
    </row>
    <row r="21" spans="1:107" ht="15.75" customHeight="1" x14ac:dyDescent="0.25">
      <c r="A21" s="1"/>
      <c r="B21" s="3"/>
      <c r="C21" s="1"/>
      <c r="D21" s="1"/>
      <c r="N21" s="1"/>
      <c r="W21" s="1"/>
      <c r="X21" s="1"/>
      <c r="Y21" s="1"/>
      <c r="Z21" s="1"/>
      <c r="AA21" s="1"/>
      <c r="AB21" s="1"/>
      <c r="AI21" s="1"/>
      <c r="AK21" s="1"/>
      <c r="AU21" s="1"/>
      <c r="AV21" s="1"/>
      <c r="AW21" s="1"/>
      <c r="AX21" s="1"/>
      <c r="AY21" s="1"/>
      <c r="BA21" s="1"/>
      <c r="BM21" s="1"/>
      <c r="BN21" s="1"/>
    </row>
    <row r="22" spans="1:107" ht="15.75" customHeight="1" x14ac:dyDescent="0.25">
      <c r="A22" s="1"/>
      <c r="B22" s="3"/>
      <c r="C22" s="1"/>
      <c r="D22" s="1"/>
      <c r="N22" s="1"/>
      <c r="W22" s="1"/>
      <c r="X22" s="1"/>
      <c r="Y22" s="1"/>
      <c r="Z22" s="1"/>
      <c r="AA22" s="1"/>
      <c r="AB22" s="1"/>
      <c r="AI22" s="1"/>
      <c r="AK22" s="1"/>
      <c r="AU22" s="1"/>
      <c r="AV22" s="1"/>
      <c r="AW22" s="1"/>
      <c r="AX22" s="1"/>
      <c r="AY22" s="1"/>
      <c r="BA22" s="1"/>
      <c r="BM22" s="1"/>
      <c r="BN22" s="1"/>
      <c r="CX22" s="1"/>
      <c r="CZ22" s="1"/>
      <c r="DC22" s="1"/>
    </row>
    <row r="23" spans="1:107" ht="15.75" customHeight="1" x14ac:dyDescent="0.25">
      <c r="A23" s="1"/>
      <c r="B23" s="3"/>
      <c r="C23" s="1"/>
      <c r="D23" s="1"/>
      <c r="N23" s="1"/>
      <c r="W23" s="1"/>
      <c r="X23" s="1"/>
      <c r="Y23" s="1"/>
      <c r="Z23" s="1"/>
      <c r="AA23" s="1"/>
      <c r="AB23" s="1"/>
      <c r="AI23" s="1"/>
      <c r="AK23" s="1"/>
      <c r="AU23" s="1"/>
      <c r="AV23" s="1"/>
      <c r="AW23" s="1"/>
      <c r="AX23" s="1"/>
      <c r="AY23" s="1"/>
      <c r="BA23" s="1"/>
      <c r="BM23" s="1"/>
      <c r="BN23" s="1"/>
      <c r="CX23" s="1"/>
      <c r="CZ23" s="1"/>
      <c r="DC23" s="1"/>
    </row>
    <row r="24" spans="1:107" ht="15.75" customHeight="1" x14ac:dyDescent="0.25">
      <c r="A24" s="1"/>
      <c r="B24" s="3"/>
      <c r="C24" s="1"/>
      <c r="D24" s="1"/>
      <c r="N24" s="1"/>
      <c r="V24" s="1"/>
      <c r="W24" s="1"/>
      <c r="X24" s="1"/>
      <c r="Y24" s="1"/>
      <c r="Z24" s="1"/>
      <c r="AA24" s="1"/>
      <c r="AB24" s="1"/>
      <c r="AI24" s="1"/>
      <c r="AK24" s="1"/>
      <c r="AU24" s="1"/>
      <c r="AV24" s="1"/>
      <c r="AW24" s="1"/>
      <c r="AX24" s="1"/>
      <c r="AY24" s="1"/>
      <c r="BA24" s="1"/>
      <c r="BM24" s="1"/>
      <c r="BN24" s="1"/>
      <c r="BW24" s="1"/>
      <c r="BZ24" s="1"/>
      <c r="CM24" s="1"/>
      <c r="CQ24" s="1"/>
      <c r="CX24" s="1"/>
      <c r="CZ24" s="1"/>
      <c r="DC24" s="1"/>
    </row>
    <row r="25" spans="1:107" ht="15.75" customHeight="1" x14ac:dyDescent="0.25">
      <c r="A25" s="1"/>
      <c r="B25" s="3"/>
      <c r="C25" s="1"/>
      <c r="D25" s="1"/>
      <c r="N25" s="1"/>
      <c r="V25" s="1"/>
      <c r="W25" s="1"/>
      <c r="X25" s="1"/>
      <c r="Y25" s="1"/>
      <c r="Z25" s="1"/>
      <c r="AA25" s="1"/>
      <c r="AB25" s="1"/>
      <c r="AI25" s="1"/>
      <c r="AK25" s="1"/>
      <c r="AU25" s="1"/>
      <c r="AV25" s="1"/>
      <c r="AW25" s="1"/>
      <c r="AX25" s="1"/>
      <c r="AY25" s="1"/>
      <c r="BA25" s="1"/>
      <c r="BM25" s="1"/>
      <c r="BN25" s="1"/>
      <c r="CX25" s="1"/>
      <c r="CZ25" s="1"/>
      <c r="DB25" s="1"/>
      <c r="DC25" s="1"/>
    </row>
    <row r="26" spans="1:107" ht="15.75" customHeight="1" x14ac:dyDescent="0.25">
      <c r="A26" s="1"/>
      <c r="B26" s="3"/>
      <c r="C26" s="1"/>
      <c r="D26" s="1"/>
      <c r="N26" s="1"/>
      <c r="W26" s="1"/>
      <c r="X26" s="1"/>
      <c r="Y26" s="1"/>
      <c r="Z26" s="1"/>
      <c r="AA26" s="1"/>
      <c r="AB26" s="1"/>
      <c r="AI26" s="1"/>
      <c r="AK26" s="1"/>
      <c r="AU26" s="1"/>
      <c r="AV26" s="1"/>
      <c r="AW26" s="1"/>
      <c r="AX26" s="1"/>
      <c r="AY26" s="1"/>
      <c r="BA26" s="1"/>
      <c r="BM26" s="1"/>
      <c r="BN26" s="1"/>
      <c r="BW26" s="1"/>
      <c r="BZ26" s="1"/>
      <c r="CA26" s="1"/>
      <c r="CX26" s="1"/>
      <c r="CZ26" s="1"/>
      <c r="DC26" s="1"/>
    </row>
    <row r="27" spans="1:107" ht="15.75" customHeight="1" x14ac:dyDescent="0.25">
      <c r="A27" s="1"/>
      <c r="B27" s="3"/>
      <c r="C27" s="1"/>
      <c r="D27" s="1"/>
      <c r="M27" s="1"/>
      <c r="N27" s="1"/>
      <c r="V27" s="1"/>
      <c r="W27" s="1"/>
      <c r="X27" s="1"/>
      <c r="Y27" s="1"/>
      <c r="Z27" s="1"/>
      <c r="AA27" s="1"/>
      <c r="AB27" s="1"/>
      <c r="AI27" s="1"/>
      <c r="AK27" s="1"/>
      <c r="AU27" s="1"/>
      <c r="AV27" s="1"/>
      <c r="AW27" s="1"/>
      <c r="AX27" s="1"/>
      <c r="AY27" s="1"/>
      <c r="BA27" s="1"/>
      <c r="BM27" s="1"/>
      <c r="BN27" s="1"/>
      <c r="BW27" s="1"/>
      <c r="BZ27" s="1"/>
      <c r="CX27" s="1"/>
      <c r="CZ27" s="1"/>
      <c r="DB27" s="1"/>
      <c r="DC27" s="1"/>
    </row>
    <row r="28" spans="1:107" ht="15.75" customHeight="1" x14ac:dyDescent="0.25">
      <c r="A28" s="1"/>
      <c r="B28" s="3"/>
      <c r="C28" s="1"/>
      <c r="D28" s="1"/>
      <c r="N28" s="1"/>
      <c r="V28" s="1"/>
      <c r="W28" s="1"/>
      <c r="X28" s="1"/>
      <c r="Y28" s="1"/>
      <c r="Z28" s="1"/>
      <c r="AA28" s="1"/>
      <c r="AB28" s="1"/>
      <c r="AI28" s="1"/>
      <c r="AK28" s="1"/>
      <c r="AU28" s="1"/>
      <c r="AV28" s="1"/>
      <c r="AW28" s="1"/>
      <c r="AX28" s="1"/>
      <c r="AY28" s="1"/>
      <c r="BA28" s="1"/>
      <c r="BM28" s="1"/>
      <c r="BN28" s="1"/>
    </row>
    <row r="29" spans="1:107" ht="15.75" customHeight="1" x14ac:dyDescent="0.25">
      <c r="A29" s="1"/>
      <c r="B29" s="3"/>
      <c r="C29" s="1"/>
      <c r="D29" s="1"/>
      <c r="N29" s="1"/>
      <c r="V29" s="1"/>
      <c r="W29" s="1"/>
      <c r="X29" s="1"/>
      <c r="Y29" s="1"/>
      <c r="Z29" s="1"/>
      <c r="AA29" s="1"/>
      <c r="AB29" s="1"/>
      <c r="AI29" s="1"/>
      <c r="AK29" s="1"/>
      <c r="AU29" s="1"/>
      <c r="AV29" s="1"/>
      <c r="AW29" s="1"/>
      <c r="AX29" s="1"/>
      <c r="AY29" s="1"/>
      <c r="BA29" s="1"/>
      <c r="BM29" s="1"/>
      <c r="BN29" s="1"/>
      <c r="BV29" s="1"/>
      <c r="CX29" s="1"/>
      <c r="CZ29" s="1"/>
      <c r="DB29" s="1"/>
      <c r="DC29" s="1"/>
    </row>
    <row r="30" spans="1:107" ht="15.75" customHeight="1" x14ac:dyDescent="0.25">
      <c r="A30" s="1"/>
      <c r="B30" s="3"/>
      <c r="C30" s="1"/>
      <c r="D30" s="1"/>
      <c r="N30" s="1"/>
      <c r="W30" s="1"/>
      <c r="X30" s="1"/>
      <c r="Y30" s="1"/>
      <c r="Z30" s="1"/>
      <c r="AA30" s="1"/>
      <c r="AB30" s="1"/>
      <c r="AI30" s="1"/>
      <c r="AK30" s="1"/>
      <c r="AU30" s="1"/>
      <c r="AV30" s="1"/>
      <c r="AW30" s="1"/>
      <c r="AX30" s="1"/>
      <c r="AY30" s="1"/>
      <c r="BA30" s="1"/>
      <c r="BM30" s="1"/>
      <c r="BN30" s="1"/>
      <c r="BW30" s="1"/>
      <c r="BY30" s="1"/>
      <c r="BZ30" s="1"/>
      <c r="CX30" s="1"/>
      <c r="CZ30" s="1"/>
      <c r="DC30" s="1"/>
    </row>
    <row r="31" spans="1:107" ht="15.75" customHeight="1" x14ac:dyDescent="0.25">
      <c r="A31" s="1"/>
      <c r="B31" s="3"/>
      <c r="C31" s="1"/>
      <c r="D31" s="1"/>
      <c r="N31" s="1"/>
      <c r="V31" s="1"/>
      <c r="W31" s="1"/>
      <c r="X31" s="1"/>
      <c r="Y31" s="1"/>
      <c r="Z31" s="1"/>
      <c r="AA31" s="1"/>
      <c r="AB31" s="1"/>
      <c r="AI31" s="1"/>
      <c r="AK31" s="1"/>
      <c r="AU31" s="1"/>
      <c r="AV31" s="1"/>
      <c r="AW31" s="1"/>
      <c r="AX31" s="1"/>
      <c r="AY31" s="1"/>
      <c r="BA31" s="1"/>
      <c r="BM31" s="1"/>
      <c r="BN31" s="1"/>
      <c r="BV31" s="1"/>
      <c r="BW31" s="1"/>
      <c r="BY31" s="1"/>
      <c r="CX31" s="1"/>
      <c r="CY31" s="1"/>
      <c r="CZ31" s="1"/>
      <c r="DB31" s="1"/>
      <c r="DC31" s="1"/>
    </row>
    <row r="32" spans="1:107" ht="15.75" customHeight="1" x14ac:dyDescent="0.25">
      <c r="A32" s="1"/>
      <c r="B32" s="3"/>
      <c r="C32" s="1"/>
      <c r="D32" s="1"/>
      <c r="N32" s="1"/>
      <c r="W32" s="1"/>
      <c r="X32" s="1"/>
      <c r="Y32" s="1"/>
      <c r="Z32" s="1"/>
      <c r="AA32" s="1"/>
      <c r="AB32" s="1"/>
      <c r="AI32" s="1"/>
      <c r="AK32" s="1"/>
      <c r="AU32" s="1"/>
      <c r="AV32" s="1"/>
      <c r="AW32" s="1"/>
      <c r="AX32" s="1"/>
      <c r="AY32" s="1"/>
      <c r="BA32" s="1"/>
      <c r="BM32" s="1"/>
      <c r="BN32" s="1"/>
      <c r="BW32" s="1"/>
      <c r="CX32" s="1"/>
      <c r="CZ32" s="1"/>
      <c r="DC32" s="1"/>
    </row>
    <row r="33" spans="1:107" ht="15.75" customHeight="1" x14ac:dyDescent="0.25">
      <c r="A33" s="1"/>
      <c r="B33" s="3"/>
      <c r="C33" s="1"/>
      <c r="D33" s="1"/>
      <c r="N33" s="1"/>
      <c r="V33" s="1"/>
      <c r="W33" s="1"/>
      <c r="X33" s="1"/>
      <c r="Y33" s="1"/>
      <c r="Z33" s="1"/>
      <c r="AA33" s="1"/>
      <c r="AB33" s="1"/>
      <c r="AI33" s="1"/>
      <c r="AK33" s="1"/>
      <c r="AU33" s="1"/>
      <c r="AV33" s="1"/>
      <c r="AW33" s="1"/>
      <c r="AX33" s="1"/>
      <c r="AY33" s="1"/>
      <c r="BA33" s="1"/>
      <c r="BM33" s="1"/>
      <c r="BN33" s="1"/>
    </row>
    <row r="34" spans="1:107" ht="15.75" customHeight="1" x14ac:dyDescent="0.25">
      <c r="A34" s="1"/>
      <c r="B34" s="3"/>
      <c r="C34" s="1"/>
      <c r="D34" s="1"/>
      <c r="N34" s="1"/>
      <c r="V34" s="1"/>
      <c r="W34" s="1"/>
      <c r="X34" s="1"/>
      <c r="Y34" s="1"/>
      <c r="Z34" s="1"/>
      <c r="AA34" s="1"/>
      <c r="AB34" s="1"/>
      <c r="AI34" s="1"/>
      <c r="AK34" s="1"/>
      <c r="AU34" s="1"/>
      <c r="AV34" s="1"/>
      <c r="AW34" s="1"/>
      <c r="AX34" s="1"/>
      <c r="AY34" s="1"/>
      <c r="BA34" s="1"/>
      <c r="BM34" s="1"/>
      <c r="BN34" s="1"/>
      <c r="CX34" s="1"/>
      <c r="DB34" s="1"/>
      <c r="DC34" s="1"/>
    </row>
    <row r="35" spans="1:107" ht="15.75" customHeight="1" x14ac:dyDescent="0.25">
      <c r="A35" s="1"/>
      <c r="B35" s="3"/>
      <c r="C35" s="1"/>
      <c r="D35" s="1"/>
      <c r="N35" s="1"/>
      <c r="V35" s="1"/>
      <c r="W35" s="1"/>
      <c r="X35" s="1"/>
      <c r="Y35" s="1"/>
      <c r="Z35" s="1"/>
      <c r="AA35" s="1"/>
      <c r="AB35" s="1"/>
      <c r="AI35" s="1"/>
      <c r="AJ35" s="1"/>
      <c r="AK35" s="1"/>
      <c r="AU35" s="1"/>
      <c r="AV35" s="1"/>
      <c r="AW35" s="1"/>
      <c r="AX35" s="1"/>
      <c r="AY35" s="1"/>
      <c r="BA35" s="1"/>
      <c r="BL35" s="1"/>
      <c r="BM35" s="1"/>
      <c r="CX35" s="1"/>
      <c r="CZ35" s="1"/>
      <c r="DA35" s="1"/>
      <c r="DB35" s="1"/>
      <c r="DC35" s="1"/>
    </row>
    <row r="36" spans="1:107" ht="15.75" customHeight="1" x14ac:dyDescent="0.25">
      <c r="A36" s="1"/>
      <c r="B36" s="3"/>
      <c r="C36" s="1"/>
      <c r="D36" s="1"/>
      <c r="N36" s="1"/>
      <c r="V36" s="1"/>
      <c r="W36" s="1"/>
      <c r="X36" s="1"/>
      <c r="Y36" s="1"/>
      <c r="Z36" s="1"/>
      <c r="AA36" s="1"/>
      <c r="AB36" s="1"/>
      <c r="AI36" s="1"/>
      <c r="AK36" s="1"/>
      <c r="AU36" s="1"/>
      <c r="AV36" s="1"/>
      <c r="AW36" s="1"/>
      <c r="AX36" s="1"/>
      <c r="AY36" s="1"/>
      <c r="BA36" s="1"/>
      <c r="BM36" s="1"/>
      <c r="BN36" s="1"/>
      <c r="BV36" s="1"/>
      <c r="CX36" s="1"/>
      <c r="CZ36" s="1"/>
      <c r="DB36" s="1"/>
    </row>
    <row r="37" spans="1:107" ht="15.75" customHeight="1" x14ac:dyDescent="0.25">
      <c r="A37" s="1"/>
      <c r="B37" s="3"/>
      <c r="C37" s="1"/>
      <c r="D37" s="1"/>
      <c r="N37" s="1"/>
      <c r="V37" s="1"/>
      <c r="W37" s="1"/>
      <c r="X37" s="1"/>
      <c r="Y37" s="1"/>
      <c r="Z37" s="1"/>
      <c r="AA37" s="1"/>
      <c r="AB37" s="1"/>
      <c r="AI37" s="1"/>
      <c r="AK37" s="1"/>
      <c r="AU37" s="1"/>
      <c r="AV37" s="1"/>
      <c r="AW37" s="1"/>
      <c r="AX37" s="1"/>
      <c r="AY37" s="1"/>
      <c r="BA37" s="1"/>
      <c r="BM37" s="1"/>
      <c r="BN37" s="1"/>
      <c r="BV37" s="1"/>
      <c r="CH37" s="1"/>
      <c r="CI37" s="1"/>
      <c r="CJ37" s="1"/>
      <c r="CK37" s="1"/>
      <c r="CL37" s="1"/>
      <c r="CX37" s="1"/>
      <c r="CZ37" s="1"/>
      <c r="DC37" s="1"/>
    </row>
    <row r="38" spans="1:107" ht="15.75" customHeight="1" x14ac:dyDescent="0.25">
      <c r="A38" s="1"/>
      <c r="B38" s="3"/>
      <c r="C38" s="1"/>
      <c r="D38" s="1"/>
      <c r="N38" s="1"/>
      <c r="V38" s="1"/>
      <c r="W38" s="1"/>
      <c r="X38" s="1"/>
      <c r="Y38" s="1"/>
      <c r="Z38" s="1"/>
      <c r="AA38" s="1"/>
      <c r="AB38" s="1"/>
      <c r="AI38" s="1"/>
      <c r="AK38" s="1"/>
      <c r="AU38" s="1"/>
      <c r="AV38" s="1"/>
      <c r="AW38" s="1"/>
      <c r="AX38" s="1"/>
      <c r="AY38" s="1"/>
      <c r="BA38" s="1"/>
      <c r="BM38" s="1"/>
      <c r="BN38" s="1"/>
    </row>
    <row r="39" spans="1:107" ht="15.75" customHeight="1" x14ac:dyDescent="0.25">
      <c r="A39" s="1"/>
      <c r="B39" s="3"/>
      <c r="C39" s="1"/>
      <c r="D39" s="1"/>
      <c r="N39" s="1"/>
      <c r="V39" s="1"/>
      <c r="W39" s="1"/>
      <c r="X39" s="1"/>
      <c r="Y39" s="1"/>
      <c r="Z39" s="1"/>
      <c r="AA39" s="1"/>
      <c r="AB39" s="1"/>
      <c r="AI39" s="1"/>
      <c r="AK39" s="1"/>
      <c r="AU39" s="1"/>
      <c r="AV39" s="1"/>
      <c r="AW39" s="1"/>
      <c r="AX39" s="1"/>
      <c r="AY39" s="1"/>
      <c r="BA39" s="1"/>
      <c r="BM39" s="1"/>
      <c r="BN39" s="1"/>
      <c r="CH39" s="1"/>
      <c r="CI39" s="1"/>
      <c r="CJ39" s="1"/>
      <c r="CL39" s="1"/>
      <c r="CX39" s="1"/>
      <c r="CZ39" s="1"/>
      <c r="DB39" s="1"/>
    </row>
    <row r="40" spans="1:107" ht="15.75" customHeight="1" x14ac:dyDescent="0.25">
      <c r="A40" s="1"/>
      <c r="B40" s="3"/>
      <c r="C40" s="1"/>
      <c r="D40" s="1"/>
      <c r="N40" s="1"/>
      <c r="V40" s="1"/>
      <c r="W40" s="1"/>
      <c r="X40" s="1"/>
      <c r="Y40" s="1"/>
      <c r="Z40" s="1"/>
      <c r="AA40" s="1"/>
      <c r="AB40" s="1"/>
      <c r="AI40" s="1"/>
      <c r="AK40" s="1"/>
      <c r="AU40" s="1"/>
      <c r="AV40" s="1"/>
      <c r="AW40" s="1"/>
      <c r="AX40" s="1"/>
      <c r="AY40" s="1"/>
      <c r="BA40" s="1"/>
      <c r="BM40" s="1"/>
      <c r="BN40" s="1"/>
      <c r="CX40" s="1"/>
      <c r="CZ40" s="1"/>
      <c r="DB40" s="1"/>
      <c r="DC40" s="1"/>
    </row>
    <row r="41" spans="1:107" ht="15.75" customHeight="1" x14ac:dyDescent="0.25">
      <c r="A41" s="1"/>
      <c r="B41" s="3"/>
      <c r="C41" s="1"/>
      <c r="D41" s="1"/>
      <c r="N41" s="1"/>
      <c r="V41" s="1"/>
      <c r="W41" s="1"/>
      <c r="X41" s="1"/>
      <c r="Y41" s="1"/>
      <c r="Z41" s="1"/>
      <c r="AA41" s="1"/>
      <c r="AB41" s="1"/>
      <c r="AI41" s="1"/>
      <c r="AK41" s="1"/>
      <c r="AU41" s="1"/>
      <c r="AV41" s="1"/>
      <c r="AW41" s="1"/>
      <c r="AX41" s="1"/>
      <c r="AY41" s="1"/>
      <c r="BA41" s="1"/>
      <c r="BM41" s="1"/>
      <c r="BN41" s="1"/>
      <c r="CX41" s="1"/>
      <c r="CZ41" s="1"/>
      <c r="DB41" s="1"/>
      <c r="DC41" s="1"/>
    </row>
    <row r="42" spans="1:107" ht="15.75" customHeight="1" x14ac:dyDescent="0.25">
      <c r="A42" s="1"/>
      <c r="B42" s="3"/>
      <c r="C42" s="1"/>
      <c r="D42" s="1"/>
      <c r="N42" s="1"/>
      <c r="W42" s="1"/>
      <c r="X42" s="1"/>
      <c r="Y42" s="1"/>
      <c r="Z42" s="1"/>
      <c r="AA42" s="1"/>
      <c r="AB42" s="1"/>
      <c r="AI42" s="1"/>
      <c r="AK42" s="1"/>
      <c r="AU42" s="1"/>
      <c r="AV42" s="1"/>
      <c r="AW42" s="1"/>
      <c r="AX42" s="1"/>
      <c r="AY42" s="1"/>
      <c r="BA42" s="1"/>
      <c r="BM42" s="1"/>
      <c r="BN42" s="1"/>
      <c r="BW42" s="1"/>
      <c r="BZ42" s="1"/>
      <c r="CX42" s="1"/>
      <c r="CZ42" s="1"/>
      <c r="DB42" s="1"/>
      <c r="DC42" s="1"/>
    </row>
    <row r="43" spans="1:107" ht="15.75" customHeight="1" x14ac:dyDescent="0.25">
      <c r="A43" s="1"/>
      <c r="B43" s="3"/>
      <c r="C43" s="1"/>
      <c r="D43" s="1"/>
      <c r="N43" s="1"/>
      <c r="W43" s="1"/>
      <c r="X43" s="1"/>
      <c r="Y43" s="1"/>
      <c r="Z43" s="1"/>
      <c r="AA43" s="1"/>
      <c r="AB43" s="1"/>
      <c r="AI43" s="1"/>
      <c r="AK43" s="1"/>
      <c r="AU43" s="1"/>
      <c r="AV43" s="1"/>
      <c r="AW43" s="1"/>
      <c r="AX43" s="1"/>
      <c r="AY43" s="1"/>
      <c r="AZ43" s="1"/>
      <c r="BA43" s="1"/>
      <c r="BW43" s="1"/>
      <c r="CX43" s="1"/>
      <c r="CZ43" s="1"/>
      <c r="DB43" s="1"/>
      <c r="DC43" s="1"/>
    </row>
    <row r="44" spans="1:107" ht="15.75" customHeight="1" x14ac:dyDescent="0.25">
      <c r="A44" s="1"/>
      <c r="B44" s="3"/>
      <c r="C44" s="1"/>
      <c r="D44" s="1"/>
      <c r="N44" s="1"/>
      <c r="W44" s="1"/>
      <c r="X44" s="1"/>
      <c r="Y44" s="1"/>
      <c r="Z44" s="1"/>
      <c r="AA44" s="1"/>
      <c r="AB44" s="1"/>
      <c r="AI44" s="1"/>
      <c r="AJ44" s="1"/>
      <c r="AK44" s="1"/>
      <c r="AT44" s="1"/>
      <c r="AU44" s="1"/>
      <c r="AV44" s="1"/>
      <c r="AW44" s="1"/>
      <c r="AX44" s="1"/>
      <c r="AY44" s="1"/>
      <c r="BA44" s="1"/>
      <c r="BM44" s="1"/>
      <c r="BN44" s="1"/>
      <c r="BV44" s="1"/>
      <c r="BW44" s="1"/>
      <c r="BZ44" s="1"/>
      <c r="CX44" s="1"/>
      <c r="DC44" s="1"/>
    </row>
    <row r="45" spans="1:107" ht="15.75" customHeight="1" x14ac:dyDescent="0.25">
      <c r="A45" s="1"/>
      <c r="B45" s="3"/>
      <c r="C45" s="1"/>
      <c r="D45" s="1"/>
      <c r="N45" s="1"/>
      <c r="V45" s="1"/>
      <c r="W45" s="1"/>
      <c r="X45" s="1"/>
      <c r="Y45" s="1"/>
      <c r="Z45" s="1"/>
      <c r="AA45" s="1"/>
      <c r="AB45" s="1"/>
      <c r="AI45" s="1"/>
      <c r="AK45" s="1"/>
      <c r="AU45" s="1"/>
      <c r="AV45" s="1"/>
      <c r="AW45" s="1"/>
      <c r="AX45" s="1"/>
      <c r="AY45" s="1"/>
      <c r="BA45" s="1"/>
      <c r="BM45" s="1"/>
      <c r="BN45" s="1"/>
      <c r="BW45" s="1"/>
      <c r="CX45" s="1"/>
      <c r="CZ45" s="1"/>
      <c r="DC45" s="1"/>
    </row>
    <row r="46" spans="1:107" ht="15.75" customHeight="1" x14ac:dyDescent="0.25">
      <c r="A46" s="1"/>
      <c r="B46" s="3"/>
      <c r="C46" s="1"/>
      <c r="D46" s="1"/>
      <c r="N46" s="1"/>
      <c r="W46" s="1"/>
      <c r="X46" s="1"/>
      <c r="Y46" s="1"/>
      <c r="Z46" s="1"/>
      <c r="AA46" s="1"/>
      <c r="AB46" s="1"/>
      <c r="AI46" s="1"/>
      <c r="AJ46" s="1"/>
      <c r="AK46" s="1"/>
      <c r="AU46" s="1"/>
      <c r="AV46" s="1"/>
      <c r="AW46" s="1"/>
      <c r="AX46" s="1"/>
      <c r="AY46" s="1"/>
      <c r="BA46" s="1"/>
      <c r="BM46" s="1"/>
      <c r="BN46" s="1"/>
      <c r="CX46" s="1"/>
      <c r="CZ46" s="1"/>
      <c r="DC46" s="1"/>
    </row>
    <row r="47" spans="1:107" ht="15.75" customHeight="1" x14ac:dyDescent="0.25">
      <c r="A47" s="1"/>
      <c r="B47" s="3"/>
      <c r="C47" s="1"/>
      <c r="D47" s="1"/>
      <c r="N47" s="1"/>
      <c r="V47" s="1"/>
      <c r="W47" s="1"/>
      <c r="X47" s="1"/>
      <c r="Y47" s="1"/>
      <c r="Z47" s="1"/>
      <c r="AA47" s="1"/>
      <c r="AI47" s="1"/>
      <c r="AK47" s="1"/>
      <c r="AU47" s="1"/>
      <c r="AV47" s="1"/>
      <c r="AW47" s="1"/>
      <c r="AX47" s="1"/>
      <c r="AY47" s="1"/>
      <c r="BA47" s="1"/>
      <c r="BM47" s="1"/>
      <c r="BN47" s="1"/>
      <c r="CX47" s="1"/>
      <c r="CZ47" s="1"/>
      <c r="DA47" s="1"/>
      <c r="DB47" s="1"/>
      <c r="DC47" s="1"/>
    </row>
    <row r="48" spans="1:107" ht="15.75" customHeight="1" x14ac:dyDescent="0.25">
      <c r="A48" s="1"/>
      <c r="B48" s="3"/>
      <c r="C48" s="1"/>
      <c r="D48" s="1"/>
      <c r="N48" s="1"/>
      <c r="W48" s="1"/>
      <c r="X48" s="1"/>
      <c r="Y48" s="1"/>
      <c r="Z48" s="1"/>
      <c r="AA48" s="1"/>
      <c r="AB48" s="1"/>
      <c r="AI48" s="1"/>
      <c r="AK48" s="1"/>
      <c r="AU48" s="1"/>
      <c r="AV48" s="1"/>
      <c r="AW48" s="1"/>
      <c r="AX48" s="1"/>
      <c r="AY48" s="1"/>
      <c r="AZ48" s="1"/>
      <c r="CX48" s="1"/>
      <c r="CZ48" s="1"/>
      <c r="DC48" s="1"/>
    </row>
    <row r="49" spans="1:107" ht="15.75" customHeight="1" x14ac:dyDescent="0.25">
      <c r="A49" s="1"/>
      <c r="B49" s="3"/>
      <c r="C49" s="1"/>
      <c r="D49" s="1"/>
      <c r="N49" s="1"/>
      <c r="W49" s="1"/>
      <c r="X49" s="1"/>
      <c r="Y49" s="1"/>
      <c r="Z49" s="1"/>
      <c r="AA49" s="1"/>
      <c r="AB49" s="1"/>
      <c r="AI49" s="1"/>
      <c r="AK49" s="1"/>
      <c r="AU49" s="1"/>
      <c r="AV49" s="1"/>
      <c r="AW49" s="1"/>
      <c r="AX49" s="1"/>
      <c r="AY49" s="1"/>
      <c r="BA49" s="1"/>
      <c r="BM49" s="1"/>
      <c r="BN49" s="1"/>
      <c r="CX49" s="1"/>
      <c r="CZ49" s="1"/>
      <c r="DC49" s="1"/>
    </row>
    <row r="50" spans="1:107" ht="15.75" customHeight="1" x14ac:dyDescent="0.25">
      <c r="A50" s="1"/>
      <c r="B50" s="3"/>
      <c r="C50" s="1"/>
      <c r="D50" s="1"/>
      <c r="N50" s="1"/>
      <c r="W50" s="1"/>
      <c r="X50" s="1"/>
      <c r="Y50" s="1"/>
      <c r="Z50" s="1"/>
      <c r="AA50" s="1"/>
      <c r="AB50" s="1"/>
      <c r="AI50" s="1"/>
      <c r="AK50" s="1"/>
      <c r="AU50" s="1"/>
      <c r="AV50" s="1"/>
      <c r="AW50" s="1"/>
      <c r="AX50" s="1"/>
      <c r="AY50" s="1"/>
      <c r="BA50" s="1"/>
      <c r="BM50" s="1"/>
      <c r="BN50" s="1"/>
      <c r="CX50" s="1"/>
      <c r="CZ50" s="1"/>
      <c r="DC50" s="1"/>
    </row>
    <row r="51" spans="1:107" ht="15.75" customHeight="1" x14ac:dyDescent="0.25">
      <c r="A51" s="1"/>
      <c r="B51" s="3"/>
      <c r="C51" s="1"/>
      <c r="D51" s="1"/>
      <c r="N51" s="1"/>
      <c r="V51" s="1"/>
      <c r="W51" s="1"/>
      <c r="X51" s="1"/>
      <c r="Y51" s="1"/>
      <c r="Z51" s="1"/>
      <c r="AA51" s="1"/>
      <c r="AB51" s="1"/>
      <c r="AI51" s="1"/>
      <c r="AK51" s="1"/>
      <c r="AU51" s="1"/>
      <c r="AV51" s="1"/>
      <c r="AW51" s="1"/>
      <c r="AX51" s="1"/>
      <c r="AY51" s="1"/>
      <c r="BA51" s="1"/>
      <c r="BM51" s="1"/>
      <c r="BN51" s="1"/>
      <c r="BW51" s="1"/>
      <c r="BZ51" s="1"/>
      <c r="CM51" s="1"/>
      <c r="CQ51" s="1"/>
      <c r="CX51" s="1"/>
      <c r="CZ51" s="1"/>
      <c r="DC51" s="1"/>
    </row>
    <row r="52" spans="1:107" ht="15.75" customHeight="1" x14ac:dyDescent="0.25">
      <c r="A52" s="1"/>
      <c r="B52" s="3"/>
      <c r="C52" s="1"/>
      <c r="D52" s="1"/>
      <c r="N52" s="1"/>
      <c r="W52" s="1"/>
      <c r="X52" s="1"/>
      <c r="Y52" s="1"/>
      <c r="Z52" s="1"/>
      <c r="AA52" s="1"/>
      <c r="AB52" s="1"/>
      <c r="AI52" s="1"/>
      <c r="AK52" s="1"/>
      <c r="AU52" s="1"/>
      <c r="AV52" s="1"/>
      <c r="AW52" s="1"/>
      <c r="AX52" s="1"/>
      <c r="AY52" s="1"/>
      <c r="BA52" s="1"/>
      <c r="BM52" s="1"/>
      <c r="BN52" s="1"/>
      <c r="CH52" s="1"/>
      <c r="CJ52" s="1"/>
      <c r="CL52" s="1"/>
      <c r="CX52" s="1"/>
      <c r="CZ52" s="1"/>
      <c r="DC52" s="1"/>
    </row>
    <row r="53" spans="1:107" ht="15.75" customHeight="1" x14ac:dyDescent="0.25">
      <c r="A53" s="1"/>
      <c r="B53" s="3"/>
      <c r="C53" s="1"/>
      <c r="D53" s="1"/>
      <c r="N53" s="1"/>
      <c r="W53" s="1"/>
      <c r="X53" s="1"/>
      <c r="Y53" s="1"/>
      <c r="Z53" s="1"/>
      <c r="AA53" s="1"/>
      <c r="AB53" s="1"/>
      <c r="AI53" s="1"/>
      <c r="AK53" s="1"/>
      <c r="AT53" s="1"/>
      <c r="AU53" s="1"/>
      <c r="AV53" s="1"/>
      <c r="AW53" s="1"/>
      <c r="AX53" s="1"/>
      <c r="AY53" s="1"/>
      <c r="BA53" s="1"/>
      <c r="BL53" s="1"/>
      <c r="BM53" s="1"/>
      <c r="BN53" s="1"/>
      <c r="BV53" s="1"/>
    </row>
    <row r="54" spans="1:107" ht="15.75" customHeight="1" x14ac:dyDescent="0.25">
      <c r="A54" s="1"/>
      <c r="B54" s="3"/>
      <c r="C54" s="1"/>
      <c r="D54" s="1"/>
      <c r="N54" s="1"/>
      <c r="V54" s="1"/>
      <c r="W54" s="1"/>
      <c r="X54" s="1"/>
      <c r="Y54" s="1"/>
      <c r="Z54" s="1"/>
      <c r="AA54" s="1"/>
      <c r="AB54" s="1"/>
      <c r="AI54" s="1"/>
      <c r="AJ54" s="1"/>
      <c r="AK54" s="1"/>
      <c r="AU54" s="1"/>
      <c r="AV54" s="1"/>
      <c r="AW54" s="1"/>
      <c r="AX54" s="1"/>
      <c r="AY54" s="1"/>
      <c r="BA54" s="1"/>
      <c r="BM54" s="1"/>
      <c r="BN54" s="1"/>
      <c r="CH54" s="1"/>
      <c r="CI54" s="1"/>
      <c r="CJ54" s="1"/>
      <c r="CL54" s="1"/>
      <c r="CX54" s="1"/>
      <c r="CZ54" s="1"/>
      <c r="DB54" s="1"/>
      <c r="DC54" s="1"/>
    </row>
    <row r="55" spans="1:107" ht="15.75" customHeight="1" x14ac:dyDescent="0.25">
      <c r="A55" s="1"/>
      <c r="B55" s="3"/>
      <c r="C55" s="1"/>
      <c r="D55" s="1"/>
      <c r="N55" s="1"/>
      <c r="W55" s="1"/>
      <c r="X55" s="1"/>
      <c r="Y55" s="1"/>
      <c r="Z55" s="1"/>
      <c r="AA55" s="1"/>
      <c r="AB55" s="1"/>
      <c r="AI55" s="1"/>
      <c r="AK55" s="1"/>
      <c r="AU55" s="1"/>
      <c r="AV55" s="1"/>
      <c r="AW55" s="1"/>
      <c r="AX55" s="1"/>
      <c r="AY55" s="1"/>
      <c r="BA55" s="1"/>
      <c r="BM55" s="1"/>
      <c r="BN55" s="1"/>
      <c r="BW55" s="1"/>
      <c r="BZ55" s="1"/>
      <c r="CH55" s="1"/>
      <c r="CJ55" s="1"/>
      <c r="CL55" s="1"/>
      <c r="CM55" s="1"/>
      <c r="CX55" s="1"/>
      <c r="CZ55" s="1"/>
      <c r="DC55" s="1"/>
    </row>
    <row r="56" spans="1:107" ht="15.75" customHeight="1" x14ac:dyDescent="0.25">
      <c r="A56" s="1"/>
      <c r="B56" s="3"/>
      <c r="C56" s="1"/>
      <c r="D56" s="1"/>
      <c r="N56" s="1"/>
      <c r="V56" s="1"/>
      <c r="W56" s="1"/>
      <c r="X56" s="1"/>
      <c r="Y56" s="1"/>
      <c r="Z56" s="1"/>
      <c r="AA56" s="1"/>
      <c r="AB56" s="1"/>
      <c r="AI56" s="1"/>
      <c r="AJ56" s="1"/>
      <c r="AK56" s="1"/>
      <c r="AU56" s="1"/>
      <c r="AV56" s="1"/>
      <c r="AW56" s="1"/>
      <c r="AX56" s="1"/>
      <c r="AY56" s="1"/>
      <c r="BA56" s="1"/>
      <c r="BM56" s="1"/>
      <c r="BN56" s="1"/>
      <c r="BV56" s="1"/>
      <c r="CH56" s="1"/>
      <c r="CI56" s="1"/>
      <c r="CL56" s="1"/>
      <c r="CX56" s="1"/>
      <c r="CZ56" s="1"/>
      <c r="DB56" s="1"/>
      <c r="DC56" s="1"/>
    </row>
    <row r="57" spans="1:107" ht="15.75" customHeight="1" x14ac:dyDescent="0.25">
      <c r="A57" s="1"/>
      <c r="B57" s="3"/>
      <c r="C57" s="1"/>
      <c r="D57" s="1"/>
      <c r="N57" s="1"/>
      <c r="W57" s="1"/>
      <c r="X57" s="1"/>
      <c r="Y57" s="1"/>
      <c r="Z57" s="1"/>
      <c r="AA57" s="1"/>
      <c r="AB57" s="1"/>
      <c r="AI57" s="1"/>
      <c r="AK57" s="1"/>
      <c r="AU57" s="1"/>
      <c r="AV57" s="1"/>
      <c r="AW57" s="1"/>
      <c r="AX57" s="1"/>
      <c r="AY57" s="1"/>
      <c r="AZ57" s="1"/>
      <c r="BA57" s="1"/>
    </row>
    <row r="58" spans="1:107" ht="15.75" customHeight="1" x14ac:dyDescent="0.25">
      <c r="A58" s="1"/>
      <c r="B58" s="3"/>
      <c r="C58" s="1"/>
      <c r="D58" s="1"/>
      <c r="N58" s="1"/>
      <c r="V58" s="1"/>
      <c r="W58" s="1"/>
      <c r="X58" s="1"/>
      <c r="Y58" s="1"/>
      <c r="Z58" s="1"/>
      <c r="AA58" s="1"/>
      <c r="AB58" s="1"/>
      <c r="AI58" s="1"/>
      <c r="AK58" s="1"/>
      <c r="AU58" s="1"/>
      <c r="AV58" s="1"/>
      <c r="AW58" s="1"/>
      <c r="AX58" s="1"/>
      <c r="AY58" s="1"/>
      <c r="BA58" s="1"/>
      <c r="BM58" s="1"/>
      <c r="BN58" s="1"/>
      <c r="BW58" s="1"/>
      <c r="BZ58" s="1"/>
      <c r="CR58" s="1"/>
      <c r="CT58" s="1"/>
      <c r="CU58" s="1"/>
      <c r="CX58" s="1"/>
      <c r="CY58" s="1"/>
      <c r="CZ58" s="1"/>
      <c r="DC58" s="1"/>
    </row>
    <row r="59" spans="1:107" ht="15.75" customHeight="1" x14ac:dyDescent="0.25">
      <c r="A59" s="1"/>
      <c r="B59" s="3"/>
      <c r="C59" s="1"/>
      <c r="D59" s="1"/>
      <c r="N59" s="1"/>
      <c r="V59" s="1"/>
      <c r="W59" s="1"/>
      <c r="X59" s="1"/>
      <c r="Y59" s="1"/>
      <c r="Z59" s="1"/>
      <c r="AA59" s="1"/>
      <c r="AB59" s="1"/>
      <c r="AI59" s="1"/>
      <c r="AK59" s="1"/>
      <c r="AU59" s="1"/>
      <c r="AV59" s="1"/>
      <c r="AW59" s="1"/>
      <c r="AX59" s="1"/>
      <c r="AY59" s="1"/>
      <c r="BA59" s="1"/>
      <c r="BM59" s="1"/>
      <c r="BN59" s="1"/>
      <c r="BW59" s="1"/>
      <c r="BZ59" s="1"/>
      <c r="CX59" s="1"/>
      <c r="CZ59" s="1"/>
      <c r="DA59" s="1"/>
      <c r="DB59" s="1"/>
      <c r="DC59" s="1"/>
    </row>
    <row r="60" spans="1:107" ht="15.75" customHeight="1" x14ac:dyDescent="0.25">
      <c r="A60" s="1"/>
      <c r="B60" s="3"/>
      <c r="C60" s="1"/>
      <c r="D60" s="1"/>
      <c r="N60" s="1"/>
      <c r="V60" s="1"/>
      <c r="W60" s="1"/>
      <c r="X60" s="1"/>
      <c r="Y60" s="1"/>
      <c r="Z60" s="1"/>
      <c r="AA60" s="1"/>
      <c r="AB60" s="1"/>
      <c r="AI60" s="1"/>
      <c r="AK60" s="1"/>
      <c r="AU60" s="1"/>
      <c r="AV60" s="1"/>
      <c r="AW60" s="1"/>
      <c r="AX60" s="1"/>
      <c r="AY60" s="1"/>
      <c r="BA60" s="1"/>
      <c r="BM60" s="1"/>
      <c r="BN60" s="1"/>
      <c r="BW60" s="1"/>
      <c r="BZ60" s="1"/>
      <c r="CX60" s="1"/>
      <c r="CZ60" s="1"/>
      <c r="DC60" s="1"/>
    </row>
    <row r="61" spans="1:107" ht="15.75" customHeight="1" x14ac:dyDescent="0.25">
      <c r="A61" s="1"/>
      <c r="B61" s="3"/>
      <c r="C61" s="1"/>
      <c r="D61" s="1"/>
      <c r="N61" s="1"/>
      <c r="U61" s="1"/>
      <c r="V61" s="1"/>
      <c r="W61" s="1"/>
      <c r="X61" s="1"/>
      <c r="Y61" s="1"/>
      <c r="Z61" s="1"/>
      <c r="AA61" s="1"/>
      <c r="AB61" s="1"/>
      <c r="AI61" s="1"/>
      <c r="AK61" s="1"/>
      <c r="AT61" s="1"/>
      <c r="AU61" s="1"/>
      <c r="AV61" s="1"/>
      <c r="AW61" s="1"/>
      <c r="AX61" s="1"/>
      <c r="AY61" s="1"/>
      <c r="BA61" s="1"/>
      <c r="BM61" s="1"/>
      <c r="BN61" s="1"/>
      <c r="CX61" s="1"/>
      <c r="CZ61" s="1"/>
      <c r="DB61" s="1"/>
      <c r="DC61" s="1"/>
    </row>
    <row r="62" spans="1:107" ht="15.75" customHeight="1" x14ac:dyDescent="0.25">
      <c r="A62" s="1"/>
      <c r="B62" s="3"/>
      <c r="C62" s="1"/>
      <c r="D62" s="1"/>
      <c r="N62" s="1"/>
      <c r="W62" s="1"/>
      <c r="X62" s="1"/>
      <c r="Y62" s="1"/>
      <c r="Z62" s="1"/>
      <c r="AA62" s="1"/>
      <c r="AB62" s="1"/>
      <c r="AI62" s="1"/>
      <c r="AJ62" s="1"/>
      <c r="AK62" s="1"/>
      <c r="AU62" s="1"/>
      <c r="AV62" s="1"/>
      <c r="AW62" s="1"/>
      <c r="AX62" s="1"/>
      <c r="AY62" s="1"/>
      <c r="BA62" s="1"/>
      <c r="BM62" s="1"/>
      <c r="BN62" s="1"/>
      <c r="CX62" s="1"/>
      <c r="CZ62" s="1"/>
      <c r="DC62" s="1"/>
    </row>
    <row r="63" spans="1:107" ht="15.75" customHeight="1" x14ac:dyDescent="0.25">
      <c r="A63" s="1"/>
      <c r="B63" s="3"/>
      <c r="C63" s="1"/>
      <c r="D63" s="1"/>
      <c r="N63" s="1"/>
      <c r="V63" s="1"/>
      <c r="W63" s="1"/>
      <c r="X63" s="1"/>
      <c r="Y63" s="1"/>
      <c r="Z63" s="1"/>
      <c r="AA63" s="1"/>
      <c r="AB63" s="1"/>
      <c r="AI63" s="1"/>
      <c r="AK63" s="1"/>
      <c r="AU63" s="1"/>
      <c r="AV63" s="1"/>
      <c r="AW63" s="1"/>
      <c r="AX63" s="1"/>
      <c r="AY63" s="1"/>
      <c r="BA63" s="1"/>
      <c r="BM63" s="1"/>
      <c r="BN63" s="1"/>
      <c r="CX63" s="1"/>
      <c r="CZ63" s="1"/>
      <c r="DC63" s="1"/>
    </row>
    <row r="64" spans="1:107" ht="15.75" customHeight="1" x14ac:dyDescent="0.25">
      <c r="A64" s="1"/>
      <c r="B64" s="3"/>
      <c r="C64" s="1"/>
      <c r="D64" s="1"/>
      <c r="N64" s="1"/>
      <c r="V64" s="1"/>
      <c r="W64" s="1"/>
      <c r="X64" s="1"/>
      <c r="Y64" s="1"/>
      <c r="Z64" s="1"/>
      <c r="AA64" s="1"/>
      <c r="AB64" s="1"/>
      <c r="AI64" s="1"/>
      <c r="AK64" s="1"/>
      <c r="AU64" s="1"/>
      <c r="AV64" s="1"/>
      <c r="AW64" s="1"/>
      <c r="AX64" s="1"/>
      <c r="AY64" s="1"/>
      <c r="BA64" s="1"/>
      <c r="BM64" s="1"/>
      <c r="BN64" s="1"/>
      <c r="BV64" s="1"/>
      <c r="BW64" s="1"/>
      <c r="CX64" s="1"/>
      <c r="CY64" s="1"/>
      <c r="CZ64" s="1"/>
      <c r="DB64" s="1"/>
      <c r="DC64" s="1"/>
    </row>
    <row r="65" spans="1:107" ht="15.75" customHeight="1" x14ac:dyDescent="0.25">
      <c r="A65" s="1"/>
      <c r="B65" s="3"/>
      <c r="C65" s="1"/>
      <c r="D65" s="1"/>
      <c r="N65" s="1"/>
      <c r="W65" s="1"/>
      <c r="X65" s="1"/>
      <c r="Y65" s="1"/>
      <c r="Z65" s="1"/>
      <c r="AA65" s="1"/>
      <c r="AI65" s="1"/>
      <c r="AV65" s="1"/>
      <c r="AW65" s="1"/>
      <c r="AX65" s="1"/>
    </row>
    <row r="66" spans="1:107" ht="15.75" customHeight="1" x14ac:dyDescent="0.25">
      <c r="A66" s="1"/>
      <c r="B66" s="3"/>
      <c r="C66" s="1"/>
      <c r="D66" s="1"/>
      <c r="N66" s="1"/>
      <c r="V66" s="1"/>
      <c r="W66" s="1"/>
      <c r="X66" s="1"/>
      <c r="Y66" s="1"/>
      <c r="Z66" s="1"/>
      <c r="AA66" s="1"/>
      <c r="AB66" s="1"/>
      <c r="AI66" s="1"/>
      <c r="AK66" s="1"/>
      <c r="AU66" s="1"/>
      <c r="AV66" s="1"/>
      <c r="AW66" s="1"/>
      <c r="AX66" s="1"/>
      <c r="AY66" s="1"/>
      <c r="BA66" s="1"/>
      <c r="BM66" s="1"/>
      <c r="BN66" s="1"/>
      <c r="CM66" s="1"/>
      <c r="CU66" s="1"/>
      <c r="DC66" s="1"/>
    </row>
    <row r="67" spans="1:107" ht="15.75" customHeight="1" x14ac:dyDescent="0.25">
      <c r="A67" s="1"/>
      <c r="B67" s="3"/>
      <c r="C67" s="1"/>
      <c r="D67" s="1"/>
      <c r="N67" s="1"/>
      <c r="W67" s="1"/>
      <c r="X67" s="1"/>
      <c r="Y67" s="1"/>
      <c r="Z67" s="1"/>
      <c r="AA67" s="1"/>
      <c r="AI67" s="1"/>
      <c r="AV67" s="1"/>
      <c r="AW67" s="1"/>
      <c r="AX67" s="1"/>
    </row>
    <row r="68" spans="1:107" ht="15.75" customHeight="1" x14ac:dyDescent="0.25">
      <c r="A68" s="1"/>
      <c r="B68" s="3"/>
      <c r="C68" s="1"/>
      <c r="D68" s="1"/>
      <c r="N68" s="1"/>
      <c r="W68" s="1"/>
      <c r="X68" s="1"/>
      <c r="Y68" s="1"/>
      <c r="Z68" s="1"/>
      <c r="AA68" s="1"/>
      <c r="AI68" s="1"/>
      <c r="AV68" s="1"/>
      <c r="AW68" s="1"/>
      <c r="AX68" s="1"/>
    </row>
    <row r="69" spans="1:107" ht="15.75" customHeight="1" x14ac:dyDescent="0.25">
      <c r="A69" s="1"/>
      <c r="B69" s="3"/>
      <c r="C69" s="1"/>
      <c r="D69" s="1"/>
      <c r="N69" s="1"/>
      <c r="W69" s="1"/>
      <c r="X69" s="1"/>
      <c r="Y69" s="1"/>
      <c r="Z69" s="1"/>
      <c r="AA69" s="1"/>
      <c r="AB69" s="1"/>
      <c r="AI69" s="1"/>
      <c r="AK69" s="1"/>
      <c r="AU69" s="1"/>
      <c r="AV69" s="1"/>
      <c r="AW69" s="1"/>
      <c r="AX69" s="1"/>
      <c r="AY69" s="1"/>
      <c r="BA69" s="1"/>
      <c r="BM69" s="1"/>
      <c r="BN69" s="1"/>
    </row>
    <row r="70" spans="1:107" ht="15.75" customHeight="1" x14ac:dyDescent="0.25">
      <c r="A70" s="1"/>
      <c r="B70" s="3"/>
      <c r="C70" s="1"/>
      <c r="D70" s="1"/>
      <c r="N70" s="1"/>
      <c r="V70" s="1"/>
      <c r="W70" s="1"/>
      <c r="X70" s="1"/>
      <c r="Y70" s="1"/>
      <c r="Z70" s="1"/>
      <c r="AA70" s="1"/>
      <c r="AI70" s="1"/>
      <c r="AK70" s="1"/>
      <c r="AU70" s="1"/>
      <c r="AV70" s="1"/>
      <c r="AW70" s="1"/>
      <c r="AX70" s="1"/>
      <c r="AY70" s="1"/>
      <c r="BA70" s="1"/>
      <c r="BM70" s="1"/>
      <c r="BN70" s="1"/>
      <c r="BV70" s="1"/>
      <c r="DC70" s="1"/>
    </row>
    <row r="71" spans="1:107" ht="15.75" customHeight="1" x14ac:dyDescent="0.25">
      <c r="A71" s="1"/>
      <c r="B71" s="3"/>
      <c r="C71" s="1"/>
      <c r="D71" s="1"/>
      <c r="N71" s="1"/>
      <c r="V71" s="1"/>
      <c r="W71" s="1"/>
      <c r="X71" s="1"/>
      <c r="Y71" s="1"/>
      <c r="Z71" s="1"/>
      <c r="AA71" s="1"/>
      <c r="AB71" s="1"/>
      <c r="AI71" s="1"/>
      <c r="AJ71" s="1"/>
      <c r="AK71" s="1"/>
      <c r="AU71" s="1"/>
      <c r="AV71" s="1"/>
      <c r="AW71" s="1"/>
      <c r="AX71" s="1"/>
      <c r="AY71" s="1"/>
      <c r="BA71" s="1"/>
      <c r="BM71" s="1"/>
      <c r="BN71" s="1"/>
      <c r="DC71" s="1"/>
    </row>
    <row r="72" spans="1:107" ht="15.75" customHeight="1" x14ac:dyDescent="0.25">
      <c r="A72" s="1"/>
      <c r="B72" s="3"/>
      <c r="C72" s="1"/>
      <c r="D72" s="1"/>
      <c r="N72" s="1"/>
      <c r="V72" s="1"/>
      <c r="W72" s="1"/>
      <c r="X72" s="1"/>
      <c r="Y72" s="1"/>
      <c r="Z72" s="1"/>
      <c r="AA72" s="1"/>
      <c r="AB72" s="1"/>
      <c r="AI72" s="1"/>
      <c r="AK72" s="1"/>
      <c r="AU72" s="1"/>
      <c r="AV72" s="1"/>
      <c r="AW72" s="1"/>
      <c r="AX72" s="1"/>
      <c r="AY72" s="1"/>
      <c r="BA72" s="1"/>
      <c r="BM72" s="1"/>
      <c r="BN72" s="1"/>
      <c r="BW72" s="1"/>
      <c r="BZ72" s="1"/>
      <c r="DC72" s="1"/>
    </row>
    <row r="73" spans="1:107" ht="15.75" customHeight="1" x14ac:dyDescent="0.25">
      <c r="A73" s="1"/>
      <c r="B73" s="3"/>
      <c r="C73" s="1"/>
      <c r="D73" s="1"/>
      <c r="N73" s="1"/>
      <c r="V73" s="1"/>
      <c r="W73" s="1"/>
      <c r="X73" s="1"/>
      <c r="Y73" s="1"/>
      <c r="Z73" s="1"/>
      <c r="AA73" s="1"/>
      <c r="AB73" s="1"/>
      <c r="AI73" s="1"/>
      <c r="AK73" s="1"/>
      <c r="AU73" s="1"/>
      <c r="AV73" s="1"/>
      <c r="AW73" s="1"/>
      <c r="AX73" s="1"/>
      <c r="AY73" s="1"/>
      <c r="BA73" s="1"/>
      <c r="BM73" s="1"/>
      <c r="BN73" s="1"/>
      <c r="DC73" s="1"/>
    </row>
    <row r="74" spans="1:107" ht="15.75" customHeight="1" x14ac:dyDescent="0.25">
      <c r="A74" s="1"/>
      <c r="B74" s="3"/>
      <c r="C74" s="1"/>
      <c r="D74" s="1"/>
      <c r="N74" s="1"/>
      <c r="V74" s="1"/>
      <c r="W74" s="1"/>
      <c r="X74" s="1"/>
      <c r="Y74" s="1"/>
      <c r="Z74" s="1"/>
      <c r="AA74" s="1"/>
      <c r="AB74" s="1"/>
      <c r="AI74" s="1"/>
      <c r="AK74" s="1"/>
      <c r="AU74" s="1"/>
      <c r="AV74" s="1"/>
      <c r="AW74" s="1"/>
      <c r="AX74" s="1"/>
      <c r="AY74" s="1"/>
      <c r="BA74" s="1"/>
      <c r="BM74" s="1"/>
      <c r="BN74" s="1"/>
      <c r="BV74" s="1"/>
      <c r="DC74" s="1"/>
    </row>
    <row r="75" spans="1:107" ht="15.75" customHeight="1" x14ac:dyDescent="0.25">
      <c r="A75" s="1"/>
      <c r="B75" s="3"/>
      <c r="C75" s="1"/>
      <c r="D75" s="1"/>
      <c r="N75" s="1"/>
      <c r="U75" s="1"/>
      <c r="W75" s="1"/>
      <c r="X75" s="1"/>
      <c r="Y75" s="1"/>
      <c r="Z75" s="1"/>
      <c r="AA75" s="1"/>
      <c r="AB75" s="1"/>
      <c r="AI75" s="1"/>
      <c r="AJ75" s="1"/>
      <c r="AK75" s="1"/>
      <c r="AU75" s="1"/>
      <c r="AV75" s="1"/>
      <c r="AW75" s="1"/>
      <c r="AX75" s="1"/>
      <c r="AY75" s="1"/>
      <c r="BA75" s="1"/>
      <c r="BM75" s="1"/>
      <c r="BN75" s="1"/>
      <c r="BV75" s="1"/>
      <c r="BW75" s="1"/>
      <c r="BY75" s="1"/>
      <c r="BZ75" s="1"/>
      <c r="CA75" s="1"/>
      <c r="CH75" s="1"/>
      <c r="CI75" s="1"/>
      <c r="CJ75" s="1"/>
      <c r="CK75" s="1"/>
      <c r="CL75" s="1"/>
      <c r="CR75" s="1"/>
      <c r="CT75" s="1"/>
      <c r="DC75" s="1"/>
    </row>
    <row r="76" spans="1:107" ht="15.75" customHeight="1" x14ac:dyDescent="0.25">
      <c r="A76" s="1"/>
      <c r="B76" s="3"/>
      <c r="C76" s="1"/>
      <c r="D76" s="1"/>
      <c r="N76" s="1"/>
      <c r="V76" s="1"/>
      <c r="W76" s="1"/>
      <c r="X76" s="1"/>
      <c r="Y76" s="1"/>
      <c r="Z76" s="1"/>
      <c r="AA76" s="1"/>
      <c r="AB76" s="1"/>
      <c r="AI76" s="1"/>
      <c r="AK76" s="1"/>
      <c r="AU76" s="1"/>
      <c r="AV76" s="1"/>
      <c r="AW76" s="1"/>
      <c r="AX76" s="1"/>
      <c r="AY76" s="1"/>
      <c r="BA76" s="1"/>
      <c r="DC76" s="1"/>
    </row>
    <row r="77" spans="1:107" ht="15.75" customHeight="1" x14ac:dyDescent="0.25">
      <c r="A77" s="1"/>
      <c r="B77" s="3"/>
      <c r="C77" s="1"/>
      <c r="D77" s="1"/>
      <c r="N77" s="1"/>
      <c r="V77" s="1"/>
      <c r="W77" s="1"/>
      <c r="X77" s="1"/>
      <c r="Y77" s="1"/>
      <c r="Z77" s="1"/>
      <c r="AA77" s="1"/>
      <c r="AB77" s="1"/>
      <c r="AI77" s="1"/>
      <c r="AK77" s="1"/>
      <c r="AU77" s="1"/>
      <c r="AV77" s="1"/>
      <c r="AW77" s="1"/>
      <c r="AX77" s="1"/>
      <c r="AY77" s="1"/>
      <c r="AZ77" s="1"/>
      <c r="BA77" s="1"/>
      <c r="BW77" s="1"/>
      <c r="DC77" s="1"/>
    </row>
    <row r="78" spans="1:107" ht="15.75" customHeight="1" x14ac:dyDescent="0.25">
      <c r="A78" s="1"/>
      <c r="B78" s="3"/>
      <c r="C78" s="1"/>
      <c r="D78" s="1"/>
      <c r="N78" s="1"/>
      <c r="V78" s="1"/>
      <c r="W78" s="1"/>
      <c r="X78" s="1"/>
      <c r="Y78" s="1"/>
      <c r="Z78" s="1"/>
      <c r="AA78" s="1"/>
      <c r="AB78" s="1"/>
      <c r="AI78" s="1"/>
      <c r="AK78" s="1"/>
      <c r="AU78" s="1"/>
      <c r="AV78" s="1"/>
      <c r="AW78" s="1"/>
      <c r="AX78" s="1"/>
      <c r="AY78" s="1"/>
      <c r="BA78" s="1"/>
      <c r="BM78" s="1"/>
      <c r="BN78" s="1"/>
      <c r="DC78" s="1"/>
    </row>
    <row r="79" spans="1:107" ht="15.75" customHeight="1" x14ac:dyDescent="0.25">
      <c r="A79" s="1"/>
      <c r="B79" s="3"/>
      <c r="C79" s="1"/>
      <c r="D79" s="1"/>
      <c r="N79" s="1"/>
      <c r="V79" s="1"/>
      <c r="W79" s="1"/>
      <c r="X79" s="1"/>
      <c r="Y79" s="1"/>
      <c r="Z79" s="1"/>
      <c r="AA79" s="1"/>
      <c r="AB79" s="1"/>
      <c r="AI79" s="1"/>
      <c r="AJ79" s="1"/>
      <c r="AK79" s="1"/>
      <c r="AU79" s="1"/>
      <c r="AV79" s="1"/>
      <c r="AW79" s="1"/>
      <c r="AX79" s="1"/>
      <c r="AY79" s="1"/>
      <c r="AZ79" s="1"/>
      <c r="BA79" s="1"/>
      <c r="BW79" s="1"/>
      <c r="BZ79" s="1"/>
      <c r="DC79" s="1"/>
    </row>
    <row r="80" spans="1:107" ht="15.75" customHeight="1" x14ac:dyDescent="0.25">
      <c r="A80" s="1"/>
      <c r="B80" s="3"/>
      <c r="C80" s="1"/>
      <c r="D80" s="1"/>
      <c r="N80" s="1"/>
      <c r="V80" s="1"/>
      <c r="W80" s="1"/>
      <c r="X80" s="1"/>
      <c r="Y80" s="1"/>
      <c r="Z80" s="1"/>
      <c r="AA80" s="1"/>
      <c r="AB80" s="1"/>
      <c r="AI80" s="1"/>
      <c r="AJ80" s="1"/>
      <c r="AK80" s="1"/>
      <c r="AU80" s="1"/>
      <c r="AV80" s="1"/>
      <c r="AW80" s="1"/>
      <c r="AX80" s="1"/>
      <c r="AY80" s="1"/>
      <c r="BA80" s="1"/>
      <c r="BM80" s="1"/>
      <c r="BN80" s="1"/>
      <c r="BW80" s="1"/>
      <c r="BZ80" s="1"/>
      <c r="DC80" s="1"/>
    </row>
    <row r="81" spans="1:107" ht="15.75" customHeight="1" x14ac:dyDescent="0.25">
      <c r="A81" s="1"/>
      <c r="B81" s="3"/>
      <c r="C81" s="1"/>
      <c r="D81" s="1"/>
      <c r="N81" s="1"/>
      <c r="W81" s="1"/>
      <c r="X81" s="1"/>
      <c r="Y81" s="1"/>
      <c r="Z81" s="1"/>
      <c r="AA81" s="1"/>
      <c r="AB81" s="1"/>
      <c r="AI81" s="1"/>
      <c r="AK81" s="1"/>
      <c r="AU81" s="1"/>
      <c r="AV81" s="1"/>
      <c r="AW81" s="1"/>
      <c r="AX81" s="1"/>
      <c r="AY81" s="1"/>
      <c r="BA81" s="1"/>
      <c r="BM81" s="1"/>
      <c r="BN81" s="1"/>
      <c r="DC81" s="1"/>
    </row>
    <row r="82" spans="1:107" ht="15.75" customHeight="1" x14ac:dyDescent="0.25">
      <c r="A82" s="1"/>
      <c r="B82" s="3"/>
      <c r="C82" s="1"/>
      <c r="D82" s="1"/>
      <c r="N82" s="1"/>
      <c r="V82" s="1"/>
      <c r="W82" s="1"/>
      <c r="X82" s="1"/>
      <c r="Y82" s="1"/>
      <c r="Z82" s="1"/>
      <c r="AA82" s="1"/>
      <c r="AB82" s="1"/>
      <c r="AI82" s="1"/>
      <c r="AJ82" s="1"/>
      <c r="AK82" s="1"/>
      <c r="AU82" s="1"/>
      <c r="AV82" s="1"/>
      <c r="AW82" s="1"/>
      <c r="AX82" s="1"/>
      <c r="AY82" s="1"/>
      <c r="BA82" s="1"/>
      <c r="BM82" s="1"/>
      <c r="BN82" s="1"/>
      <c r="BW82" s="1"/>
      <c r="BZ82" s="1"/>
      <c r="DC82" s="1"/>
    </row>
    <row r="83" spans="1:107" ht="15.75" customHeight="1" x14ac:dyDescent="0.25">
      <c r="A83" s="1"/>
      <c r="B83" s="3"/>
      <c r="C83" s="1"/>
      <c r="D83" s="1"/>
      <c r="N83" s="1"/>
      <c r="V83" s="1"/>
      <c r="W83" s="1"/>
      <c r="X83" s="1"/>
      <c r="Y83" s="1"/>
      <c r="Z83" s="1"/>
      <c r="AA83" s="1"/>
      <c r="AB83" s="1"/>
      <c r="AI83" s="1"/>
      <c r="AJ83" s="1"/>
      <c r="AK83" s="1"/>
      <c r="AU83" s="1"/>
      <c r="AV83" s="1"/>
      <c r="AW83" s="1"/>
      <c r="AX83" s="1"/>
      <c r="AY83" s="1"/>
      <c r="BA83" s="1"/>
      <c r="DC83" s="1"/>
    </row>
    <row r="84" spans="1:107" ht="15.75" customHeight="1" x14ac:dyDescent="0.25">
      <c r="A84" s="1"/>
      <c r="B84" s="3"/>
      <c r="C84" s="1"/>
      <c r="D84" s="1"/>
      <c r="N84" s="1"/>
      <c r="V84" s="1"/>
      <c r="W84" s="1"/>
      <c r="X84" s="1"/>
      <c r="Y84" s="1"/>
      <c r="Z84" s="1"/>
      <c r="AA84" s="1"/>
      <c r="AB84" s="1"/>
      <c r="AI84" s="1"/>
      <c r="AJ84" s="1"/>
      <c r="AK84" s="1"/>
      <c r="AU84" s="1"/>
      <c r="AV84" s="1"/>
      <c r="AW84" s="1"/>
      <c r="AX84" s="1"/>
      <c r="AY84" s="1"/>
      <c r="BA84" s="1"/>
      <c r="BM84" s="1"/>
      <c r="BN84" s="1"/>
      <c r="DC84" s="1"/>
    </row>
    <row r="85" spans="1:107" ht="15.75" customHeight="1" x14ac:dyDescent="0.25">
      <c r="A85" s="1"/>
      <c r="B85" s="3"/>
      <c r="C85" s="1"/>
      <c r="D85" s="1"/>
      <c r="N85" s="1"/>
      <c r="W85" s="1"/>
      <c r="X85" s="1"/>
      <c r="Y85" s="1"/>
      <c r="Z85" s="1"/>
      <c r="AA85" s="1"/>
      <c r="AB85" s="1"/>
      <c r="AI85" s="1"/>
      <c r="AJ85" s="1"/>
      <c r="AK85" s="1"/>
      <c r="AU85" s="1"/>
      <c r="AV85" s="1"/>
      <c r="AW85" s="1"/>
      <c r="AX85" s="1"/>
      <c r="AY85" s="1"/>
      <c r="BA85" s="1"/>
      <c r="BM85" s="1"/>
      <c r="BN85" s="1"/>
      <c r="BW85" s="1"/>
      <c r="BY85" s="1"/>
      <c r="BZ85" s="1"/>
      <c r="DC85" s="1"/>
    </row>
    <row r="86" spans="1:107" ht="15.75" customHeight="1" x14ac:dyDescent="0.25">
      <c r="A86" s="1"/>
      <c r="B86" s="3"/>
      <c r="C86" s="1"/>
      <c r="D86" s="1"/>
      <c r="N86" s="1"/>
      <c r="W86" s="1"/>
      <c r="X86" s="1"/>
      <c r="Y86" s="1"/>
      <c r="Z86" s="1"/>
      <c r="AA86" s="1"/>
      <c r="AB86" s="1"/>
      <c r="AI86" s="1"/>
      <c r="AK86" s="1"/>
      <c r="AU86" s="1"/>
      <c r="AV86" s="1"/>
      <c r="AW86" s="1"/>
      <c r="AX86" s="1"/>
      <c r="AY86" s="1"/>
      <c r="BA86" s="1"/>
      <c r="BM86" s="1"/>
      <c r="BN86" s="1"/>
      <c r="DC86" s="1"/>
    </row>
    <row r="87" spans="1:107" ht="15.75" customHeight="1" x14ac:dyDescent="0.25">
      <c r="A87" s="1"/>
      <c r="B87" s="3"/>
      <c r="C87" s="1"/>
      <c r="D87" s="1"/>
      <c r="N87" s="1"/>
      <c r="W87" s="1"/>
      <c r="X87" s="1"/>
      <c r="Y87" s="1"/>
      <c r="Z87" s="1"/>
      <c r="AA87" s="1"/>
      <c r="AB87" s="1"/>
      <c r="AI87" s="1"/>
      <c r="AK87" s="1"/>
      <c r="AU87" s="1"/>
      <c r="AV87" s="1"/>
      <c r="AW87" s="1"/>
      <c r="AX87" s="1"/>
      <c r="AY87" s="1"/>
      <c r="BA87" s="1"/>
      <c r="BM87" s="1"/>
      <c r="BN87" s="1"/>
      <c r="DC87" s="1"/>
    </row>
    <row r="88" spans="1:107" ht="15.75" customHeight="1" x14ac:dyDescent="0.25">
      <c r="A88" s="1"/>
      <c r="B88" s="3"/>
      <c r="C88" s="1"/>
      <c r="D88" s="1"/>
      <c r="N88" s="1"/>
      <c r="W88" s="1"/>
      <c r="X88" s="1"/>
      <c r="Y88" s="1"/>
      <c r="Z88" s="1"/>
      <c r="AA88" s="1"/>
      <c r="AB88" s="1"/>
      <c r="AI88" s="1"/>
      <c r="AK88" s="1"/>
      <c r="AU88" s="1"/>
      <c r="AV88" s="1"/>
      <c r="AW88" s="1"/>
      <c r="AX88" s="1"/>
      <c r="AY88" s="1"/>
      <c r="BA88" s="1"/>
      <c r="BM88" s="1"/>
      <c r="BN88" s="1"/>
      <c r="DC88" s="1"/>
    </row>
    <row r="89" spans="1:107" ht="15.75" customHeight="1" x14ac:dyDescent="0.25">
      <c r="A89" s="1"/>
      <c r="B89" s="3"/>
      <c r="C89" s="1"/>
      <c r="D89" s="1"/>
      <c r="N89" s="1"/>
      <c r="V89" s="1"/>
      <c r="W89" s="1"/>
      <c r="X89" s="1"/>
      <c r="Y89" s="1"/>
      <c r="Z89" s="1"/>
      <c r="AA89" s="1"/>
      <c r="AB89" s="1"/>
      <c r="AI89" s="1"/>
      <c r="AK89" s="1"/>
      <c r="AU89" s="1"/>
      <c r="AV89" s="1"/>
      <c r="AW89" s="1"/>
      <c r="AX89" s="1"/>
      <c r="AY89" s="1"/>
      <c r="AZ89" s="1"/>
      <c r="DC89" s="1"/>
    </row>
    <row r="90" spans="1:107" ht="15.75" customHeight="1" x14ac:dyDescent="0.25">
      <c r="A90" s="1"/>
      <c r="B90" s="3"/>
      <c r="C90" s="1"/>
      <c r="D90" s="1"/>
      <c r="N90" s="1"/>
      <c r="V90" s="1"/>
      <c r="W90" s="1"/>
      <c r="X90" s="1"/>
      <c r="Y90" s="1"/>
      <c r="Z90" s="1"/>
      <c r="AA90" s="1"/>
      <c r="AB90" s="1"/>
      <c r="AI90" s="1"/>
      <c r="AK90" s="1"/>
      <c r="AU90" s="1"/>
      <c r="AV90" s="1"/>
      <c r="AW90" s="1"/>
      <c r="AX90" s="1"/>
      <c r="AY90" s="1"/>
      <c r="BA90" s="1"/>
      <c r="BM90" s="1"/>
      <c r="BN90" s="1"/>
      <c r="DC90" s="1"/>
    </row>
    <row r="91" spans="1:107" ht="15.75" customHeight="1" x14ac:dyDescent="0.25">
      <c r="A91" s="1"/>
      <c r="B91" s="3"/>
      <c r="C91" s="1"/>
      <c r="D91" s="1"/>
      <c r="N91" s="1"/>
      <c r="V91" s="1"/>
      <c r="W91" s="1"/>
      <c r="X91" s="1"/>
      <c r="Y91" s="1"/>
      <c r="Z91" s="1"/>
      <c r="AA91" s="1"/>
      <c r="AB91" s="1"/>
      <c r="AI91" s="1"/>
      <c r="AK91" s="1"/>
      <c r="AU91" s="1"/>
      <c r="AV91" s="1"/>
      <c r="AW91" s="1"/>
      <c r="AX91" s="1"/>
      <c r="AY91" s="1"/>
      <c r="BA91" s="1"/>
      <c r="BM91" s="1"/>
      <c r="BN91" s="1"/>
      <c r="DC91" s="1"/>
    </row>
    <row r="92" spans="1:107" ht="15.75" customHeight="1" x14ac:dyDescent="0.25">
      <c r="A92" s="1"/>
      <c r="B92" s="3"/>
      <c r="C92" s="1"/>
      <c r="D92" s="1"/>
      <c r="N92" s="1"/>
      <c r="W92" s="1"/>
      <c r="X92" s="1"/>
      <c r="Y92" s="1"/>
      <c r="Z92" s="1"/>
      <c r="AA92" s="1"/>
      <c r="AB92" s="1"/>
      <c r="AI92" s="1"/>
      <c r="AK92" s="1"/>
      <c r="AU92" s="1"/>
      <c r="AV92" s="1"/>
      <c r="AW92" s="1"/>
      <c r="AX92" s="1"/>
      <c r="AY92" s="1"/>
      <c r="BA92" s="1"/>
      <c r="BM92" s="1"/>
      <c r="BN92" s="1"/>
      <c r="DC92" s="1"/>
    </row>
    <row r="93" spans="1:107" ht="15.75" customHeight="1" x14ac:dyDescent="0.25">
      <c r="A93" s="1"/>
      <c r="B93" s="3"/>
      <c r="C93" s="1"/>
      <c r="D93" s="1"/>
      <c r="N93" s="1"/>
      <c r="W93" s="1"/>
      <c r="X93" s="1"/>
      <c r="Y93" s="1"/>
      <c r="Z93" s="1"/>
      <c r="AA93" s="1"/>
      <c r="AB93" s="1"/>
      <c r="AI93" s="1"/>
      <c r="AK93" s="1"/>
      <c r="AU93" s="1"/>
      <c r="AV93" s="1"/>
      <c r="AW93" s="1"/>
      <c r="AX93" s="1"/>
      <c r="AY93" s="1"/>
      <c r="BA93" s="1"/>
      <c r="BM93" s="1"/>
      <c r="BN93" s="1"/>
      <c r="DC93" s="1"/>
    </row>
    <row r="94" spans="1:107" ht="15.75" customHeight="1" x14ac:dyDescent="0.25">
      <c r="A94" s="1"/>
      <c r="B94" s="3"/>
      <c r="C94" s="1"/>
      <c r="D94" s="1"/>
      <c r="N94" s="1"/>
      <c r="V94" s="1"/>
      <c r="W94" s="1"/>
      <c r="X94" s="1"/>
      <c r="Y94" s="1"/>
      <c r="Z94" s="1"/>
      <c r="AA94" s="1"/>
      <c r="AB94" s="1"/>
      <c r="AI94" s="1"/>
      <c r="AK94" s="1"/>
      <c r="AU94" s="1"/>
      <c r="AV94" s="1"/>
      <c r="AW94" s="1"/>
      <c r="AX94" s="1"/>
      <c r="AY94" s="1"/>
      <c r="BA94" s="1"/>
      <c r="BM94" s="1"/>
      <c r="BN94" s="1"/>
      <c r="DC94" s="1"/>
    </row>
    <row r="95" spans="1:107" ht="15.75" customHeight="1" x14ac:dyDescent="0.25">
      <c r="A95" s="1"/>
      <c r="B95" s="3"/>
      <c r="C95" s="1"/>
      <c r="D95" s="1"/>
      <c r="N95" s="1"/>
      <c r="V95" s="1"/>
      <c r="W95" s="1"/>
      <c r="X95" s="1"/>
      <c r="Y95" s="1"/>
      <c r="Z95" s="1"/>
      <c r="AA95" s="1"/>
      <c r="AB95" s="1"/>
      <c r="AI95" s="1"/>
      <c r="AK95" s="1"/>
      <c r="AU95" s="1"/>
      <c r="AV95" s="1"/>
      <c r="AW95" s="1"/>
      <c r="AX95" s="1"/>
      <c r="AY95" s="1"/>
      <c r="BA95" s="1"/>
      <c r="BM95" s="1"/>
      <c r="BN95" s="1"/>
      <c r="DC95" s="1"/>
    </row>
    <row r="96" spans="1:107" ht="15.75" customHeight="1" x14ac:dyDescent="0.25">
      <c r="A96" s="1"/>
      <c r="B96" s="3"/>
      <c r="C96" s="1"/>
      <c r="D96" s="1"/>
      <c r="N96" s="1"/>
      <c r="W96" s="1"/>
      <c r="X96" s="1"/>
      <c r="Y96" s="1"/>
      <c r="Z96" s="1"/>
      <c r="AA96" s="1"/>
      <c r="AB96" s="1"/>
      <c r="AI96" s="1"/>
      <c r="AK96" s="1"/>
      <c r="AU96" s="1"/>
      <c r="AV96" s="1"/>
      <c r="AW96" s="1"/>
      <c r="AX96" s="1"/>
      <c r="AY96" s="1"/>
      <c r="BA96" s="1"/>
      <c r="BM96" s="1"/>
      <c r="BN96" s="1"/>
      <c r="DC96" s="1"/>
    </row>
    <row r="97" spans="1:107" ht="15.75" customHeight="1" x14ac:dyDescent="0.25">
      <c r="A97" s="1"/>
      <c r="B97" s="3"/>
      <c r="C97" s="1"/>
      <c r="D97" s="1"/>
      <c r="N97" s="1"/>
      <c r="V97" s="1"/>
      <c r="W97" s="1"/>
      <c r="X97" s="1"/>
      <c r="Y97" s="1"/>
      <c r="Z97" s="1"/>
      <c r="AA97" s="1"/>
      <c r="AB97" s="1"/>
      <c r="AI97" s="1"/>
      <c r="AK97" s="1"/>
      <c r="AU97" s="1"/>
      <c r="AV97" s="1"/>
      <c r="AW97" s="1"/>
      <c r="AX97" s="1"/>
      <c r="AY97" s="1"/>
      <c r="BA97" s="1"/>
      <c r="BM97" s="1"/>
      <c r="BN97" s="1"/>
      <c r="BW97" s="1"/>
      <c r="DC97" s="1"/>
    </row>
    <row r="98" spans="1:107" ht="15.75" customHeight="1" x14ac:dyDescent="0.25">
      <c r="A98" s="1"/>
      <c r="B98" s="3"/>
      <c r="C98" s="1"/>
      <c r="D98" s="1"/>
      <c r="N98" s="1"/>
      <c r="V98" s="1"/>
      <c r="W98" s="1"/>
      <c r="X98" s="1"/>
      <c r="Y98" s="1"/>
      <c r="Z98" s="1"/>
      <c r="AA98" s="1"/>
      <c r="AB98" s="1"/>
      <c r="AI98" s="1"/>
      <c r="AK98" s="1"/>
      <c r="AU98" s="1"/>
      <c r="AV98" s="1"/>
      <c r="AW98" s="1"/>
      <c r="AX98" s="1"/>
      <c r="AY98" s="1"/>
      <c r="BA98" s="1"/>
      <c r="BM98" s="1"/>
      <c r="BN98" s="1"/>
      <c r="BW98" s="1"/>
      <c r="BY98" s="1"/>
      <c r="BZ98" s="1"/>
      <c r="CA98" s="1"/>
      <c r="DC98" s="1"/>
    </row>
    <row r="99" spans="1:107" ht="15.75" customHeight="1" x14ac:dyDescent="0.25">
      <c r="A99" s="1"/>
      <c r="B99" s="3"/>
      <c r="C99" s="1"/>
      <c r="D99" s="1"/>
      <c r="N99" s="1"/>
      <c r="W99" s="1"/>
      <c r="X99" s="1"/>
      <c r="Y99" s="1"/>
      <c r="Z99" s="1"/>
      <c r="AA99" s="1"/>
      <c r="AB99" s="1"/>
      <c r="AI99" s="1"/>
      <c r="AJ99" s="1"/>
      <c r="AK99" s="1"/>
      <c r="AU99" s="1"/>
      <c r="AV99" s="1"/>
      <c r="AW99" s="1"/>
      <c r="AX99" s="1"/>
      <c r="AY99" s="1"/>
      <c r="AZ99" s="1"/>
      <c r="BA99" s="1"/>
      <c r="DC99" s="1"/>
    </row>
    <row r="100" spans="1:107" ht="15.75" customHeight="1" x14ac:dyDescent="0.25">
      <c r="A100" s="1"/>
      <c r="B100" s="3"/>
      <c r="C100" s="1"/>
      <c r="D100" s="1"/>
      <c r="N100" s="1"/>
      <c r="V100" s="1"/>
      <c r="W100" s="1"/>
      <c r="X100" s="1"/>
      <c r="Y100" s="1"/>
      <c r="Z100" s="1"/>
      <c r="AA100" s="1"/>
      <c r="AB100" s="1"/>
      <c r="AI100" s="1"/>
      <c r="AK100" s="1"/>
      <c r="AU100" s="1"/>
      <c r="AV100" s="1"/>
      <c r="AW100" s="1"/>
      <c r="AX100" s="1"/>
      <c r="AY100" s="1"/>
      <c r="BA100" s="1"/>
      <c r="BM100" s="1"/>
      <c r="BN100" s="1"/>
      <c r="DC100" s="1"/>
    </row>
    <row r="101" spans="1:107" ht="15.75" customHeight="1" x14ac:dyDescent="0.25">
      <c r="A101" s="1"/>
      <c r="B101" s="3"/>
      <c r="C101" s="1"/>
      <c r="D101" s="1"/>
      <c r="N101" s="1"/>
      <c r="V101" s="1"/>
      <c r="W101" s="1"/>
      <c r="X101" s="1"/>
      <c r="Y101" s="1"/>
      <c r="Z101" s="1"/>
      <c r="AA101" s="1"/>
      <c r="AB101" s="1"/>
      <c r="AI101" s="1"/>
      <c r="AK101" s="1"/>
      <c r="AU101" s="1"/>
      <c r="AV101" s="1"/>
      <c r="AW101" s="1"/>
      <c r="AX101" s="1"/>
      <c r="AY101" s="1"/>
      <c r="BA101" s="1"/>
      <c r="BM101" s="1"/>
      <c r="BN101" s="1"/>
      <c r="BW101" s="1"/>
      <c r="BY101" s="1"/>
      <c r="BZ101" s="1"/>
      <c r="DC101" s="1"/>
    </row>
    <row r="102" spans="1:107" ht="15.75" customHeight="1" x14ac:dyDescent="0.25">
      <c r="A102" s="1"/>
      <c r="B102" s="3"/>
      <c r="C102" s="1"/>
      <c r="D102" s="1"/>
      <c r="M102" s="1"/>
      <c r="N102" s="1"/>
      <c r="V102" s="1"/>
      <c r="W102" s="1"/>
      <c r="X102" s="1"/>
      <c r="Y102" s="1"/>
      <c r="Z102" s="1"/>
      <c r="AA102" s="1"/>
      <c r="AB102" s="1"/>
      <c r="AI102" s="1"/>
      <c r="AJ102" s="1"/>
      <c r="AK102" s="1"/>
      <c r="AU102" s="1"/>
      <c r="AV102" s="1"/>
      <c r="AW102" s="1"/>
      <c r="AX102" s="1"/>
      <c r="AY102" s="1"/>
      <c r="BA102" s="1"/>
      <c r="BM102" s="1"/>
      <c r="BN102" s="1"/>
      <c r="BV102" s="1"/>
      <c r="BW102" s="1"/>
      <c r="BY102" s="1"/>
      <c r="BZ102" s="1"/>
      <c r="CH102" s="1"/>
      <c r="CI102" s="1"/>
      <c r="CJ102" s="1"/>
      <c r="CL102" s="1"/>
      <c r="DC102" s="1"/>
    </row>
    <row r="103" spans="1:107" ht="15.75" customHeight="1" x14ac:dyDescent="0.25">
      <c r="A103" s="1"/>
      <c r="B103" s="3"/>
      <c r="C103" s="1"/>
      <c r="D103" s="1"/>
      <c r="N103" s="1"/>
      <c r="W103" s="1"/>
      <c r="X103" s="1"/>
      <c r="Y103" s="1"/>
      <c r="Z103" s="1"/>
      <c r="AA103" s="1"/>
      <c r="AB103" s="1"/>
      <c r="AI103" s="1"/>
      <c r="AK103" s="1"/>
      <c r="AU103" s="1"/>
      <c r="AV103" s="1"/>
      <c r="AW103" s="1"/>
      <c r="AX103" s="1"/>
      <c r="AY103" s="1"/>
      <c r="BA103" s="1"/>
      <c r="BL103" s="1"/>
      <c r="BM103" s="1"/>
      <c r="BN103" s="1"/>
      <c r="CH103" s="1"/>
      <c r="CI103" s="1"/>
      <c r="CJ103" s="1"/>
      <c r="CL103" s="1"/>
      <c r="DC103" s="1"/>
    </row>
    <row r="104" spans="1:107" ht="15.75" customHeight="1" x14ac:dyDescent="0.25">
      <c r="A104" s="1"/>
      <c r="B104" s="3"/>
      <c r="C104" s="1"/>
      <c r="D104" s="1"/>
      <c r="N104" s="1"/>
      <c r="V104" s="1"/>
      <c r="W104" s="1"/>
      <c r="X104" s="1"/>
      <c r="Y104" s="1"/>
      <c r="Z104" s="1"/>
      <c r="AA104" s="1"/>
      <c r="AB104" s="1"/>
      <c r="AI104" s="1"/>
      <c r="AK104" s="1"/>
      <c r="AU104" s="1"/>
      <c r="AV104" s="1"/>
      <c r="AW104" s="1"/>
      <c r="AX104" s="1"/>
      <c r="AY104" s="1"/>
      <c r="BA104" s="1"/>
      <c r="BM104" s="1"/>
      <c r="BN104" s="1"/>
      <c r="CH104" s="1"/>
      <c r="CI104" s="1"/>
      <c r="CJ104" s="1"/>
      <c r="CK104" s="1"/>
      <c r="CL104" s="1"/>
    </row>
    <row r="105" spans="1:107" ht="15.75" customHeight="1" x14ac:dyDescent="0.25">
      <c r="A105" s="1"/>
      <c r="B105" s="3"/>
      <c r="C105" s="1"/>
      <c r="D105" s="1"/>
      <c r="N105" s="1"/>
      <c r="V105" s="1"/>
      <c r="W105" s="1"/>
      <c r="X105" s="1"/>
      <c r="Y105" s="1"/>
      <c r="Z105" s="1"/>
      <c r="AA105" s="1"/>
      <c r="AB105" s="1"/>
      <c r="AI105" s="1"/>
      <c r="AJ105" s="1"/>
      <c r="AK105" s="1"/>
      <c r="AU105" s="1"/>
      <c r="AV105" s="1"/>
      <c r="AW105" s="1"/>
      <c r="AX105" s="1"/>
      <c r="AY105" s="1"/>
      <c r="AZ105" s="1"/>
      <c r="BA105" s="1"/>
    </row>
    <row r="106" spans="1:107" ht="15.75" customHeight="1" x14ac:dyDescent="0.25">
      <c r="A106" s="1"/>
      <c r="B106" s="3"/>
      <c r="C106" s="1"/>
      <c r="D106" s="1"/>
      <c r="N106" s="1"/>
      <c r="V106" s="1"/>
      <c r="W106" s="1"/>
      <c r="X106" s="1"/>
      <c r="Y106" s="1"/>
      <c r="Z106" s="1"/>
      <c r="AA106" s="1"/>
      <c r="AB106" s="1"/>
      <c r="AI106" s="1"/>
      <c r="AJ106" s="1"/>
      <c r="AK106" s="1"/>
      <c r="AU106" s="1"/>
      <c r="AV106" s="1"/>
      <c r="AW106" s="1"/>
      <c r="AX106" s="1"/>
      <c r="AY106" s="1"/>
      <c r="AZ106" s="1"/>
      <c r="BA106" s="1"/>
      <c r="DC106" s="1"/>
    </row>
    <row r="107" spans="1:107" ht="15.75" customHeight="1" x14ac:dyDescent="0.25">
      <c r="A107" s="1"/>
      <c r="B107" s="3"/>
      <c r="C107" s="1"/>
      <c r="D107" s="1"/>
      <c r="N107" s="1"/>
      <c r="V107" s="1"/>
      <c r="W107" s="1"/>
      <c r="X107" s="1"/>
      <c r="Y107" s="1"/>
      <c r="Z107" s="1"/>
      <c r="AA107" s="1"/>
      <c r="AB107" s="1"/>
      <c r="AI107" s="1"/>
      <c r="AK107" s="1"/>
      <c r="AU107" s="1"/>
      <c r="AV107" s="1"/>
      <c r="AW107" s="1"/>
      <c r="AX107" s="1"/>
      <c r="AY107" s="1"/>
      <c r="AZ107" s="1"/>
      <c r="BA107" s="1"/>
      <c r="DC107" s="1"/>
    </row>
    <row r="108" spans="1:107" ht="15.75" customHeight="1" x14ac:dyDescent="0.25">
      <c r="A108" s="1"/>
      <c r="B108" s="3"/>
      <c r="C108" s="1"/>
      <c r="D108" s="1"/>
      <c r="N108" s="1"/>
      <c r="W108" s="1"/>
      <c r="X108" s="1"/>
      <c r="Y108" s="1"/>
      <c r="Z108" s="1"/>
      <c r="AA108" s="1"/>
      <c r="AB108" s="1"/>
      <c r="AI108" s="1"/>
      <c r="AK108" s="1"/>
      <c r="AU108" s="1"/>
      <c r="AV108" s="1"/>
      <c r="AW108" s="1"/>
      <c r="AX108" s="1"/>
      <c r="AY108" s="1"/>
      <c r="BA108" s="1"/>
      <c r="BM108" s="1"/>
      <c r="BN108" s="1"/>
      <c r="DC108" s="1"/>
    </row>
    <row r="109" spans="1:107" ht="15.75" customHeight="1" x14ac:dyDescent="0.25">
      <c r="A109" s="1"/>
      <c r="B109" s="3"/>
      <c r="C109" s="1"/>
      <c r="D109" s="1"/>
      <c r="N109" s="1"/>
      <c r="W109" s="1"/>
      <c r="X109" s="1"/>
      <c r="Y109" s="1"/>
      <c r="Z109" s="1"/>
      <c r="AA109" s="1"/>
      <c r="AB109" s="1"/>
      <c r="AI109" s="1"/>
      <c r="AK109" s="1"/>
      <c r="AU109" s="1"/>
      <c r="AV109" s="1"/>
      <c r="AW109" s="1"/>
      <c r="AX109" s="1"/>
      <c r="AY109" s="1"/>
      <c r="BA109" s="1"/>
      <c r="BM109" s="1"/>
      <c r="BN109" s="1"/>
      <c r="DC109" s="1"/>
    </row>
    <row r="110" spans="1:107" ht="15.75" customHeight="1" x14ac:dyDescent="0.25">
      <c r="A110" s="1"/>
      <c r="B110" s="3"/>
      <c r="C110" s="1"/>
      <c r="D110" s="1"/>
      <c r="N110" s="1"/>
      <c r="V110" s="1"/>
      <c r="W110" s="1"/>
      <c r="X110" s="1"/>
      <c r="Y110" s="1"/>
      <c r="Z110" s="1"/>
      <c r="AA110" s="1"/>
      <c r="AB110" s="1"/>
      <c r="AI110" s="1"/>
      <c r="AK110" s="1"/>
      <c r="AU110" s="1"/>
      <c r="AV110" s="1"/>
      <c r="AW110" s="1"/>
      <c r="AX110" s="1"/>
      <c r="AY110" s="1"/>
      <c r="BA110" s="1"/>
      <c r="BM110" s="1"/>
      <c r="BN110" s="1"/>
      <c r="DC110" s="1"/>
    </row>
    <row r="111" spans="1:107" ht="15.75" customHeight="1" x14ac:dyDescent="0.25">
      <c r="A111" s="1"/>
      <c r="B111" s="3"/>
      <c r="C111" s="1"/>
      <c r="D111" s="1"/>
      <c r="N111" s="1"/>
      <c r="W111" s="1"/>
      <c r="X111" s="1"/>
      <c r="Y111" s="1"/>
      <c r="Z111" s="1"/>
      <c r="AA111" s="1"/>
      <c r="AB111" s="1"/>
      <c r="AI111" s="1"/>
      <c r="AK111" s="1"/>
      <c r="AU111" s="1"/>
      <c r="AV111" s="1"/>
      <c r="AW111" s="1"/>
      <c r="AX111" s="1"/>
      <c r="AY111" s="1"/>
      <c r="BA111" s="1"/>
      <c r="BM111" s="1"/>
      <c r="BN111" s="1"/>
      <c r="DC111" s="1"/>
    </row>
    <row r="112" spans="1:107" ht="15.75" customHeight="1" x14ac:dyDescent="0.25">
      <c r="A112" s="1"/>
      <c r="B112" s="3"/>
      <c r="C112" s="1"/>
      <c r="D112" s="1"/>
      <c r="N112" s="1"/>
      <c r="W112" s="1"/>
      <c r="X112" s="1"/>
      <c r="Y112" s="1"/>
      <c r="Z112" s="1"/>
      <c r="AA112" s="1"/>
      <c r="AB112" s="1"/>
      <c r="AI112" s="1"/>
      <c r="AK112" s="1"/>
      <c r="AU112" s="1"/>
      <c r="AV112" s="1"/>
      <c r="AW112" s="1"/>
      <c r="AX112" s="1"/>
      <c r="AY112" s="1"/>
      <c r="BA112" s="1"/>
      <c r="BM112" s="1"/>
      <c r="BN112" s="1"/>
    </row>
    <row r="113" spans="1:107" ht="15.75" customHeight="1" x14ac:dyDescent="0.25">
      <c r="A113" s="1"/>
      <c r="B113" s="3"/>
      <c r="C113" s="1"/>
      <c r="D113" s="1"/>
      <c r="N113" s="1"/>
      <c r="V113" s="1"/>
      <c r="W113" s="1"/>
      <c r="X113" s="1"/>
      <c r="Y113" s="1"/>
      <c r="Z113" s="1"/>
      <c r="AA113" s="1"/>
      <c r="AB113" s="1"/>
      <c r="AI113" s="1"/>
      <c r="AK113" s="1"/>
      <c r="AU113" s="1"/>
      <c r="AV113" s="1"/>
      <c r="AW113" s="1"/>
      <c r="AX113" s="1"/>
      <c r="AY113" s="1"/>
      <c r="BA113" s="1"/>
      <c r="BM113" s="1"/>
      <c r="BN113" s="1"/>
      <c r="DC113" s="1"/>
    </row>
    <row r="114" spans="1:107" ht="15.75" customHeight="1" x14ac:dyDescent="0.25">
      <c r="A114" s="1"/>
      <c r="B114" s="3"/>
      <c r="C114" s="1"/>
      <c r="D114" s="1"/>
      <c r="N114" s="1"/>
      <c r="V114" s="1"/>
      <c r="W114" s="1"/>
      <c r="X114" s="1"/>
      <c r="Y114" s="1"/>
      <c r="Z114" s="1"/>
      <c r="AA114" s="1"/>
      <c r="AB114" s="1"/>
      <c r="AI114" s="1"/>
      <c r="AK114" s="1"/>
      <c r="AU114" s="1"/>
      <c r="AV114" s="1"/>
      <c r="AW114" s="1"/>
      <c r="AX114" s="1"/>
      <c r="AY114" s="1"/>
      <c r="BA114" s="1"/>
      <c r="BM114" s="1"/>
      <c r="BN114" s="1"/>
      <c r="DC114" s="1"/>
    </row>
    <row r="115" spans="1:107" ht="15.75" customHeight="1" x14ac:dyDescent="0.25">
      <c r="A115" s="1"/>
      <c r="B115" s="3"/>
      <c r="C115" s="1"/>
      <c r="D115" s="1"/>
      <c r="N115" s="1"/>
      <c r="W115" s="1"/>
      <c r="X115" s="1"/>
      <c r="Y115" s="1"/>
      <c r="Z115" s="1"/>
      <c r="AA115" s="1"/>
      <c r="AB115" s="1"/>
      <c r="AI115" s="1"/>
      <c r="AK115" s="1"/>
      <c r="AU115" s="1"/>
      <c r="AV115" s="1"/>
      <c r="AW115" s="1"/>
      <c r="AX115" s="1"/>
      <c r="AY115" s="1"/>
      <c r="BA115" s="1"/>
      <c r="BM115" s="1"/>
      <c r="BN115" s="1"/>
      <c r="DC115" s="1"/>
    </row>
    <row r="116" spans="1:107" ht="15.75" customHeight="1" x14ac:dyDescent="0.25">
      <c r="A116" s="1"/>
      <c r="B116" s="3"/>
      <c r="C116" s="1"/>
      <c r="D116" s="1"/>
      <c r="N116" s="1"/>
      <c r="W116" s="1"/>
      <c r="X116" s="1"/>
      <c r="Y116" s="1"/>
      <c r="Z116" s="1"/>
      <c r="AA116" s="1"/>
      <c r="AB116" s="1"/>
      <c r="AI116" s="1"/>
      <c r="AK116" s="1"/>
      <c r="AU116" s="1"/>
      <c r="AV116" s="1"/>
      <c r="AW116" s="1"/>
      <c r="AX116" s="1"/>
      <c r="AY116" s="1"/>
      <c r="BA116" s="1"/>
      <c r="BM116" s="1"/>
      <c r="BN116" s="1"/>
      <c r="DC116" s="1"/>
    </row>
    <row r="117" spans="1:107" ht="15.75" customHeight="1" x14ac:dyDescent="0.25">
      <c r="A117" s="1"/>
      <c r="B117" s="3"/>
      <c r="C117" s="1"/>
      <c r="D117" s="1"/>
      <c r="N117" s="1"/>
      <c r="V117" s="1"/>
      <c r="W117" s="1"/>
      <c r="X117" s="1"/>
      <c r="Y117" s="1"/>
      <c r="Z117" s="1"/>
      <c r="AA117" s="1"/>
      <c r="AB117" s="1"/>
      <c r="AI117" s="1"/>
      <c r="AJ117" s="1"/>
      <c r="AK117" s="1"/>
      <c r="AU117" s="1"/>
      <c r="AV117" s="1"/>
      <c r="AW117" s="1"/>
      <c r="AX117" s="1"/>
      <c r="AY117" s="1"/>
      <c r="BA117" s="1"/>
      <c r="BM117" s="1"/>
      <c r="BN117" s="1"/>
      <c r="DC117" s="1"/>
    </row>
    <row r="118" spans="1:107" ht="15.75" customHeight="1" x14ac:dyDescent="0.25">
      <c r="A118" s="1"/>
      <c r="B118" s="3"/>
      <c r="C118" s="1"/>
      <c r="D118" s="1"/>
      <c r="N118" s="1"/>
      <c r="V118" s="1"/>
      <c r="W118" s="1"/>
      <c r="X118" s="1"/>
      <c r="Y118" s="1"/>
      <c r="Z118" s="1"/>
      <c r="AA118" s="1"/>
      <c r="AI118" s="1"/>
      <c r="AK118" s="1"/>
      <c r="AU118" s="1"/>
      <c r="AV118" s="1"/>
      <c r="AW118" s="1"/>
      <c r="AX118" s="1"/>
      <c r="AY118" s="1"/>
      <c r="AZ118" s="1"/>
      <c r="BA118" s="1"/>
    </row>
    <row r="119" spans="1:107" ht="15.75" customHeight="1" x14ac:dyDescent="0.25">
      <c r="A119" s="1"/>
      <c r="B119" s="3"/>
      <c r="C119" s="1"/>
      <c r="D119" s="1"/>
      <c r="N119" s="1"/>
      <c r="V119" s="1"/>
      <c r="W119" s="1"/>
      <c r="X119" s="1"/>
      <c r="Y119" s="1"/>
      <c r="Z119" s="1"/>
      <c r="AA119" s="1"/>
      <c r="AB119" s="1"/>
      <c r="AI119" s="1"/>
      <c r="AJ119" s="1"/>
      <c r="AK119" s="1"/>
      <c r="AU119" s="1"/>
      <c r="AV119" s="1"/>
      <c r="AW119" s="1"/>
      <c r="AX119" s="1"/>
      <c r="AY119" s="1"/>
      <c r="BA119" s="1"/>
      <c r="BM119" s="1"/>
      <c r="BN119" s="1"/>
      <c r="DC119" s="1"/>
    </row>
    <row r="120" spans="1:107" ht="15.75" customHeight="1" x14ac:dyDescent="0.25">
      <c r="A120" s="1"/>
      <c r="B120" s="3"/>
      <c r="C120" s="1"/>
      <c r="D120" s="1"/>
      <c r="N120" s="1"/>
      <c r="W120" s="1"/>
      <c r="X120" s="1"/>
      <c r="Y120" s="1"/>
      <c r="Z120" s="1"/>
      <c r="AA120" s="1"/>
      <c r="AB120" s="1"/>
      <c r="AI120" s="1"/>
      <c r="AK120" s="1"/>
      <c r="AU120" s="1"/>
      <c r="AV120" s="1"/>
      <c r="AW120" s="1"/>
      <c r="AX120" s="1"/>
      <c r="AY120" s="1"/>
      <c r="BA120" s="1"/>
      <c r="BM120" s="1"/>
      <c r="BN120" s="1"/>
      <c r="DC120" s="1"/>
    </row>
    <row r="121" spans="1:107" ht="15.75" customHeight="1" x14ac:dyDescent="0.25">
      <c r="A121" s="1"/>
      <c r="B121" s="3"/>
      <c r="C121" s="1"/>
      <c r="D121" s="1"/>
      <c r="N121" s="1"/>
      <c r="W121" s="1"/>
      <c r="X121" s="1"/>
      <c r="Y121" s="1"/>
      <c r="Z121" s="1"/>
      <c r="AA121" s="1"/>
      <c r="AB121" s="1"/>
      <c r="AI121" s="1"/>
      <c r="AJ121" s="1"/>
      <c r="AK121" s="1"/>
      <c r="AU121" s="1"/>
      <c r="AV121" s="1"/>
      <c r="AW121" s="1"/>
      <c r="AX121" s="1"/>
      <c r="AY121" s="1"/>
      <c r="BA121" s="1"/>
      <c r="BM121" s="1"/>
      <c r="BN121" s="1"/>
      <c r="BV121" s="1"/>
      <c r="DC121" s="1"/>
    </row>
    <row r="122" spans="1:107" ht="15.75" customHeight="1" x14ac:dyDescent="0.25">
      <c r="A122" s="1"/>
      <c r="B122" s="3"/>
      <c r="C122" s="1"/>
      <c r="D122" s="1"/>
      <c r="N122" s="1"/>
      <c r="V122" s="1"/>
      <c r="W122" s="1"/>
      <c r="X122" s="1"/>
      <c r="Y122" s="1"/>
      <c r="Z122" s="1"/>
      <c r="AA122" s="1"/>
      <c r="AB122" s="1"/>
      <c r="AI122" s="1"/>
      <c r="AK122" s="1"/>
      <c r="AU122" s="1"/>
      <c r="AV122" s="1"/>
      <c r="AW122" s="1"/>
      <c r="AX122" s="1"/>
      <c r="AY122" s="1"/>
      <c r="BA122" s="1"/>
      <c r="BM122" s="1"/>
      <c r="BN122" s="1"/>
      <c r="DC122" s="1"/>
    </row>
    <row r="123" spans="1:107" ht="15.75" customHeight="1" x14ac:dyDescent="0.25">
      <c r="A123" s="1"/>
      <c r="B123" s="3"/>
      <c r="C123" s="1"/>
      <c r="D123" s="1"/>
      <c r="N123" s="1"/>
      <c r="W123" s="1"/>
      <c r="X123" s="1"/>
      <c r="Y123" s="1"/>
      <c r="Z123" s="1"/>
      <c r="AA123" s="1"/>
      <c r="AB123" s="1"/>
      <c r="AI123" s="1"/>
      <c r="AK123" s="1"/>
      <c r="AU123" s="1"/>
      <c r="AV123" s="1"/>
      <c r="AW123" s="1"/>
      <c r="AX123" s="1"/>
      <c r="AY123" s="1"/>
      <c r="BA123" s="1"/>
      <c r="BM123" s="1"/>
      <c r="BN123" s="1"/>
      <c r="DC123" s="1"/>
    </row>
    <row r="124" spans="1:107" ht="15.75" customHeight="1" x14ac:dyDescent="0.25">
      <c r="A124" s="1"/>
      <c r="B124" s="3"/>
      <c r="C124" s="1"/>
      <c r="D124" s="1"/>
      <c r="N124" s="1"/>
      <c r="W124" s="1"/>
      <c r="X124" s="1"/>
      <c r="Y124" s="1"/>
      <c r="Z124" s="1"/>
      <c r="AA124" s="1"/>
      <c r="AB124" s="1"/>
      <c r="AI124" s="1"/>
      <c r="AK124" s="1"/>
      <c r="AU124" s="1"/>
      <c r="AV124" s="1"/>
      <c r="AW124" s="1"/>
      <c r="AX124" s="1"/>
      <c r="AY124" s="1"/>
      <c r="BA124" s="1"/>
      <c r="BM124" s="1"/>
      <c r="BN124" s="1"/>
      <c r="DC124" s="1"/>
    </row>
    <row r="125" spans="1:107" ht="15.75" customHeight="1" x14ac:dyDescent="0.25">
      <c r="A125" s="1"/>
      <c r="B125" s="3"/>
      <c r="C125" s="1"/>
      <c r="D125" s="1"/>
      <c r="N125" s="1"/>
      <c r="V125" s="1"/>
      <c r="W125" s="1"/>
      <c r="X125" s="1"/>
      <c r="Y125" s="1"/>
      <c r="Z125" s="1"/>
      <c r="AA125" s="1"/>
      <c r="AB125" s="1"/>
      <c r="AI125" s="1"/>
      <c r="AJ125" s="1"/>
      <c r="AK125" s="1"/>
      <c r="AU125" s="1"/>
      <c r="AV125" s="1"/>
      <c r="AW125" s="1"/>
      <c r="AX125" s="1"/>
      <c r="AY125" s="1"/>
      <c r="AZ125" s="1"/>
      <c r="BA125" s="1"/>
      <c r="DC125" s="1"/>
    </row>
    <row r="126" spans="1:107" ht="15.75" customHeight="1" x14ac:dyDescent="0.25">
      <c r="A126" s="1"/>
      <c r="B126" s="3"/>
      <c r="C126" s="1"/>
      <c r="D126" s="1"/>
      <c r="N126" s="1"/>
      <c r="V126" s="1"/>
      <c r="W126" s="1"/>
      <c r="X126" s="1"/>
      <c r="Y126" s="1"/>
      <c r="Z126" s="1"/>
      <c r="AA126" s="1"/>
      <c r="AB126" s="1"/>
      <c r="AI126" s="1"/>
      <c r="AK126" s="1"/>
      <c r="AU126" s="1"/>
      <c r="AV126" s="1"/>
      <c r="AW126" s="1"/>
      <c r="AX126" s="1"/>
      <c r="AY126" s="1"/>
      <c r="BA126" s="1"/>
      <c r="BM126" s="1"/>
      <c r="BN126" s="1"/>
      <c r="CH126" s="1"/>
      <c r="CJ126" s="1"/>
      <c r="CL126" s="1"/>
      <c r="DC126" s="1"/>
    </row>
    <row r="127" spans="1:107" ht="15.75" customHeight="1" x14ac:dyDescent="0.25">
      <c r="A127" s="1"/>
      <c r="B127" s="3"/>
      <c r="C127" s="1"/>
      <c r="D127" s="1"/>
      <c r="N127" s="1"/>
      <c r="W127" s="1"/>
      <c r="X127" s="1"/>
      <c r="Y127" s="1"/>
      <c r="Z127" s="1"/>
      <c r="AA127" s="1"/>
      <c r="AI127" s="1"/>
      <c r="AV127" s="1"/>
      <c r="AW127" s="1"/>
      <c r="AX127" s="1"/>
    </row>
    <row r="128" spans="1:107" ht="15.75" customHeight="1" x14ac:dyDescent="0.25">
      <c r="A128" s="1"/>
      <c r="B128" s="3"/>
      <c r="C128" s="1"/>
      <c r="D128" s="1"/>
      <c r="N128" s="1"/>
      <c r="V128" s="1"/>
      <c r="W128" s="1"/>
      <c r="X128" s="1"/>
      <c r="Y128" s="1"/>
      <c r="Z128" s="1"/>
      <c r="AA128" s="1"/>
      <c r="AB128" s="1"/>
      <c r="AI128" s="1"/>
      <c r="AK128" s="1"/>
      <c r="AU128" s="1"/>
      <c r="AV128" s="1"/>
      <c r="AW128" s="1"/>
      <c r="AX128" s="1"/>
      <c r="AY128" s="1"/>
      <c r="BA128" s="1"/>
      <c r="BM128" s="1"/>
      <c r="BN128" s="1"/>
      <c r="BY128" s="1"/>
      <c r="BZ128" s="1"/>
      <c r="CM128" s="1"/>
      <c r="CQ128" s="1"/>
      <c r="DC128" s="1"/>
    </row>
    <row r="129" spans="1:107" ht="15.75" customHeight="1" x14ac:dyDescent="0.25">
      <c r="A129" s="1"/>
      <c r="B129" s="3"/>
      <c r="C129" s="1"/>
      <c r="D129" s="1"/>
      <c r="N129" s="1"/>
      <c r="W129" s="1"/>
      <c r="X129" s="1"/>
      <c r="Y129" s="1"/>
      <c r="Z129" s="1"/>
      <c r="AA129" s="1"/>
      <c r="AB129" s="1"/>
      <c r="AI129" s="1"/>
      <c r="AK129" s="1"/>
      <c r="AU129" s="1"/>
      <c r="AV129" s="1"/>
      <c r="AW129" s="1"/>
      <c r="AX129" s="1"/>
      <c r="AY129" s="1"/>
      <c r="BA129" s="1"/>
      <c r="BM129" s="1"/>
      <c r="BN129" s="1"/>
      <c r="CH129" s="1"/>
      <c r="CJ129" s="1"/>
      <c r="CL129" s="1"/>
      <c r="CR129" s="1"/>
      <c r="DC129" s="1"/>
    </row>
    <row r="130" spans="1:107" ht="15.75" customHeight="1" x14ac:dyDescent="0.25">
      <c r="A130" s="1"/>
      <c r="B130" s="3"/>
      <c r="C130" s="1"/>
      <c r="D130" s="1"/>
      <c r="N130" s="1"/>
      <c r="V130" s="1"/>
      <c r="W130" s="1"/>
      <c r="X130" s="1"/>
      <c r="Y130" s="1"/>
      <c r="Z130" s="1"/>
      <c r="AA130" s="1"/>
      <c r="AB130" s="1"/>
      <c r="AI130" s="1"/>
      <c r="AK130" s="1"/>
      <c r="AU130" s="1"/>
      <c r="AV130" s="1"/>
      <c r="AW130" s="1"/>
      <c r="AX130" s="1"/>
      <c r="AY130" s="1"/>
      <c r="BA130" s="1"/>
      <c r="BM130" s="1"/>
      <c r="BN130" s="1"/>
      <c r="BW130" s="1"/>
      <c r="BY130" s="1"/>
      <c r="BZ130" s="1"/>
      <c r="CM130" s="1"/>
      <c r="CQ130" s="1"/>
      <c r="CR130" s="1"/>
      <c r="CT130" s="1"/>
      <c r="DC130" s="1"/>
    </row>
    <row r="131" spans="1:107" ht="15.75" customHeight="1" x14ac:dyDescent="0.25">
      <c r="A131" s="1"/>
      <c r="B131" s="3"/>
      <c r="C131" s="1"/>
      <c r="D131" s="1"/>
      <c r="N131" s="1"/>
      <c r="W131" s="1"/>
      <c r="X131" s="1"/>
      <c r="Y131" s="1"/>
      <c r="Z131" s="1"/>
      <c r="AA131" s="1"/>
      <c r="AB131" s="1"/>
      <c r="AI131" s="1"/>
      <c r="AK131" s="1"/>
      <c r="AU131" s="1"/>
      <c r="AV131" s="1"/>
      <c r="AW131" s="1"/>
      <c r="AX131" s="1"/>
      <c r="AY131" s="1"/>
      <c r="BA131" s="1"/>
      <c r="BM131" s="1"/>
      <c r="BN131" s="1"/>
      <c r="CH131" s="1"/>
      <c r="CI131" s="1"/>
      <c r="CJ131" s="1"/>
      <c r="CK131" s="1"/>
      <c r="CL131" s="1"/>
      <c r="DC131" s="1"/>
    </row>
    <row r="132" spans="1:107" ht="15.75" customHeight="1" x14ac:dyDescent="0.25">
      <c r="A132" s="1"/>
      <c r="B132" s="3"/>
      <c r="C132" s="1"/>
      <c r="D132" s="1"/>
      <c r="N132" s="1"/>
      <c r="W132" s="1"/>
      <c r="X132" s="1"/>
      <c r="Y132" s="1"/>
      <c r="Z132" s="1"/>
      <c r="AA132" s="1"/>
      <c r="AB132" s="1"/>
      <c r="AI132" s="1"/>
      <c r="AK132" s="1"/>
      <c r="AU132" s="1"/>
      <c r="AV132" s="1"/>
      <c r="AW132" s="1"/>
      <c r="AX132" s="1"/>
      <c r="AY132" s="1"/>
      <c r="AZ132" s="1"/>
      <c r="BA132" s="1"/>
      <c r="CR132" s="1"/>
      <c r="CT132" s="1"/>
      <c r="DC132" s="1"/>
    </row>
    <row r="133" spans="1:107" ht="15.75" customHeight="1" x14ac:dyDescent="0.25">
      <c r="A133" s="1"/>
      <c r="B133" s="3"/>
      <c r="C133" s="1"/>
      <c r="D133" s="1"/>
      <c r="M133" s="1"/>
      <c r="N133" s="1"/>
      <c r="V133" s="1"/>
      <c r="W133" s="1"/>
      <c r="X133" s="1"/>
      <c r="Y133" s="1"/>
      <c r="Z133" s="1"/>
      <c r="AA133" s="1"/>
      <c r="AB133" s="1"/>
      <c r="AI133" s="1"/>
      <c r="AK133" s="1"/>
      <c r="AU133" s="1"/>
      <c r="AV133" s="1"/>
      <c r="AW133" s="1"/>
      <c r="AX133" s="1"/>
      <c r="AY133" s="1"/>
      <c r="BA133" s="1"/>
      <c r="BM133" s="1"/>
      <c r="BN133" s="1"/>
      <c r="DC133" s="1"/>
    </row>
    <row r="134" spans="1:107" ht="15.75" customHeight="1" x14ac:dyDescent="0.25">
      <c r="A134" s="1"/>
      <c r="B134" s="3"/>
      <c r="C134" s="1"/>
      <c r="D134" s="1"/>
      <c r="N134" s="1"/>
      <c r="V134" s="1"/>
      <c r="W134" s="1"/>
      <c r="X134" s="1"/>
      <c r="Y134" s="1"/>
      <c r="Z134" s="1"/>
      <c r="AA134" s="1"/>
      <c r="AB134" s="1"/>
      <c r="AI134" s="1"/>
      <c r="AK134" s="1"/>
      <c r="AU134" s="1"/>
      <c r="AV134" s="1"/>
      <c r="AW134" s="1"/>
      <c r="AX134" s="1"/>
      <c r="AY134" s="1"/>
      <c r="BA134" s="1"/>
      <c r="BM134" s="1"/>
      <c r="BN134" s="1"/>
      <c r="CH134" s="1"/>
      <c r="CI134" s="1"/>
      <c r="CJ134" s="1"/>
      <c r="CL134" s="1"/>
      <c r="DC134" s="1"/>
    </row>
    <row r="135" spans="1:107" ht="15.75" customHeight="1" x14ac:dyDescent="0.25">
      <c r="A135" s="1"/>
      <c r="B135" s="3"/>
      <c r="C135" s="1"/>
      <c r="D135" s="1"/>
      <c r="N135" s="1"/>
      <c r="V135" s="1"/>
      <c r="W135" s="1"/>
      <c r="X135" s="1"/>
      <c r="Y135" s="1"/>
      <c r="Z135" s="1"/>
      <c r="AA135" s="1"/>
      <c r="AB135" s="1"/>
      <c r="AI135" s="1"/>
      <c r="AK135" s="1"/>
      <c r="AU135" s="1"/>
      <c r="AV135" s="1"/>
      <c r="AW135" s="1"/>
      <c r="AX135" s="1"/>
      <c r="AY135" s="1"/>
      <c r="BA135" s="1"/>
      <c r="BM135" s="1"/>
      <c r="BN135" s="1"/>
      <c r="BW135" s="1"/>
      <c r="CM135" s="1"/>
      <c r="CQ135" s="1"/>
      <c r="DC135" s="1"/>
    </row>
    <row r="136" spans="1:107" ht="15.75" customHeight="1" x14ac:dyDescent="0.25">
      <c r="A136" s="1"/>
      <c r="B136" s="3"/>
      <c r="C136" s="1"/>
      <c r="D136" s="1"/>
      <c r="N136" s="1"/>
      <c r="O136" s="1"/>
      <c r="P136" s="1"/>
      <c r="Q136" s="1"/>
      <c r="R136" s="1"/>
      <c r="S136" s="1"/>
      <c r="T136" s="1"/>
      <c r="W136" s="1"/>
      <c r="X136" s="1"/>
      <c r="Y136" s="1"/>
      <c r="Z136" s="1"/>
      <c r="AA136" s="1"/>
      <c r="AI136" s="1"/>
      <c r="AV136" s="1"/>
      <c r="AW136" s="1"/>
      <c r="AX136" s="1"/>
    </row>
    <row r="137" spans="1:107" ht="15.75" customHeight="1" x14ac:dyDescent="0.25">
      <c r="A137" s="1"/>
      <c r="B137" s="3"/>
      <c r="C137" s="1"/>
      <c r="D137" s="1"/>
      <c r="N137" s="1"/>
      <c r="O137" s="1"/>
      <c r="P137" s="1"/>
      <c r="Q137" s="1"/>
      <c r="R137" s="1"/>
      <c r="S137" s="1"/>
      <c r="T137" s="1"/>
      <c r="W137" s="1"/>
      <c r="X137" s="1"/>
      <c r="Y137" s="1"/>
      <c r="Z137" s="1"/>
      <c r="AA137" s="1"/>
      <c r="AI137" s="1"/>
      <c r="AV137" s="1"/>
      <c r="AW137" s="1"/>
      <c r="AX137" s="1"/>
    </row>
    <row r="138" spans="1:107" ht="15.75" customHeight="1" x14ac:dyDescent="0.25">
      <c r="A138" s="1"/>
      <c r="B138" s="3"/>
      <c r="C138" s="1"/>
      <c r="D138" s="1"/>
      <c r="N138" s="1"/>
      <c r="O138" s="1"/>
      <c r="P138" s="1"/>
      <c r="Q138" s="1"/>
      <c r="R138" s="1"/>
      <c r="S138" s="1"/>
      <c r="T138" s="1"/>
      <c r="W138" s="1"/>
      <c r="X138" s="1"/>
      <c r="Y138" s="1"/>
      <c r="Z138" s="1"/>
      <c r="AA138" s="1"/>
      <c r="AI138" s="1"/>
      <c r="AV138" s="1"/>
      <c r="AW138" s="1"/>
      <c r="AX138" s="1"/>
    </row>
    <row r="139" spans="1:107" ht="15.75" customHeight="1" x14ac:dyDescent="0.25">
      <c r="A139" s="1"/>
      <c r="B139" s="3"/>
      <c r="C139" s="1"/>
      <c r="D139" s="1"/>
      <c r="N139" s="1"/>
      <c r="O139" s="1"/>
      <c r="P139" s="1"/>
      <c r="Q139" s="1"/>
      <c r="R139" s="1"/>
      <c r="S139" s="1"/>
      <c r="T139" s="1"/>
      <c r="W139" s="1"/>
      <c r="X139" s="1"/>
      <c r="Y139" s="1"/>
      <c r="Z139" s="1"/>
      <c r="AA139" s="1"/>
      <c r="AI139" s="1"/>
      <c r="AV139" s="1"/>
      <c r="AW139" s="1"/>
      <c r="AX139" s="1"/>
    </row>
    <row r="140" spans="1:107" ht="15.75" customHeight="1" x14ac:dyDescent="0.25">
      <c r="A140" s="1"/>
      <c r="B140" s="3"/>
      <c r="C140" s="1"/>
      <c r="D140" s="1"/>
      <c r="N140" s="1"/>
      <c r="O140" s="1"/>
      <c r="P140" s="1"/>
      <c r="Q140" s="1"/>
      <c r="R140" s="1"/>
      <c r="S140" s="1"/>
      <c r="T140" s="1"/>
      <c r="W140" s="1"/>
      <c r="X140" s="1"/>
      <c r="Y140" s="1"/>
      <c r="Z140" s="1"/>
      <c r="AA140" s="1"/>
      <c r="AI140" s="1"/>
      <c r="AV140" s="1"/>
      <c r="AW140" s="1"/>
      <c r="AX140" s="1"/>
    </row>
    <row r="141" spans="1:107" ht="15.75" customHeight="1" x14ac:dyDescent="0.25">
      <c r="A141" s="1"/>
      <c r="B141" s="3"/>
      <c r="C141" s="1"/>
      <c r="D141" s="1"/>
      <c r="N141" s="1"/>
      <c r="O141" s="1"/>
      <c r="P141" s="1"/>
      <c r="Q141" s="1"/>
      <c r="R141" s="1"/>
      <c r="S141" s="1"/>
      <c r="T141" s="1"/>
      <c r="W141" s="1"/>
      <c r="X141" s="1"/>
      <c r="Y141" s="1"/>
      <c r="Z141" s="1"/>
      <c r="AA141" s="1"/>
      <c r="AI141" s="1"/>
      <c r="AV141" s="1"/>
      <c r="AW141" s="1"/>
      <c r="AX141" s="1"/>
    </row>
    <row r="142" spans="1:107" ht="15.75" customHeight="1" x14ac:dyDescent="0.25">
      <c r="A142" s="1"/>
      <c r="B142" s="3"/>
      <c r="C142" s="1"/>
      <c r="D142" s="1"/>
      <c r="N142" s="1"/>
      <c r="O142" s="1"/>
      <c r="P142" s="1"/>
      <c r="Q142" s="1"/>
      <c r="R142" s="1"/>
      <c r="S142" s="1"/>
      <c r="T142" s="1"/>
      <c r="W142" s="1"/>
      <c r="X142" s="1"/>
      <c r="Y142" s="1"/>
      <c r="Z142" s="1"/>
      <c r="AA142" s="1"/>
      <c r="AI142" s="1"/>
      <c r="AV142" s="1"/>
      <c r="AW142" s="1"/>
      <c r="AX142" s="1"/>
    </row>
    <row r="143" spans="1:107" ht="15.75" customHeight="1" x14ac:dyDescent="0.25">
      <c r="A143" s="1"/>
      <c r="B143" s="3"/>
      <c r="C143" s="1"/>
      <c r="D143" s="1"/>
      <c r="M143" s="1"/>
      <c r="N143" s="1"/>
      <c r="O143" s="1"/>
      <c r="P143" s="1"/>
      <c r="Q143" s="1"/>
      <c r="R143" s="1"/>
      <c r="S143" s="1"/>
      <c r="T143" s="1"/>
      <c r="U143" s="1"/>
      <c r="W143" s="1"/>
      <c r="X143" s="1"/>
      <c r="Y143" s="1"/>
      <c r="Z143" s="1"/>
      <c r="AA143" s="1"/>
      <c r="AB143" s="1"/>
      <c r="AI143" s="1"/>
      <c r="AJ143" s="1"/>
      <c r="AV143" s="1"/>
      <c r="AW143" s="1"/>
      <c r="AX143" s="1"/>
      <c r="BA143" s="1"/>
      <c r="BL143" s="1"/>
      <c r="DC143" s="1"/>
    </row>
    <row r="144" spans="1:107" ht="15.75" customHeight="1" x14ac:dyDescent="0.25">
      <c r="A144" s="1"/>
      <c r="B144" s="3"/>
      <c r="C144" s="1"/>
      <c r="D144" s="1"/>
      <c r="N144" s="1"/>
      <c r="O144" s="1"/>
      <c r="P144" s="1"/>
      <c r="Q144" s="1"/>
      <c r="R144" s="1"/>
      <c r="S144" s="1"/>
      <c r="T144" s="1"/>
      <c r="V144" s="1"/>
      <c r="W144" s="1"/>
      <c r="X144" s="1"/>
      <c r="Y144" s="1"/>
      <c r="Z144" s="1"/>
      <c r="AA144" s="1"/>
      <c r="AI144" s="1"/>
      <c r="AK144" s="1"/>
      <c r="AU144" s="1"/>
      <c r="AV144" s="1"/>
      <c r="AW144" s="1"/>
      <c r="AX144" s="1"/>
      <c r="AY144" s="1"/>
      <c r="BM144" s="1"/>
      <c r="CH144" s="1"/>
      <c r="CJ144" s="1"/>
      <c r="CL144" s="1"/>
    </row>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3:A144">
    <cfRule type="cellIs" dxfId="27" priority="1" operator="equal">
      <formula>"FALSE"</formula>
    </cfRule>
    <cfRule type="expression" dxfId="26" priority="2">
      <formula>D1:D146="Game Enthusiast or Collector"</formula>
    </cfRule>
  </conditionalFormatting>
  <conditionalFormatting sqref="W3:AA144">
    <cfRule type="cellIs" dxfId="25" priority="3" operator="equal">
      <formula>"False"</formula>
    </cfRule>
    <cfRule type="cellIs" dxfId="24" priority="4" operator="equal">
      <formula>"True"</formula>
    </cfRule>
  </conditionalFormatting>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C1000"/>
  <sheetViews>
    <sheetView topLeftCell="CC1" workbookViewId="0">
      <pane ySplit="2" topLeftCell="A5" activePane="bottomLeft" state="frozen"/>
      <selection pane="bottomLeft" activeCell="CB28" activeCellId="7" sqref="A8:XFD8 A10:XFD10 A11:XFD11 A14:XFD14 A19:XFD19 A18:XFD18 A24:XFD24 A28:XFD28"/>
    </sheetView>
  </sheetViews>
  <sheetFormatPr defaultColWidth="12.6640625" defaultRowHeight="15" customHeight="1" x14ac:dyDescent="0.25"/>
  <cols>
    <col min="1" max="4" width="12.6640625" customWidth="1"/>
    <col min="5" max="5" width="3" customWidth="1"/>
    <col min="6" max="6" width="2.77734375" customWidth="1"/>
    <col min="7" max="12" width="3" customWidth="1"/>
    <col min="86" max="86" width="18.77734375" customWidth="1"/>
    <col min="87" max="87" width="15.21875" customWidth="1"/>
    <col min="88" max="88" width="83.5546875" customWidth="1"/>
    <col min="89" max="89" width="12.44140625" customWidth="1"/>
  </cols>
  <sheetData>
    <row r="1" spans="1:107" ht="15.75" customHeight="1" x14ac:dyDescent="0.2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ht="15.75" customHeight="1" x14ac:dyDescent="0.25">
      <c r="A2" s="1" t="s">
        <v>0</v>
      </c>
      <c r="B2" s="1" t="s">
        <v>107</v>
      </c>
      <c r="C2" s="1" t="s">
        <v>108</v>
      </c>
      <c r="D2" s="1" t="s">
        <v>109</v>
      </c>
      <c r="E2" s="1"/>
      <c r="F2" s="1"/>
      <c r="G2" s="1"/>
      <c r="H2" s="1"/>
      <c r="I2" s="1"/>
      <c r="J2" s="1"/>
      <c r="K2" s="1"/>
      <c r="L2" s="1"/>
      <c r="M2" s="1" t="s">
        <v>110</v>
      </c>
      <c r="N2" s="1" t="s">
        <v>111</v>
      </c>
      <c r="O2" s="1"/>
      <c r="P2" s="1"/>
      <c r="Q2" s="1"/>
      <c r="R2" s="1"/>
      <c r="S2" s="1"/>
      <c r="T2" s="1"/>
      <c r="U2" s="1" t="s">
        <v>112</v>
      </c>
      <c r="V2" s="1" t="s">
        <v>113</v>
      </c>
      <c r="W2" s="1"/>
      <c r="X2" s="1"/>
      <c r="Y2" s="1"/>
      <c r="Z2" s="1"/>
      <c r="AA2" s="1"/>
      <c r="AB2" s="1" t="s">
        <v>114</v>
      </c>
      <c r="AC2" s="1"/>
      <c r="AD2" s="1"/>
      <c r="AE2" s="1"/>
      <c r="AF2" s="1"/>
      <c r="AG2" s="1"/>
      <c r="AH2" s="1"/>
      <c r="AI2" s="1"/>
      <c r="AJ2" s="1" t="s">
        <v>115</v>
      </c>
      <c r="AK2" s="1" t="s">
        <v>116</v>
      </c>
      <c r="AL2" s="1"/>
      <c r="AM2" s="1"/>
      <c r="AN2" s="1"/>
      <c r="AO2" s="1"/>
      <c r="AP2" s="1"/>
      <c r="AQ2" s="1"/>
      <c r="AR2" s="1"/>
      <c r="AS2" s="1"/>
      <c r="AT2" s="1" t="s">
        <v>117</v>
      </c>
      <c r="AU2" s="1" t="s">
        <v>118</v>
      </c>
      <c r="AV2" s="1"/>
      <c r="AW2" s="1"/>
      <c r="AX2" s="1"/>
      <c r="AY2" s="1" t="s">
        <v>119</v>
      </c>
      <c r="AZ2" s="1" t="s">
        <v>120</v>
      </c>
      <c r="BA2" s="1" t="s">
        <v>121</v>
      </c>
      <c r="BB2" s="1"/>
      <c r="BC2" s="1"/>
      <c r="BD2" s="1"/>
      <c r="BE2" s="1"/>
      <c r="BF2" s="1"/>
      <c r="BG2" s="1"/>
      <c r="BH2" s="1"/>
      <c r="BI2" s="1"/>
      <c r="BJ2" s="1"/>
      <c r="BK2" s="1"/>
      <c r="BL2" s="1" t="s">
        <v>122</v>
      </c>
      <c r="BM2" s="1" t="s">
        <v>123</v>
      </c>
      <c r="BN2" s="1" t="s">
        <v>124</v>
      </c>
      <c r="BO2" s="1"/>
      <c r="BP2" s="1"/>
      <c r="BQ2" s="1"/>
      <c r="BR2" s="1"/>
      <c r="BS2" s="1"/>
      <c r="BT2" s="1"/>
      <c r="BU2" s="1"/>
      <c r="BV2" s="1" t="s">
        <v>125</v>
      </c>
      <c r="BW2" s="1" t="s">
        <v>126</v>
      </c>
      <c r="BX2" s="1" t="s">
        <v>127</v>
      </c>
      <c r="BY2" s="1" t="s">
        <v>128</v>
      </c>
      <c r="BZ2" s="1" t="s">
        <v>129</v>
      </c>
      <c r="CA2" s="1" t="s">
        <v>130</v>
      </c>
      <c r="CB2" s="1" t="s">
        <v>131</v>
      </c>
      <c r="CC2" s="1" t="s">
        <v>132</v>
      </c>
      <c r="CD2" s="1" t="s">
        <v>133</v>
      </c>
      <c r="CE2" s="1" t="s">
        <v>134</v>
      </c>
      <c r="CF2" s="1" t="s">
        <v>135</v>
      </c>
      <c r="CG2" s="1" t="s">
        <v>136</v>
      </c>
      <c r="CH2" s="1" t="s">
        <v>137</v>
      </c>
      <c r="CI2" s="1" t="s">
        <v>138</v>
      </c>
      <c r="CJ2" s="1" t="s">
        <v>139</v>
      </c>
      <c r="CK2" s="1" t="s">
        <v>140</v>
      </c>
      <c r="CL2" s="1" t="s">
        <v>141</v>
      </c>
      <c r="CM2" s="1" t="s">
        <v>142</v>
      </c>
      <c r="CN2" s="1" t="s">
        <v>143</v>
      </c>
      <c r="CO2" s="1" t="s">
        <v>144</v>
      </c>
      <c r="CP2" s="1" t="s">
        <v>145</v>
      </c>
      <c r="CQ2" s="1" t="s">
        <v>146</v>
      </c>
      <c r="CR2" s="1" t="s">
        <v>147</v>
      </c>
      <c r="CS2" s="1" t="s">
        <v>148</v>
      </c>
      <c r="CT2" s="1" t="s">
        <v>149</v>
      </c>
      <c r="CU2" s="1" t="s">
        <v>150</v>
      </c>
      <c r="CV2" s="1" t="s">
        <v>151</v>
      </c>
      <c r="CW2" s="1" t="s">
        <v>152</v>
      </c>
      <c r="CX2" s="1" t="s">
        <v>153</v>
      </c>
      <c r="CY2" s="1" t="s">
        <v>154</v>
      </c>
      <c r="CZ2" s="1" t="s">
        <v>155</v>
      </c>
      <c r="DA2" s="1" t="s">
        <v>156</v>
      </c>
      <c r="DB2" s="1" t="s">
        <v>152</v>
      </c>
      <c r="DC2" s="1" t="s">
        <v>157</v>
      </c>
    </row>
    <row r="3" spans="1:107" ht="15.75" customHeight="1" x14ac:dyDescent="0.25">
      <c r="A3" s="1" t="b">
        <v>1</v>
      </c>
      <c r="B3" s="3">
        <v>46165.302349537036</v>
      </c>
      <c r="C3" s="1" t="s">
        <v>602</v>
      </c>
      <c r="D3" s="1" t="s">
        <v>391</v>
      </c>
      <c r="E3" s="4">
        <f t="shared" ref="E3:K3" si="0">IF(ISNUMBER(SEARCH(E$1,$D3)), SEARCH(E$1,$D3), 0)</f>
        <v>1</v>
      </c>
      <c r="F3" s="4">
        <f t="shared" si="0"/>
        <v>30</v>
      </c>
      <c r="G3" s="4">
        <f t="shared" si="0"/>
        <v>105</v>
      </c>
      <c r="H3" s="4">
        <f t="shared" si="0"/>
        <v>161</v>
      </c>
      <c r="I3" s="4">
        <f t="shared" si="0"/>
        <v>199</v>
      </c>
      <c r="J3" s="4">
        <f t="shared" si="0"/>
        <v>231</v>
      </c>
      <c r="K3" s="4">
        <f t="shared" si="0"/>
        <v>268</v>
      </c>
      <c r="L3" s="4">
        <f t="shared" ref="L3:L28" si="1">(MAX(E3:K3))</f>
        <v>268</v>
      </c>
      <c r="N3" s="1" t="s">
        <v>505</v>
      </c>
      <c r="O3" s="4">
        <f t="shared" ref="O3:T3" si="2">IF(ISNUMBER(SEARCH(O$1,$N3)), 1, 0)</f>
        <v>1</v>
      </c>
      <c r="P3" s="4">
        <f t="shared" si="2"/>
        <v>1</v>
      </c>
      <c r="Q3" s="4">
        <f t="shared" si="2"/>
        <v>0</v>
      </c>
      <c r="R3" s="4">
        <f t="shared" si="2"/>
        <v>1</v>
      </c>
      <c r="S3" s="4">
        <f t="shared" si="2"/>
        <v>1</v>
      </c>
      <c r="T3" s="4">
        <f t="shared" si="2"/>
        <v>1</v>
      </c>
      <c r="W3" s="1" t="str">
        <f t="shared" ref="W3:AA12" si="3">IF(W$1=$V3, "True", "False")</f>
        <v>False</v>
      </c>
      <c r="X3" s="1" t="str">
        <f t="shared" si="3"/>
        <v>False</v>
      </c>
      <c r="Y3" s="1" t="str">
        <f t="shared" si="3"/>
        <v>False</v>
      </c>
      <c r="Z3" s="1" t="str">
        <f t="shared" si="3"/>
        <v>False</v>
      </c>
      <c r="AA3" s="1" t="str">
        <f t="shared" si="3"/>
        <v>False</v>
      </c>
      <c r="AB3" s="1" t="s">
        <v>603</v>
      </c>
      <c r="AC3" s="4">
        <f t="shared" ref="AC3:AH3" si="4">IF(ISNUMBER(SEARCH(AC$1,$AB3)), 1, 0)</f>
        <v>1</v>
      </c>
      <c r="AD3" s="4">
        <f t="shared" si="4"/>
        <v>1</v>
      </c>
      <c r="AE3" s="4">
        <f t="shared" si="4"/>
        <v>1</v>
      </c>
      <c r="AF3" s="4">
        <f t="shared" si="4"/>
        <v>1</v>
      </c>
      <c r="AG3" s="4">
        <f t="shared" si="4"/>
        <v>0</v>
      </c>
      <c r="AH3" s="4">
        <f t="shared" si="4"/>
        <v>1</v>
      </c>
      <c r="AI3" s="1">
        <f t="shared" ref="AI3:AI28" si="5">SUM(AC3:AH3)</f>
        <v>5</v>
      </c>
      <c r="AK3" s="1" t="s">
        <v>604</v>
      </c>
      <c r="AL3" s="4">
        <f t="shared" ref="AL3:AS3" si="6">IF(ISNUMBER(SEARCH(AL$1,$AK3)), 1, 0)</f>
        <v>1</v>
      </c>
      <c r="AM3" s="4">
        <f t="shared" si="6"/>
        <v>1</v>
      </c>
      <c r="AN3" s="4">
        <f t="shared" si="6"/>
        <v>1</v>
      </c>
      <c r="AO3" s="4">
        <f t="shared" si="6"/>
        <v>1</v>
      </c>
      <c r="AP3" s="4">
        <f t="shared" si="6"/>
        <v>1</v>
      </c>
      <c r="AQ3" s="4">
        <f t="shared" si="6"/>
        <v>1</v>
      </c>
      <c r="AR3" s="4">
        <f t="shared" si="6"/>
        <v>1</v>
      </c>
      <c r="AS3" s="4">
        <f t="shared" si="6"/>
        <v>1</v>
      </c>
      <c r="AU3" s="1" t="s">
        <v>48</v>
      </c>
      <c r="AV3" s="1">
        <f t="shared" ref="AV3:AV28" si="7">IF($AU3="No",1,0)</f>
        <v>0</v>
      </c>
      <c r="AW3" s="1">
        <f t="shared" ref="AW3:AW28" si="8">IF($AU3="Yes",1,0)</f>
        <v>1</v>
      </c>
      <c r="AX3" s="1">
        <f t="shared" ref="AX3:AX28" si="9">IF($AU3="Unsure",1,0)</f>
        <v>0</v>
      </c>
      <c r="AY3" s="1" t="s">
        <v>48</v>
      </c>
      <c r="BA3" s="1" t="s">
        <v>605</v>
      </c>
      <c r="BB3" s="4">
        <f t="shared" ref="BB3:BJ3" si="10">IF(ISNUMBER(SEARCH(BB$1,$BA3)), 1, 0)</f>
        <v>1</v>
      </c>
      <c r="BC3" s="4">
        <f t="shared" si="10"/>
        <v>1</v>
      </c>
      <c r="BD3" s="4">
        <f t="shared" si="10"/>
        <v>1</v>
      </c>
      <c r="BE3" s="4">
        <f t="shared" si="10"/>
        <v>1</v>
      </c>
      <c r="BF3" s="4">
        <f t="shared" si="10"/>
        <v>1</v>
      </c>
      <c r="BG3" s="4">
        <f t="shared" si="10"/>
        <v>1</v>
      </c>
      <c r="BH3" s="4">
        <f t="shared" si="10"/>
        <v>1</v>
      </c>
      <c r="BI3" s="4">
        <f t="shared" si="10"/>
        <v>1</v>
      </c>
      <c r="BJ3" s="4">
        <f t="shared" si="10"/>
        <v>1</v>
      </c>
      <c r="BK3" s="4">
        <f t="shared" ref="BK3:BK28" si="11">SUM(BB3:BJ3)</f>
        <v>9</v>
      </c>
      <c r="BO3" s="4">
        <f t="shared" ref="BO3:BU3" si="12">IF(ISNUMBER(SEARCH(BO$1,$BN3)), 1, 0)</f>
        <v>0</v>
      </c>
      <c r="BP3" s="4">
        <f t="shared" si="12"/>
        <v>0</v>
      </c>
      <c r="BQ3" s="4">
        <f t="shared" si="12"/>
        <v>0</v>
      </c>
      <c r="BR3" s="4">
        <f t="shared" si="12"/>
        <v>0</v>
      </c>
      <c r="BS3" s="4">
        <f t="shared" si="12"/>
        <v>0</v>
      </c>
      <c r="BT3" s="4">
        <f t="shared" si="12"/>
        <v>0</v>
      </c>
      <c r="BU3" s="4">
        <f t="shared" si="12"/>
        <v>0</v>
      </c>
      <c r="BZ3" s="1" t="s">
        <v>171</v>
      </c>
      <c r="CB3" s="1" t="s">
        <v>48</v>
      </c>
      <c r="CC3" s="1" t="s">
        <v>48</v>
      </c>
      <c r="CD3" s="1" t="s">
        <v>444</v>
      </c>
      <c r="CF3" s="1" t="s">
        <v>606</v>
      </c>
      <c r="CG3" s="1" t="s">
        <v>607</v>
      </c>
      <c r="CH3" s="1" t="s">
        <v>173</v>
      </c>
      <c r="CJ3" s="1" t="s">
        <v>608</v>
      </c>
      <c r="CL3" s="1" t="s">
        <v>352</v>
      </c>
      <c r="CM3" s="1" t="s">
        <v>48</v>
      </c>
      <c r="CN3" s="1" t="s">
        <v>609</v>
      </c>
      <c r="CU3" s="1" t="s">
        <v>178</v>
      </c>
      <c r="DC3" s="1" t="s">
        <v>238</v>
      </c>
    </row>
    <row r="4" spans="1:107" ht="15.75" customHeight="1" x14ac:dyDescent="0.25">
      <c r="A4" s="1" t="b">
        <v>1</v>
      </c>
      <c r="B4" s="3">
        <v>46161.275833333333</v>
      </c>
      <c r="C4" s="1" t="s">
        <v>424</v>
      </c>
      <c r="D4" s="1" t="s">
        <v>425</v>
      </c>
      <c r="E4" s="4">
        <f t="shared" ref="E4:K4" si="13">IF(ISNUMBER(SEARCH(E$1,$D4)), SEARCH(E$1,$D4), 0)</f>
        <v>1</v>
      </c>
      <c r="F4" s="4">
        <f t="shared" si="13"/>
        <v>30</v>
      </c>
      <c r="G4" s="4">
        <f t="shared" si="13"/>
        <v>105</v>
      </c>
      <c r="H4" s="4">
        <f t="shared" si="13"/>
        <v>161</v>
      </c>
      <c r="I4" s="4">
        <f t="shared" si="13"/>
        <v>199</v>
      </c>
      <c r="J4" s="4">
        <f t="shared" si="13"/>
        <v>231</v>
      </c>
      <c r="K4" s="4">
        <f t="shared" si="13"/>
        <v>268</v>
      </c>
      <c r="L4" s="4">
        <f t="shared" si="1"/>
        <v>268</v>
      </c>
      <c r="N4" s="1" t="s">
        <v>323</v>
      </c>
      <c r="O4" s="4">
        <f t="shared" ref="O4:T4" si="14">IF(ISNUMBER(SEARCH(O$1,$N4)), 1, 0)</f>
        <v>1</v>
      </c>
      <c r="P4" s="4">
        <f t="shared" si="14"/>
        <v>1</v>
      </c>
      <c r="Q4" s="4">
        <f t="shared" si="14"/>
        <v>1</v>
      </c>
      <c r="R4" s="4">
        <f t="shared" si="14"/>
        <v>1</v>
      </c>
      <c r="S4" s="4">
        <f t="shared" si="14"/>
        <v>0</v>
      </c>
      <c r="T4" s="4">
        <f t="shared" si="14"/>
        <v>1</v>
      </c>
      <c r="V4" s="1" t="s">
        <v>22</v>
      </c>
      <c r="W4" s="1" t="str">
        <f t="shared" si="3"/>
        <v>True</v>
      </c>
      <c r="X4" s="1" t="str">
        <f t="shared" si="3"/>
        <v>False</v>
      </c>
      <c r="Y4" s="1" t="str">
        <f t="shared" si="3"/>
        <v>False</v>
      </c>
      <c r="Z4" s="1" t="str">
        <f t="shared" si="3"/>
        <v>False</v>
      </c>
      <c r="AA4" s="1" t="str">
        <f t="shared" si="3"/>
        <v>False</v>
      </c>
      <c r="AB4" s="1" t="s">
        <v>183</v>
      </c>
      <c r="AC4" s="4">
        <f t="shared" ref="AC4:AH4" si="15">IF(ISNUMBER(SEARCH(AC$1,$AB4)), 1, 0)</f>
        <v>0</v>
      </c>
      <c r="AD4" s="4">
        <f t="shared" si="15"/>
        <v>0</v>
      </c>
      <c r="AE4" s="4">
        <f t="shared" si="15"/>
        <v>0</v>
      </c>
      <c r="AF4" s="4">
        <f t="shared" si="15"/>
        <v>0</v>
      </c>
      <c r="AG4" s="4">
        <f t="shared" si="15"/>
        <v>0</v>
      </c>
      <c r="AH4" s="4">
        <f t="shared" si="15"/>
        <v>0</v>
      </c>
      <c r="AI4" s="1">
        <f t="shared" si="5"/>
        <v>0</v>
      </c>
      <c r="AJ4" s="1" t="s">
        <v>426</v>
      </c>
      <c r="AK4" s="1" t="s">
        <v>427</v>
      </c>
      <c r="AL4" s="4">
        <f t="shared" ref="AL4:AS4" si="16">IF(ISNUMBER(SEARCH(AL$1,$AK4)), 1, 0)</f>
        <v>0</v>
      </c>
      <c r="AM4" s="4">
        <f t="shared" si="16"/>
        <v>1</v>
      </c>
      <c r="AN4" s="4">
        <f t="shared" si="16"/>
        <v>1</v>
      </c>
      <c r="AO4" s="4">
        <f t="shared" si="16"/>
        <v>1</v>
      </c>
      <c r="AP4" s="4">
        <f t="shared" si="16"/>
        <v>0</v>
      </c>
      <c r="AQ4" s="4">
        <f t="shared" si="16"/>
        <v>1</v>
      </c>
      <c r="AR4" s="4">
        <f t="shared" si="16"/>
        <v>1</v>
      </c>
      <c r="AS4" s="4">
        <f t="shared" si="16"/>
        <v>1</v>
      </c>
      <c r="AU4" s="1" t="s">
        <v>48</v>
      </c>
      <c r="AV4" s="1">
        <f t="shared" si="7"/>
        <v>0</v>
      </c>
      <c r="AW4" s="1">
        <f t="shared" si="8"/>
        <v>1</v>
      </c>
      <c r="AX4" s="1">
        <f t="shared" si="9"/>
        <v>0</v>
      </c>
      <c r="AY4" s="1" t="s">
        <v>47</v>
      </c>
      <c r="AZ4" s="1" t="s">
        <v>47</v>
      </c>
      <c r="BA4" s="1" t="s">
        <v>428</v>
      </c>
      <c r="BB4" s="4">
        <f t="shared" ref="BB4:BJ4" si="17">IF(ISNUMBER(SEARCH(BB$1,$BA4)), 1, 0)</f>
        <v>0</v>
      </c>
      <c r="BC4" s="4">
        <f t="shared" si="17"/>
        <v>0</v>
      </c>
      <c r="BD4" s="4">
        <f t="shared" si="17"/>
        <v>0</v>
      </c>
      <c r="BE4" s="4">
        <f t="shared" si="17"/>
        <v>0</v>
      </c>
      <c r="BF4" s="4">
        <f t="shared" si="17"/>
        <v>0</v>
      </c>
      <c r="BG4" s="4">
        <f t="shared" si="17"/>
        <v>0</v>
      </c>
      <c r="BH4" s="4">
        <f t="shared" si="17"/>
        <v>1</v>
      </c>
      <c r="BI4" s="4">
        <f t="shared" si="17"/>
        <v>1</v>
      </c>
      <c r="BJ4" s="4">
        <f t="shared" si="17"/>
        <v>1</v>
      </c>
      <c r="BK4" s="4">
        <f t="shared" si="11"/>
        <v>3</v>
      </c>
      <c r="BO4" s="4">
        <f t="shared" ref="BO4:BU4" si="18">IF(ISNUMBER(SEARCH(BO$1,$BN4)), 1, 0)</f>
        <v>0</v>
      </c>
      <c r="BP4" s="4">
        <f t="shared" si="18"/>
        <v>0</v>
      </c>
      <c r="BQ4" s="4">
        <f t="shared" si="18"/>
        <v>0</v>
      </c>
      <c r="BR4" s="4">
        <f t="shared" si="18"/>
        <v>0</v>
      </c>
      <c r="BS4" s="4">
        <f t="shared" si="18"/>
        <v>0</v>
      </c>
      <c r="BT4" s="4">
        <f t="shared" si="18"/>
        <v>0</v>
      </c>
      <c r="BU4" s="4">
        <f t="shared" si="18"/>
        <v>0</v>
      </c>
      <c r="BY4" s="1" t="s">
        <v>429</v>
      </c>
      <c r="BZ4" s="1" t="s">
        <v>183</v>
      </c>
      <c r="CA4" s="1" t="s">
        <v>430</v>
      </c>
      <c r="CB4" s="1" t="s">
        <v>48</v>
      </c>
      <c r="CC4" s="1" t="s">
        <v>47</v>
      </c>
      <c r="CD4" s="1" t="s">
        <v>431</v>
      </c>
      <c r="CF4" s="1" t="s">
        <v>412</v>
      </c>
      <c r="CG4" s="1" t="s">
        <v>432</v>
      </c>
      <c r="CI4" s="1" t="s">
        <v>433</v>
      </c>
      <c r="CJ4" s="1" t="s">
        <v>434</v>
      </c>
      <c r="CR4" s="1" t="s">
        <v>435</v>
      </c>
      <c r="CT4" s="1" t="s">
        <v>436</v>
      </c>
      <c r="CU4" s="1" t="s">
        <v>214</v>
      </c>
      <c r="CW4" s="1" t="s">
        <v>437</v>
      </c>
    </row>
    <row r="5" spans="1:107" ht="15.75" customHeight="1" x14ac:dyDescent="0.25">
      <c r="A5" s="1" t="b">
        <v>0</v>
      </c>
      <c r="B5" s="3">
        <v>46152.652453703704</v>
      </c>
      <c r="C5" s="1" t="s">
        <v>295</v>
      </c>
      <c r="D5" s="1" t="s">
        <v>296</v>
      </c>
      <c r="E5" s="4">
        <f t="shared" ref="E5:K5" si="19">IF(ISNUMBER(SEARCH(E$1,$D5)), SEARCH(E$1,$D5), 0)</f>
        <v>1</v>
      </c>
      <c r="F5" s="4">
        <f t="shared" si="19"/>
        <v>30</v>
      </c>
      <c r="G5" s="4">
        <f t="shared" si="19"/>
        <v>105</v>
      </c>
      <c r="H5" s="4">
        <f t="shared" si="19"/>
        <v>161</v>
      </c>
      <c r="I5" s="4">
        <f t="shared" si="19"/>
        <v>199</v>
      </c>
      <c r="J5" s="4">
        <f t="shared" si="19"/>
        <v>231</v>
      </c>
      <c r="K5" s="4">
        <f t="shared" si="19"/>
        <v>0</v>
      </c>
      <c r="L5" s="4">
        <f t="shared" si="1"/>
        <v>231</v>
      </c>
      <c r="N5" s="1" t="s">
        <v>240</v>
      </c>
      <c r="O5" s="4">
        <f t="shared" ref="O5:T5" si="20">IF(ISNUMBER(SEARCH(O$1,$N5)), 1, 0)</f>
        <v>1</v>
      </c>
      <c r="P5" s="4">
        <f t="shared" si="20"/>
        <v>1</v>
      </c>
      <c r="Q5" s="4">
        <f t="shared" si="20"/>
        <v>1</v>
      </c>
      <c r="R5" s="4">
        <f t="shared" si="20"/>
        <v>1</v>
      </c>
      <c r="S5" s="4">
        <f t="shared" si="20"/>
        <v>0</v>
      </c>
      <c r="T5" s="4">
        <f t="shared" si="20"/>
        <v>0</v>
      </c>
      <c r="V5" s="1" t="s">
        <v>24</v>
      </c>
      <c r="W5" s="1" t="str">
        <f t="shared" si="3"/>
        <v>False</v>
      </c>
      <c r="X5" s="1" t="str">
        <f t="shared" si="3"/>
        <v>False</v>
      </c>
      <c r="Y5" s="1" t="str">
        <f t="shared" si="3"/>
        <v>True</v>
      </c>
      <c r="Z5" s="1" t="str">
        <f t="shared" si="3"/>
        <v>False</v>
      </c>
      <c r="AA5" s="1" t="str">
        <f t="shared" si="3"/>
        <v>False</v>
      </c>
      <c r="AB5" s="1" t="s">
        <v>33</v>
      </c>
      <c r="AC5" s="4">
        <f t="shared" ref="AC5:AH5" si="21">IF(ISNUMBER(SEARCH(AC$1,$AB5)), 1, 0)</f>
        <v>0</v>
      </c>
      <c r="AD5" s="4">
        <f t="shared" si="21"/>
        <v>0</v>
      </c>
      <c r="AE5" s="4">
        <f t="shared" si="21"/>
        <v>0</v>
      </c>
      <c r="AF5" s="4">
        <f t="shared" si="21"/>
        <v>0</v>
      </c>
      <c r="AG5" s="4">
        <f t="shared" si="21"/>
        <v>0</v>
      </c>
      <c r="AH5" s="4">
        <f t="shared" si="21"/>
        <v>1</v>
      </c>
      <c r="AI5" s="1">
        <f t="shared" si="5"/>
        <v>1</v>
      </c>
      <c r="AJ5" s="1"/>
      <c r="AK5" s="1" t="s">
        <v>38</v>
      </c>
      <c r="AL5" s="4">
        <f t="shared" ref="AL5:AS5" si="22">IF(ISNUMBER(SEARCH(AL$1,$AK5)), 1, 0)</f>
        <v>0</v>
      </c>
      <c r="AM5" s="4">
        <f t="shared" si="22"/>
        <v>1</v>
      </c>
      <c r="AN5" s="4">
        <f t="shared" si="22"/>
        <v>0</v>
      </c>
      <c r="AO5" s="4">
        <f t="shared" si="22"/>
        <v>0</v>
      </c>
      <c r="AP5" s="4">
        <f t="shared" si="22"/>
        <v>0</v>
      </c>
      <c r="AQ5" s="4">
        <f t="shared" si="22"/>
        <v>0</v>
      </c>
      <c r="AR5" s="4">
        <f t="shared" si="22"/>
        <v>0</v>
      </c>
      <c r="AS5" s="4">
        <f t="shared" si="22"/>
        <v>0</v>
      </c>
      <c r="AU5" s="1" t="s">
        <v>48</v>
      </c>
      <c r="AV5" s="1">
        <f t="shared" si="7"/>
        <v>0</v>
      </c>
      <c r="AW5" s="1">
        <f t="shared" si="8"/>
        <v>1</v>
      </c>
      <c r="AX5" s="1">
        <f t="shared" si="9"/>
        <v>0</v>
      </c>
      <c r="AY5" s="1" t="s">
        <v>48</v>
      </c>
      <c r="BA5" s="1" t="s">
        <v>297</v>
      </c>
      <c r="BB5" s="4">
        <f t="shared" ref="BB5:BJ5" si="23">IF(ISNUMBER(SEARCH(BB$1,$BA5)), 1, 0)</f>
        <v>1</v>
      </c>
      <c r="BC5" s="4">
        <f t="shared" si="23"/>
        <v>0</v>
      </c>
      <c r="BD5" s="4">
        <f t="shared" si="23"/>
        <v>1</v>
      </c>
      <c r="BE5" s="4">
        <f t="shared" si="23"/>
        <v>0</v>
      </c>
      <c r="BF5" s="4">
        <f t="shared" si="23"/>
        <v>1</v>
      </c>
      <c r="BG5" s="4">
        <f t="shared" si="23"/>
        <v>1</v>
      </c>
      <c r="BH5" s="4">
        <f t="shared" si="23"/>
        <v>0</v>
      </c>
      <c r="BI5" s="4">
        <f t="shared" si="23"/>
        <v>0</v>
      </c>
      <c r="BJ5" s="4">
        <f t="shared" si="23"/>
        <v>1</v>
      </c>
      <c r="BK5" s="4">
        <f t="shared" si="11"/>
        <v>5</v>
      </c>
      <c r="BM5" s="1" t="s">
        <v>190</v>
      </c>
      <c r="BN5" s="1" t="s">
        <v>298</v>
      </c>
      <c r="BO5" s="4">
        <f t="shared" ref="BO5:BU5" si="24">IF(ISNUMBER(SEARCH(BO$1,$BN5)), 1, 0)</f>
        <v>0</v>
      </c>
      <c r="BP5" s="4">
        <f t="shared" si="24"/>
        <v>0</v>
      </c>
      <c r="BQ5" s="4">
        <f t="shared" si="24"/>
        <v>0</v>
      </c>
      <c r="BR5" s="4">
        <f t="shared" si="24"/>
        <v>1</v>
      </c>
      <c r="BS5" s="4">
        <f t="shared" si="24"/>
        <v>1</v>
      </c>
      <c r="BT5" s="4">
        <f t="shared" si="24"/>
        <v>0</v>
      </c>
      <c r="BU5" s="4">
        <f t="shared" si="24"/>
        <v>1</v>
      </c>
      <c r="BV5" s="1" t="s">
        <v>299</v>
      </c>
      <c r="BY5" s="1" t="s">
        <v>300</v>
      </c>
    </row>
    <row r="6" spans="1:107" ht="15.75" customHeight="1" x14ac:dyDescent="0.25">
      <c r="A6" s="1" t="b">
        <v>1</v>
      </c>
      <c r="B6" s="3">
        <v>46161.533495370371</v>
      </c>
      <c r="C6" s="1" t="s">
        <v>442</v>
      </c>
      <c r="D6" s="1" t="s">
        <v>425</v>
      </c>
      <c r="E6" s="4">
        <f t="shared" ref="E6:K6" si="25">IF(ISNUMBER(SEARCH(E$1,$D6)), SEARCH(E$1,$D6), 0)</f>
        <v>1</v>
      </c>
      <c r="F6" s="4">
        <f t="shared" si="25"/>
        <v>30</v>
      </c>
      <c r="G6" s="4">
        <f t="shared" si="25"/>
        <v>105</v>
      </c>
      <c r="H6" s="4">
        <f t="shared" si="25"/>
        <v>161</v>
      </c>
      <c r="I6" s="4">
        <f t="shared" si="25"/>
        <v>199</v>
      </c>
      <c r="J6" s="4">
        <f t="shared" si="25"/>
        <v>231</v>
      </c>
      <c r="K6" s="4">
        <f t="shared" si="25"/>
        <v>268</v>
      </c>
      <c r="L6" s="4">
        <f t="shared" si="1"/>
        <v>268</v>
      </c>
      <c r="O6" s="4">
        <f t="shared" ref="O6:T6" si="26">IF(ISNUMBER(SEARCH(O$1,$N6)), 1, 0)</f>
        <v>0</v>
      </c>
      <c r="P6" s="4">
        <f t="shared" si="26"/>
        <v>0</v>
      </c>
      <c r="Q6" s="4">
        <f t="shared" si="26"/>
        <v>0</v>
      </c>
      <c r="R6" s="4">
        <f t="shared" si="26"/>
        <v>0</v>
      </c>
      <c r="S6" s="4">
        <f t="shared" si="26"/>
        <v>0</v>
      </c>
      <c r="T6" s="4">
        <f t="shared" si="26"/>
        <v>0</v>
      </c>
      <c r="W6" s="1" t="str">
        <f t="shared" si="3"/>
        <v>False</v>
      </c>
      <c r="X6" s="1" t="str">
        <f t="shared" si="3"/>
        <v>False</v>
      </c>
      <c r="Y6" s="1" t="str">
        <f t="shared" si="3"/>
        <v>False</v>
      </c>
      <c r="Z6" s="1" t="str">
        <f t="shared" si="3"/>
        <v>False</v>
      </c>
      <c r="AA6" s="1" t="str">
        <f t="shared" si="3"/>
        <v>False</v>
      </c>
      <c r="AB6" s="1" t="s">
        <v>443</v>
      </c>
      <c r="AC6" s="4">
        <f t="shared" ref="AC6:AH6" si="27">IF(ISNUMBER(SEARCH(AC$1,$AB6)), 1, 0)</f>
        <v>0</v>
      </c>
      <c r="AD6" s="4">
        <f t="shared" si="27"/>
        <v>1</v>
      </c>
      <c r="AE6" s="4">
        <f t="shared" si="27"/>
        <v>1</v>
      </c>
      <c r="AF6" s="4">
        <f t="shared" si="27"/>
        <v>1</v>
      </c>
      <c r="AG6" s="4">
        <f t="shared" si="27"/>
        <v>0</v>
      </c>
      <c r="AH6" s="4">
        <f t="shared" si="27"/>
        <v>1</v>
      </c>
      <c r="AI6" s="1">
        <f t="shared" si="5"/>
        <v>4</v>
      </c>
      <c r="AL6" s="4">
        <f t="shared" ref="AL6:AS6" si="28">IF(ISNUMBER(SEARCH(AL$1,$AK6)), 1, 0)</f>
        <v>0</v>
      </c>
      <c r="AM6" s="4">
        <f t="shared" si="28"/>
        <v>0</v>
      </c>
      <c r="AN6" s="4">
        <f t="shared" si="28"/>
        <v>0</v>
      </c>
      <c r="AO6" s="4">
        <f t="shared" si="28"/>
        <v>0</v>
      </c>
      <c r="AP6" s="4">
        <f t="shared" si="28"/>
        <v>0</v>
      </c>
      <c r="AQ6" s="4">
        <f t="shared" si="28"/>
        <v>0</v>
      </c>
      <c r="AR6" s="4">
        <f t="shared" si="28"/>
        <v>0</v>
      </c>
      <c r="AS6" s="4">
        <f t="shared" si="28"/>
        <v>0</v>
      </c>
      <c r="AV6" s="1">
        <f t="shared" si="7"/>
        <v>0</v>
      </c>
      <c r="AW6" s="1">
        <f t="shared" si="8"/>
        <v>0</v>
      </c>
      <c r="AX6" s="1">
        <f t="shared" si="9"/>
        <v>0</v>
      </c>
      <c r="BB6" s="4">
        <f t="shared" ref="BB6:BJ6" si="29">IF(ISNUMBER(SEARCH(BB$1,$BA6)), 1, 0)</f>
        <v>0</v>
      </c>
      <c r="BC6" s="4">
        <f t="shared" si="29"/>
        <v>0</v>
      </c>
      <c r="BD6" s="4">
        <f t="shared" si="29"/>
        <v>0</v>
      </c>
      <c r="BE6" s="4">
        <f t="shared" si="29"/>
        <v>0</v>
      </c>
      <c r="BF6" s="4">
        <f t="shared" si="29"/>
        <v>0</v>
      </c>
      <c r="BG6" s="4">
        <f t="shared" si="29"/>
        <v>0</v>
      </c>
      <c r="BH6" s="4">
        <f t="shared" si="29"/>
        <v>0</v>
      </c>
      <c r="BI6" s="4">
        <f t="shared" si="29"/>
        <v>0</v>
      </c>
      <c r="BJ6" s="4">
        <f t="shared" si="29"/>
        <v>0</v>
      </c>
      <c r="BK6" s="4">
        <f t="shared" si="11"/>
        <v>0</v>
      </c>
      <c r="BO6" s="4">
        <f t="shared" ref="BO6:BU6" si="30">IF(ISNUMBER(SEARCH(BO$1,$BN6)), 1, 0)</f>
        <v>0</v>
      </c>
      <c r="BP6" s="4">
        <f t="shared" si="30"/>
        <v>0</v>
      </c>
      <c r="BQ6" s="4">
        <f t="shared" si="30"/>
        <v>0</v>
      </c>
      <c r="BR6" s="4">
        <f t="shared" si="30"/>
        <v>0</v>
      </c>
      <c r="BS6" s="4">
        <f t="shared" si="30"/>
        <v>0</v>
      </c>
      <c r="BT6" s="4">
        <f t="shared" si="30"/>
        <v>0</v>
      </c>
      <c r="BU6" s="4">
        <f t="shared" si="30"/>
        <v>0</v>
      </c>
      <c r="CB6" s="1" t="s">
        <v>48</v>
      </c>
      <c r="CC6" s="1" t="s">
        <v>48</v>
      </c>
      <c r="CD6" s="1" t="s">
        <v>444</v>
      </c>
      <c r="CF6" s="1" t="s">
        <v>387</v>
      </c>
      <c r="CG6" s="1" t="s">
        <v>388</v>
      </c>
      <c r="CH6" s="1" t="s">
        <v>445</v>
      </c>
      <c r="CJ6" s="1" t="s">
        <v>446</v>
      </c>
      <c r="CL6" s="1" t="s">
        <v>447</v>
      </c>
      <c r="CM6" s="1" t="s">
        <v>48</v>
      </c>
      <c r="CN6" s="1" t="s">
        <v>448</v>
      </c>
      <c r="CR6" s="1" t="s">
        <v>449</v>
      </c>
      <c r="CU6" s="1" t="s">
        <v>449</v>
      </c>
      <c r="CX6" s="1" t="s">
        <v>450</v>
      </c>
      <c r="CZ6" s="1" t="s">
        <v>451</v>
      </c>
      <c r="DC6" s="1" t="s">
        <v>238</v>
      </c>
    </row>
    <row r="7" spans="1:107" ht="15.75" customHeight="1" x14ac:dyDescent="0.25">
      <c r="A7" s="1" t="b">
        <v>1</v>
      </c>
      <c r="B7" s="3">
        <v>46158.708622685182</v>
      </c>
      <c r="C7" s="1" t="s">
        <v>390</v>
      </c>
      <c r="D7" s="1" t="s">
        <v>391</v>
      </c>
      <c r="E7" s="4">
        <f t="shared" ref="E7:K7" si="31">IF(ISNUMBER(SEARCH(E$1,$D7)), SEARCH(E$1,$D7), 0)</f>
        <v>1</v>
      </c>
      <c r="F7" s="4">
        <f t="shared" si="31"/>
        <v>30</v>
      </c>
      <c r="G7" s="4">
        <f t="shared" si="31"/>
        <v>105</v>
      </c>
      <c r="H7" s="4">
        <f t="shared" si="31"/>
        <v>161</v>
      </c>
      <c r="I7" s="4">
        <f t="shared" si="31"/>
        <v>199</v>
      </c>
      <c r="J7" s="4">
        <f t="shared" si="31"/>
        <v>231</v>
      </c>
      <c r="K7" s="4">
        <f t="shared" si="31"/>
        <v>268</v>
      </c>
      <c r="L7" s="4">
        <f t="shared" si="1"/>
        <v>268</v>
      </c>
      <c r="N7" s="1" t="s">
        <v>160</v>
      </c>
      <c r="O7" s="4">
        <f t="shared" ref="O7:T7" si="32">IF(ISNUMBER(SEARCH(O$1,$N7)), 1, 0)</f>
        <v>1</v>
      </c>
      <c r="P7" s="4">
        <f t="shared" si="32"/>
        <v>1</v>
      </c>
      <c r="Q7" s="4">
        <f t="shared" si="32"/>
        <v>1</v>
      </c>
      <c r="R7" s="4">
        <f t="shared" si="32"/>
        <v>1</v>
      </c>
      <c r="S7" s="4">
        <f t="shared" si="32"/>
        <v>1</v>
      </c>
      <c r="T7" s="4">
        <f t="shared" si="32"/>
        <v>1</v>
      </c>
      <c r="W7" s="1" t="str">
        <f t="shared" si="3"/>
        <v>False</v>
      </c>
      <c r="X7" s="1" t="str">
        <f t="shared" si="3"/>
        <v>False</v>
      </c>
      <c r="Y7" s="1" t="str">
        <f t="shared" si="3"/>
        <v>False</v>
      </c>
      <c r="Z7" s="1" t="str">
        <f t="shared" si="3"/>
        <v>False</v>
      </c>
      <c r="AA7" s="1" t="str">
        <f t="shared" si="3"/>
        <v>False</v>
      </c>
      <c r="AB7" s="1" t="s">
        <v>392</v>
      </c>
      <c r="AC7" s="4">
        <f t="shared" ref="AC7:AH7" si="33">IF(ISNUMBER(SEARCH(AC$1,$AB7)), 1, 0)</f>
        <v>0</v>
      </c>
      <c r="AD7" s="4">
        <f t="shared" si="33"/>
        <v>1</v>
      </c>
      <c r="AE7" s="4">
        <f t="shared" si="33"/>
        <v>1</v>
      </c>
      <c r="AF7" s="4">
        <f t="shared" si="33"/>
        <v>0</v>
      </c>
      <c r="AG7" s="4">
        <f t="shared" si="33"/>
        <v>0</v>
      </c>
      <c r="AH7" s="4">
        <f t="shared" si="33"/>
        <v>0</v>
      </c>
      <c r="AI7" s="1">
        <f t="shared" si="5"/>
        <v>2</v>
      </c>
      <c r="AL7" s="4">
        <f t="shared" ref="AL7:AS7" si="34">IF(ISNUMBER(SEARCH(AL$1,$AK7)), 1, 0)</f>
        <v>0</v>
      </c>
      <c r="AM7" s="4">
        <f t="shared" si="34"/>
        <v>0</v>
      </c>
      <c r="AN7" s="4">
        <f t="shared" si="34"/>
        <v>0</v>
      </c>
      <c r="AO7" s="4">
        <f t="shared" si="34"/>
        <v>0</v>
      </c>
      <c r="AP7" s="4">
        <f t="shared" si="34"/>
        <v>0</v>
      </c>
      <c r="AQ7" s="4">
        <f t="shared" si="34"/>
        <v>0</v>
      </c>
      <c r="AR7" s="4">
        <f t="shared" si="34"/>
        <v>0</v>
      </c>
      <c r="AS7" s="4">
        <f t="shared" si="34"/>
        <v>0</v>
      </c>
      <c r="AV7" s="1">
        <f t="shared" si="7"/>
        <v>0</v>
      </c>
      <c r="AW7" s="1">
        <f t="shared" si="8"/>
        <v>0</v>
      </c>
      <c r="AX7" s="1">
        <f t="shared" si="9"/>
        <v>0</v>
      </c>
      <c r="BB7" s="4">
        <f t="shared" ref="BB7:BJ7" si="35">IF(ISNUMBER(SEARCH(BB$1,$BA7)), 1, 0)</f>
        <v>0</v>
      </c>
      <c r="BC7" s="4">
        <f t="shared" si="35"/>
        <v>0</v>
      </c>
      <c r="BD7" s="4">
        <f t="shared" si="35"/>
        <v>0</v>
      </c>
      <c r="BE7" s="4">
        <f t="shared" si="35"/>
        <v>0</v>
      </c>
      <c r="BF7" s="4">
        <f t="shared" si="35"/>
        <v>0</v>
      </c>
      <c r="BG7" s="4">
        <f t="shared" si="35"/>
        <v>0</v>
      </c>
      <c r="BH7" s="4">
        <f t="shared" si="35"/>
        <v>0</v>
      </c>
      <c r="BI7" s="4">
        <f t="shared" si="35"/>
        <v>0</v>
      </c>
      <c r="BJ7" s="4">
        <f t="shared" si="35"/>
        <v>0</v>
      </c>
      <c r="BK7" s="4">
        <f t="shared" si="11"/>
        <v>0</v>
      </c>
      <c r="BO7" s="4">
        <f t="shared" ref="BO7:BU7" si="36">IF(ISNUMBER(SEARCH(BO$1,$BN7)), 1, 0)</f>
        <v>0</v>
      </c>
      <c r="BP7" s="4">
        <f t="shared" si="36"/>
        <v>0</v>
      </c>
      <c r="BQ7" s="4">
        <f t="shared" si="36"/>
        <v>0</v>
      </c>
      <c r="BR7" s="4">
        <f t="shared" si="36"/>
        <v>0</v>
      </c>
      <c r="BS7" s="4">
        <f t="shared" si="36"/>
        <v>0</v>
      </c>
      <c r="BT7" s="4">
        <f t="shared" si="36"/>
        <v>0</v>
      </c>
      <c r="BU7" s="4">
        <f t="shared" si="36"/>
        <v>0</v>
      </c>
      <c r="CB7" s="1" t="s">
        <v>48</v>
      </c>
      <c r="CC7" s="1" t="s">
        <v>48</v>
      </c>
    </row>
    <row r="8" spans="1:107" ht="15.75" customHeight="1" x14ac:dyDescent="0.25">
      <c r="A8" s="1" t="b">
        <v>1</v>
      </c>
      <c r="B8" s="3">
        <v>46164.688993055555</v>
      </c>
      <c r="C8" s="1" t="s">
        <v>517</v>
      </c>
      <c r="D8" s="1" t="s">
        <v>518</v>
      </c>
      <c r="E8" s="4">
        <f t="shared" ref="E8:K8" si="37">IF(ISNUMBER(SEARCH(E$1,$D8)), SEARCH(E$1,$D8), 0)</f>
        <v>1</v>
      </c>
      <c r="F8" s="4">
        <f t="shared" si="37"/>
        <v>30</v>
      </c>
      <c r="G8" s="4">
        <f t="shared" si="37"/>
        <v>0</v>
      </c>
      <c r="H8" s="4">
        <f t="shared" si="37"/>
        <v>105</v>
      </c>
      <c r="I8" s="4">
        <f t="shared" si="37"/>
        <v>143</v>
      </c>
      <c r="J8" s="4">
        <f t="shared" si="37"/>
        <v>0</v>
      </c>
      <c r="K8" s="4">
        <f t="shared" si="37"/>
        <v>0</v>
      </c>
      <c r="L8" s="4">
        <f t="shared" si="1"/>
        <v>143</v>
      </c>
      <c r="N8" s="1" t="s">
        <v>240</v>
      </c>
      <c r="O8" s="4">
        <f t="shared" ref="O8:T8" si="38">IF(ISNUMBER(SEARCH(O$1,$N8)), 1, 0)</f>
        <v>1</v>
      </c>
      <c r="P8" s="4">
        <f t="shared" si="38"/>
        <v>1</v>
      </c>
      <c r="Q8" s="4">
        <f t="shared" si="38"/>
        <v>1</v>
      </c>
      <c r="R8" s="4">
        <f t="shared" si="38"/>
        <v>1</v>
      </c>
      <c r="S8" s="4">
        <f t="shared" si="38"/>
        <v>0</v>
      </c>
      <c r="T8" s="4">
        <f t="shared" si="38"/>
        <v>0</v>
      </c>
      <c r="V8" s="1" t="s">
        <v>26</v>
      </c>
      <c r="W8" s="1" t="str">
        <f t="shared" si="3"/>
        <v>False</v>
      </c>
      <c r="X8" s="1" t="str">
        <f t="shared" si="3"/>
        <v>False</v>
      </c>
      <c r="Y8" s="1" t="str">
        <f t="shared" si="3"/>
        <v>False</v>
      </c>
      <c r="Z8" s="1" t="str">
        <f t="shared" si="3"/>
        <v>False</v>
      </c>
      <c r="AA8" s="1" t="str">
        <f t="shared" si="3"/>
        <v>True</v>
      </c>
      <c r="AB8" s="1" t="s">
        <v>519</v>
      </c>
      <c r="AC8" s="4">
        <f t="shared" ref="AC8:AH8" si="39">IF(ISNUMBER(SEARCH(AC$1,$AB8)), 1, 0)</f>
        <v>1</v>
      </c>
      <c r="AD8" s="4">
        <f t="shared" si="39"/>
        <v>0</v>
      </c>
      <c r="AE8" s="4">
        <f t="shared" si="39"/>
        <v>0</v>
      </c>
      <c r="AF8" s="4">
        <f t="shared" si="39"/>
        <v>0</v>
      </c>
      <c r="AG8" s="4">
        <f t="shared" si="39"/>
        <v>1</v>
      </c>
      <c r="AH8" s="4">
        <f t="shared" si="39"/>
        <v>0</v>
      </c>
      <c r="AI8" s="1">
        <f t="shared" si="5"/>
        <v>2</v>
      </c>
      <c r="AK8" s="1" t="s">
        <v>317</v>
      </c>
      <c r="AL8" s="4">
        <f t="shared" ref="AL8:AS8" si="40">IF(ISNUMBER(SEARCH(AL$1,$AK8)), 1, 0)</f>
        <v>0</v>
      </c>
      <c r="AM8" s="4">
        <f t="shared" si="40"/>
        <v>1</v>
      </c>
      <c r="AN8" s="4">
        <f t="shared" si="40"/>
        <v>0</v>
      </c>
      <c r="AO8" s="4">
        <f t="shared" si="40"/>
        <v>1</v>
      </c>
      <c r="AP8" s="4">
        <f t="shared" si="40"/>
        <v>1</v>
      </c>
      <c r="AQ8" s="4">
        <f t="shared" si="40"/>
        <v>1</v>
      </c>
      <c r="AR8" s="4">
        <f t="shared" si="40"/>
        <v>0</v>
      </c>
      <c r="AS8" s="4">
        <f t="shared" si="40"/>
        <v>0</v>
      </c>
      <c r="AU8" s="1" t="s">
        <v>48</v>
      </c>
      <c r="AV8" s="1">
        <f t="shared" si="7"/>
        <v>0</v>
      </c>
      <c r="AW8" s="1">
        <f t="shared" si="8"/>
        <v>1</v>
      </c>
      <c r="AX8" s="1">
        <f t="shared" si="9"/>
        <v>0</v>
      </c>
      <c r="AY8" s="1" t="s">
        <v>48</v>
      </c>
      <c r="BA8" s="1" t="s">
        <v>493</v>
      </c>
      <c r="BB8" s="4">
        <f t="shared" ref="BB8:BJ8" si="41">IF(ISNUMBER(SEARCH(BB$1,$BA8)), 1, 0)</f>
        <v>1</v>
      </c>
      <c r="BC8" s="4">
        <f t="shared" si="41"/>
        <v>1</v>
      </c>
      <c r="BD8" s="4">
        <f t="shared" si="41"/>
        <v>1</v>
      </c>
      <c r="BE8" s="4">
        <f t="shared" si="41"/>
        <v>0</v>
      </c>
      <c r="BF8" s="4">
        <f t="shared" si="41"/>
        <v>1</v>
      </c>
      <c r="BG8" s="4">
        <f t="shared" si="41"/>
        <v>0</v>
      </c>
      <c r="BH8" s="4">
        <f t="shared" si="41"/>
        <v>1</v>
      </c>
      <c r="BI8" s="4">
        <f t="shared" si="41"/>
        <v>0</v>
      </c>
      <c r="BJ8" s="4">
        <f t="shared" si="41"/>
        <v>1</v>
      </c>
      <c r="BK8" s="4">
        <f t="shared" si="11"/>
        <v>6</v>
      </c>
      <c r="BM8" s="1" t="s">
        <v>190</v>
      </c>
      <c r="BN8" s="1" t="s">
        <v>340</v>
      </c>
      <c r="BO8" s="4">
        <f t="shared" ref="BO8:BU8" si="42">IF(ISNUMBER(SEARCH(BO$1,$BN8)), 1, 0)</f>
        <v>1</v>
      </c>
      <c r="BP8" s="4">
        <f t="shared" si="42"/>
        <v>1</v>
      </c>
      <c r="BQ8" s="4">
        <f t="shared" si="42"/>
        <v>0</v>
      </c>
      <c r="BR8" s="4">
        <f t="shared" si="42"/>
        <v>0</v>
      </c>
      <c r="BS8" s="4">
        <f t="shared" si="42"/>
        <v>0</v>
      </c>
      <c r="BT8" s="4">
        <f t="shared" si="42"/>
        <v>0</v>
      </c>
      <c r="BU8" s="4">
        <f t="shared" si="42"/>
        <v>0</v>
      </c>
      <c r="BW8" s="1" t="s">
        <v>220</v>
      </c>
      <c r="CB8" s="1" t="s">
        <v>47</v>
      </c>
      <c r="CF8" s="1" t="s">
        <v>387</v>
      </c>
      <c r="CG8" s="1" t="s">
        <v>388</v>
      </c>
      <c r="CH8" s="1" t="s">
        <v>520</v>
      </c>
      <c r="CL8" s="1" t="s">
        <v>177</v>
      </c>
      <c r="CX8" s="1" t="s">
        <v>450</v>
      </c>
      <c r="CZ8" s="1" t="s">
        <v>250</v>
      </c>
      <c r="DB8" s="1" t="s">
        <v>521</v>
      </c>
      <c r="DC8" s="1" t="s">
        <v>238</v>
      </c>
    </row>
    <row r="9" spans="1:107" ht="15.75" customHeight="1" x14ac:dyDescent="0.25">
      <c r="A9" s="1" t="b">
        <v>0</v>
      </c>
      <c r="B9" s="3">
        <v>46161.305231481485</v>
      </c>
      <c r="C9" s="1" t="s">
        <v>438</v>
      </c>
      <c r="D9" s="1" t="s">
        <v>439</v>
      </c>
      <c r="E9" s="4">
        <f t="shared" ref="E9:K9" si="43">IF(ISNUMBER(SEARCH(E$1,$D9)), SEARCH(E$1,$D9), 0)</f>
        <v>1</v>
      </c>
      <c r="F9" s="4">
        <f t="shared" si="43"/>
        <v>30</v>
      </c>
      <c r="G9" s="4">
        <f t="shared" si="43"/>
        <v>0</v>
      </c>
      <c r="H9" s="4">
        <f t="shared" si="43"/>
        <v>0</v>
      </c>
      <c r="I9" s="4">
        <f t="shared" si="43"/>
        <v>105</v>
      </c>
      <c r="J9" s="4">
        <f t="shared" si="43"/>
        <v>0</v>
      </c>
      <c r="K9" s="4">
        <f t="shared" si="43"/>
        <v>0</v>
      </c>
      <c r="L9" s="4">
        <f t="shared" si="1"/>
        <v>105</v>
      </c>
      <c r="N9" s="1" t="s">
        <v>328</v>
      </c>
      <c r="O9" s="4">
        <f t="shared" ref="O9:T9" si="44">IF(ISNUMBER(SEARCH(O$1,$N9)), 1, 0)</f>
        <v>1</v>
      </c>
      <c r="P9" s="4">
        <f t="shared" si="44"/>
        <v>1</v>
      </c>
      <c r="Q9" s="4">
        <f t="shared" si="44"/>
        <v>1</v>
      </c>
      <c r="R9" s="4">
        <f t="shared" si="44"/>
        <v>0</v>
      </c>
      <c r="S9" s="4">
        <f t="shared" si="44"/>
        <v>0</v>
      </c>
      <c r="T9" s="4">
        <f t="shared" si="44"/>
        <v>0</v>
      </c>
      <c r="W9" s="1" t="str">
        <f t="shared" si="3"/>
        <v>False</v>
      </c>
      <c r="X9" s="1" t="str">
        <f t="shared" si="3"/>
        <v>False</v>
      </c>
      <c r="Y9" s="1" t="str">
        <f t="shared" si="3"/>
        <v>False</v>
      </c>
      <c r="Z9" s="1" t="str">
        <f t="shared" si="3"/>
        <v>False</v>
      </c>
      <c r="AA9" s="1" t="str">
        <f t="shared" si="3"/>
        <v>False</v>
      </c>
      <c r="AB9" s="1" t="s">
        <v>230</v>
      </c>
      <c r="AC9" s="4">
        <f t="shared" ref="AC9:AH9" si="45">IF(ISNUMBER(SEARCH(AC$1,$AB9)), 1, 0)</f>
        <v>1</v>
      </c>
      <c r="AD9" s="4">
        <f t="shared" si="45"/>
        <v>1</v>
      </c>
      <c r="AE9" s="4">
        <f t="shared" si="45"/>
        <v>0</v>
      </c>
      <c r="AF9" s="4">
        <f t="shared" si="45"/>
        <v>0</v>
      </c>
      <c r="AG9" s="4">
        <f t="shared" si="45"/>
        <v>0</v>
      </c>
      <c r="AH9" s="4">
        <f t="shared" si="45"/>
        <v>0</v>
      </c>
      <c r="AI9" s="1">
        <f t="shared" si="5"/>
        <v>2</v>
      </c>
      <c r="AK9" s="1" t="s">
        <v>440</v>
      </c>
      <c r="AL9" s="4">
        <f t="shared" ref="AL9:AS9" si="46">IF(ISNUMBER(SEARCH(AL$1,$AK9)), 1, 0)</f>
        <v>0</v>
      </c>
      <c r="AM9" s="4">
        <f t="shared" si="46"/>
        <v>0</v>
      </c>
      <c r="AN9" s="4">
        <f t="shared" si="46"/>
        <v>0</v>
      </c>
      <c r="AO9" s="4">
        <f t="shared" si="46"/>
        <v>1</v>
      </c>
      <c r="AP9" s="4">
        <f t="shared" si="46"/>
        <v>0</v>
      </c>
      <c r="AQ9" s="4">
        <f t="shared" si="46"/>
        <v>1</v>
      </c>
      <c r="AR9" s="4">
        <f t="shared" si="46"/>
        <v>0</v>
      </c>
      <c r="AS9" s="4">
        <f t="shared" si="46"/>
        <v>1</v>
      </c>
      <c r="AU9" s="1" t="s">
        <v>47</v>
      </c>
      <c r="AV9" s="1">
        <f t="shared" si="7"/>
        <v>1</v>
      </c>
      <c r="AW9" s="1">
        <f t="shared" si="8"/>
        <v>0</v>
      </c>
      <c r="AX9" s="1">
        <f t="shared" si="9"/>
        <v>0</v>
      </c>
      <c r="AY9" s="1" t="s">
        <v>48</v>
      </c>
      <c r="BA9" s="1" t="s">
        <v>411</v>
      </c>
      <c r="BB9" s="4">
        <f t="shared" ref="BB9:BJ9" si="47">IF(ISNUMBER(SEARCH(BB$1,$BA9)), 1, 0)</f>
        <v>0</v>
      </c>
      <c r="BC9" s="4">
        <f t="shared" si="47"/>
        <v>1</v>
      </c>
      <c r="BD9" s="4">
        <f t="shared" si="47"/>
        <v>0</v>
      </c>
      <c r="BE9" s="4">
        <f t="shared" si="47"/>
        <v>0</v>
      </c>
      <c r="BF9" s="4">
        <f t="shared" si="47"/>
        <v>1</v>
      </c>
      <c r="BG9" s="4">
        <f t="shared" si="47"/>
        <v>0</v>
      </c>
      <c r="BH9" s="4">
        <f t="shared" si="47"/>
        <v>0</v>
      </c>
      <c r="BI9" s="4">
        <f t="shared" si="47"/>
        <v>0</v>
      </c>
      <c r="BJ9" s="4">
        <f t="shared" si="47"/>
        <v>1</v>
      </c>
      <c r="BK9" s="4">
        <f t="shared" si="11"/>
        <v>3</v>
      </c>
      <c r="BM9" s="1" t="s">
        <v>232</v>
      </c>
      <c r="BN9" s="1" t="s">
        <v>441</v>
      </c>
      <c r="BO9" s="4">
        <f t="shared" ref="BO9:BU9" si="48">IF(ISNUMBER(SEARCH(BO$1,$BN9)), 1, 0)</f>
        <v>0</v>
      </c>
      <c r="BP9" s="4">
        <f t="shared" si="48"/>
        <v>1</v>
      </c>
      <c r="BQ9" s="4">
        <f t="shared" si="48"/>
        <v>0</v>
      </c>
      <c r="BR9" s="4">
        <f t="shared" si="48"/>
        <v>1</v>
      </c>
      <c r="BS9" s="4">
        <f t="shared" si="48"/>
        <v>1</v>
      </c>
      <c r="BT9" s="4">
        <f t="shared" si="48"/>
        <v>0</v>
      </c>
      <c r="BU9" s="4">
        <f t="shared" si="48"/>
        <v>0</v>
      </c>
    </row>
    <row r="10" spans="1:107" ht="15.75" customHeight="1" x14ac:dyDescent="0.25">
      <c r="A10" s="1" t="b">
        <v>1</v>
      </c>
      <c r="B10" s="3">
        <v>46168.735289351855</v>
      </c>
      <c r="C10" s="1" t="s">
        <v>728</v>
      </c>
      <c r="D10" s="1" t="s">
        <v>439</v>
      </c>
      <c r="E10" s="4">
        <f t="shared" ref="E10:K10" si="49">IF(ISNUMBER(SEARCH(E$1,$D10)), SEARCH(E$1,$D10), 0)</f>
        <v>1</v>
      </c>
      <c r="F10" s="4">
        <f t="shared" si="49"/>
        <v>30</v>
      </c>
      <c r="G10" s="4">
        <f t="shared" si="49"/>
        <v>0</v>
      </c>
      <c r="H10" s="4">
        <f t="shared" si="49"/>
        <v>0</v>
      </c>
      <c r="I10" s="4">
        <f t="shared" si="49"/>
        <v>105</v>
      </c>
      <c r="J10" s="4">
        <f t="shared" si="49"/>
        <v>0</v>
      </c>
      <c r="K10" s="4">
        <f t="shared" si="49"/>
        <v>0</v>
      </c>
      <c r="L10" s="4">
        <f t="shared" si="1"/>
        <v>105</v>
      </c>
      <c r="N10" s="1" t="s">
        <v>328</v>
      </c>
      <c r="O10" s="4">
        <f t="shared" ref="O10:T10" si="50">IF(ISNUMBER(SEARCH(O$1,$N10)), 1, 0)</f>
        <v>1</v>
      </c>
      <c r="P10" s="4">
        <f t="shared" si="50"/>
        <v>1</v>
      </c>
      <c r="Q10" s="4">
        <f t="shared" si="50"/>
        <v>1</v>
      </c>
      <c r="R10" s="4">
        <f t="shared" si="50"/>
        <v>0</v>
      </c>
      <c r="S10" s="4">
        <f t="shared" si="50"/>
        <v>0</v>
      </c>
      <c r="T10" s="4">
        <f t="shared" si="50"/>
        <v>0</v>
      </c>
      <c r="V10" s="1" t="s">
        <v>24</v>
      </c>
      <c r="W10" s="1" t="str">
        <f t="shared" si="3"/>
        <v>False</v>
      </c>
      <c r="X10" s="1" t="str">
        <f t="shared" si="3"/>
        <v>False</v>
      </c>
      <c r="Y10" s="1" t="str">
        <f t="shared" si="3"/>
        <v>True</v>
      </c>
      <c r="Z10" s="1" t="str">
        <f t="shared" si="3"/>
        <v>False</v>
      </c>
      <c r="AA10" s="1" t="str">
        <f t="shared" si="3"/>
        <v>False</v>
      </c>
      <c r="AB10" s="1" t="s">
        <v>357</v>
      </c>
      <c r="AC10" s="4">
        <f t="shared" ref="AC10:AH10" si="51">IF(ISNUMBER(SEARCH(AC$1,$AB10)), 1, 0)</f>
        <v>1</v>
      </c>
      <c r="AD10" s="4">
        <f t="shared" si="51"/>
        <v>0</v>
      </c>
      <c r="AE10" s="4">
        <f t="shared" si="51"/>
        <v>0</v>
      </c>
      <c r="AF10" s="4">
        <f t="shared" si="51"/>
        <v>0</v>
      </c>
      <c r="AG10" s="4">
        <f t="shared" si="51"/>
        <v>0</v>
      </c>
      <c r="AH10" s="4">
        <f t="shared" si="51"/>
        <v>1</v>
      </c>
      <c r="AI10" s="1">
        <f t="shared" si="5"/>
        <v>2</v>
      </c>
      <c r="AK10" s="1" t="s">
        <v>246</v>
      </c>
      <c r="AL10" s="4">
        <f t="shared" ref="AL10:AS10" si="52">IF(ISNUMBER(SEARCH(AL$1,$AK10)), 1, 0)</f>
        <v>1</v>
      </c>
      <c r="AM10" s="4">
        <f t="shared" si="52"/>
        <v>1</v>
      </c>
      <c r="AN10" s="4">
        <f t="shared" si="52"/>
        <v>0</v>
      </c>
      <c r="AO10" s="4">
        <f t="shared" si="52"/>
        <v>1</v>
      </c>
      <c r="AP10" s="4">
        <f t="shared" si="52"/>
        <v>0</v>
      </c>
      <c r="AQ10" s="4">
        <f t="shared" si="52"/>
        <v>1</v>
      </c>
      <c r="AR10" s="4">
        <f t="shared" si="52"/>
        <v>0</v>
      </c>
      <c r="AS10" s="4">
        <f t="shared" si="52"/>
        <v>0</v>
      </c>
      <c r="AU10" s="1" t="s">
        <v>47</v>
      </c>
      <c r="AV10" s="1">
        <f t="shared" si="7"/>
        <v>1</v>
      </c>
      <c r="AW10" s="1">
        <f t="shared" si="8"/>
        <v>0</v>
      </c>
      <c r="AX10" s="1">
        <f t="shared" si="9"/>
        <v>0</v>
      </c>
      <c r="AY10" s="1" t="s">
        <v>48</v>
      </c>
      <c r="BA10" s="1" t="s">
        <v>729</v>
      </c>
      <c r="BB10" s="4">
        <f t="shared" ref="BB10:BJ10" si="53">IF(ISNUMBER(SEARCH(BB$1,$BA10)), 1, 0)</f>
        <v>0</v>
      </c>
      <c r="BC10" s="4">
        <f t="shared" si="53"/>
        <v>1</v>
      </c>
      <c r="BD10" s="4">
        <f t="shared" si="53"/>
        <v>0</v>
      </c>
      <c r="BE10" s="4">
        <f t="shared" si="53"/>
        <v>0</v>
      </c>
      <c r="BF10" s="4">
        <f t="shared" si="53"/>
        <v>1</v>
      </c>
      <c r="BG10" s="4">
        <f t="shared" si="53"/>
        <v>0</v>
      </c>
      <c r="BH10" s="4">
        <f t="shared" si="53"/>
        <v>0</v>
      </c>
      <c r="BI10" s="4">
        <f t="shared" si="53"/>
        <v>0</v>
      </c>
      <c r="BJ10" s="4">
        <f t="shared" si="53"/>
        <v>0</v>
      </c>
      <c r="BK10" s="4">
        <f t="shared" si="11"/>
        <v>2</v>
      </c>
      <c r="BM10" s="1" t="s">
        <v>166</v>
      </c>
      <c r="BN10" s="1" t="s">
        <v>268</v>
      </c>
      <c r="BO10" s="4">
        <f t="shared" ref="BO10:BU10" si="54">IF(ISNUMBER(SEARCH(BO$1,$BN10)), 1, 0)</f>
        <v>1</v>
      </c>
      <c r="BP10" s="4">
        <f t="shared" si="54"/>
        <v>1</v>
      </c>
      <c r="BQ10" s="4">
        <f t="shared" si="54"/>
        <v>0</v>
      </c>
      <c r="BR10" s="4">
        <f t="shared" si="54"/>
        <v>0</v>
      </c>
      <c r="BS10" s="4">
        <f t="shared" si="54"/>
        <v>0</v>
      </c>
      <c r="BT10" s="4">
        <f t="shared" si="54"/>
        <v>0</v>
      </c>
      <c r="BU10" s="4">
        <f t="shared" si="54"/>
        <v>0</v>
      </c>
      <c r="BV10" s="1" t="s">
        <v>730</v>
      </c>
      <c r="CH10" s="1" t="s">
        <v>731</v>
      </c>
      <c r="CI10" s="1" t="s">
        <v>732</v>
      </c>
      <c r="CJ10" s="1" t="s">
        <v>733</v>
      </c>
      <c r="CK10" s="1" t="s">
        <v>734</v>
      </c>
      <c r="CL10" s="1" t="s">
        <v>177</v>
      </c>
      <c r="CX10" s="1" t="s">
        <v>735</v>
      </c>
      <c r="CZ10" s="1" t="s">
        <v>736</v>
      </c>
      <c r="DC10" s="1" t="s">
        <v>180</v>
      </c>
    </row>
    <row r="11" spans="1:107" ht="15.75" customHeight="1" x14ac:dyDescent="0.25">
      <c r="A11" s="1" t="b">
        <v>1</v>
      </c>
      <c r="B11" s="3">
        <v>46166.415347222224</v>
      </c>
      <c r="C11" s="1" t="s">
        <v>639</v>
      </c>
      <c r="D11" s="1" t="s">
        <v>439</v>
      </c>
      <c r="E11" s="4">
        <f t="shared" ref="E11:K11" si="55">IF(ISNUMBER(SEARCH(E$1,$D11)), SEARCH(E$1,$D11), 0)</f>
        <v>1</v>
      </c>
      <c r="F11" s="4">
        <f t="shared" si="55"/>
        <v>30</v>
      </c>
      <c r="G11" s="4">
        <f t="shared" si="55"/>
        <v>0</v>
      </c>
      <c r="H11" s="4">
        <f t="shared" si="55"/>
        <v>0</v>
      </c>
      <c r="I11" s="4">
        <f t="shared" si="55"/>
        <v>105</v>
      </c>
      <c r="J11" s="4">
        <f t="shared" si="55"/>
        <v>0</v>
      </c>
      <c r="K11" s="4">
        <f t="shared" si="55"/>
        <v>0</v>
      </c>
      <c r="L11" s="4">
        <f t="shared" si="1"/>
        <v>105</v>
      </c>
      <c r="N11" s="1" t="s">
        <v>272</v>
      </c>
      <c r="O11" s="4">
        <f t="shared" ref="O11:T11" si="56">IF(ISNUMBER(SEARCH(O$1,$N11)), 1, 0)</f>
        <v>1</v>
      </c>
      <c r="P11" s="4">
        <f t="shared" si="56"/>
        <v>1</v>
      </c>
      <c r="Q11" s="4">
        <f t="shared" si="56"/>
        <v>1</v>
      </c>
      <c r="R11" s="4">
        <f t="shared" si="56"/>
        <v>1</v>
      </c>
      <c r="S11" s="4">
        <f t="shared" si="56"/>
        <v>1</v>
      </c>
      <c r="T11" s="4">
        <f t="shared" si="56"/>
        <v>0</v>
      </c>
      <c r="V11" s="1" t="s">
        <v>26</v>
      </c>
      <c r="W11" s="1" t="str">
        <f t="shared" si="3"/>
        <v>False</v>
      </c>
      <c r="X11" s="1" t="str">
        <f t="shared" si="3"/>
        <v>False</v>
      </c>
      <c r="Y11" s="1" t="str">
        <f t="shared" si="3"/>
        <v>False</v>
      </c>
      <c r="Z11" s="1" t="str">
        <f t="shared" si="3"/>
        <v>False</v>
      </c>
      <c r="AA11" s="1" t="str">
        <f t="shared" si="3"/>
        <v>True</v>
      </c>
      <c r="AB11" s="1" t="s">
        <v>568</v>
      </c>
      <c r="AC11" s="4">
        <f t="shared" ref="AC11:AH11" si="57">IF(ISNUMBER(SEARCH(AC$1,$AB11)), 1, 0)</f>
        <v>1</v>
      </c>
      <c r="AD11" s="4">
        <f t="shared" si="57"/>
        <v>0</v>
      </c>
      <c r="AE11" s="4">
        <f t="shared" si="57"/>
        <v>0</v>
      </c>
      <c r="AF11" s="4">
        <f t="shared" si="57"/>
        <v>1</v>
      </c>
      <c r="AG11" s="4">
        <f t="shared" si="57"/>
        <v>0</v>
      </c>
      <c r="AH11" s="4">
        <f t="shared" si="57"/>
        <v>1</v>
      </c>
      <c r="AI11" s="1">
        <f t="shared" si="5"/>
        <v>3</v>
      </c>
      <c r="AK11" s="1" t="s">
        <v>470</v>
      </c>
      <c r="AL11" s="4">
        <f t="shared" ref="AL11:AS11" si="58">IF(ISNUMBER(SEARCH(AL$1,$AK11)), 1, 0)</f>
        <v>0</v>
      </c>
      <c r="AM11" s="4">
        <f t="shared" si="58"/>
        <v>1</v>
      </c>
      <c r="AN11" s="4">
        <f t="shared" si="58"/>
        <v>0</v>
      </c>
      <c r="AO11" s="4">
        <f t="shared" si="58"/>
        <v>1</v>
      </c>
      <c r="AP11" s="4">
        <f t="shared" si="58"/>
        <v>0</v>
      </c>
      <c r="AQ11" s="4">
        <f t="shared" si="58"/>
        <v>1</v>
      </c>
      <c r="AR11" s="4">
        <f t="shared" si="58"/>
        <v>0</v>
      </c>
      <c r="AS11" s="4">
        <f t="shared" si="58"/>
        <v>0</v>
      </c>
      <c r="AU11" s="1" t="s">
        <v>49</v>
      </c>
      <c r="AV11" s="1">
        <f t="shared" si="7"/>
        <v>0</v>
      </c>
      <c r="AW11" s="1">
        <f t="shared" si="8"/>
        <v>0</v>
      </c>
      <c r="AX11" s="1">
        <f t="shared" si="9"/>
        <v>1</v>
      </c>
      <c r="AY11" s="1" t="s">
        <v>48</v>
      </c>
      <c r="BA11" s="1" t="s">
        <v>253</v>
      </c>
      <c r="BB11" s="4">
        <f t="shared" ref="BB11:BJ11" si="59">IF(ISNUMBER(SEARCH(BB$1,$BA11)), 1, 0)</f>
        <v>1</v>
      </c>
      <c r="BC11" s="4">
        <f t="shared" si="59"/>
        <v>1</v>
      </c>
      <c r="BD11" s="4">
        <f t="shared" si="59"/>
        <v>1</v>
      </c>
      <c r="BE11" s="4">
        <f t="shared" si="59"/>
        <v>1</v>
      </c>
      <c r="BF11" s="4">
        <f t="shared" si="59"/>
        <v>1</v>
      </c>
      <c r="BG11" s="4">
        <f t="shared" si="59"/>
        <v>0</v>
      </c>
      <c r="BH11" s="4">
        <f t="shared" si="59"/>
        <v>0</v>
      </c>
      <c r="BI11" s="4">
        <f t="shared" si="59"/>
        <v>0</v>
      </c>
      <c r="BJ11" s="4">
        <f t="shared" si="59"/>
        <v>1</v>
      </c>
      <c r="BK11" s="4">
        <f t="shared" si="11"/>
        <v>6</v>
      </c>
      <c r="BM11" s="1" t="s">
        <v>166</v>
      </c>
      <c r="BN11" s="1" t="s">
        <v>219</v>
      </c>
      <c r="BO11" s="4">
        <f t="shared" ref="BO11:BU11" si="60">IF(ISNUMBER(SEARCH(BO$1,$BN11)), 1, 0)</f>
        <v>1</v>
      </c>
      <c r="BP11" s="4">
        <f t="shared" si="60"/>
        <v>0</v>
      </c>
      <c r="BQ11" s="4">
        <f t="shared" si="60"/>
        <v>0</v>
      </c>
      <c r="BR11" s="4">
        <f t="shared" si="60"/>
        <v>0</v>
      </c>
      <c r="BS11" s="4">
        <f t="shared" si="60"/>
        <v>0</v>
      </c>
      <c r="BT11" s="4">
        <f t="shared" si="60"/>
        <v>1</v>
      </c>
      <c r="BU11" s="4">
        <f t="shared" si="60"/>
        <v>0</v>
      </c>
      <c r="CH11" s="1" t="s">
        <v>640</v>
      </c>
      <c r="CI11" s="1" t="s">
        <v>641</v>
      </c>
      <c r="CJ11" s="1" t="s">
        <v>642</v>
      </c>
      <c r="CL11" s="1" t="s">
        <v>177</v>
      </c>
      <c r="CX11" s="1" t="s">
        <v>643</v>
      </c>
      <c r="CZ11" s="1" t="s">
        <v>644</v>
      </c>
      <c r="DB11" s="1" t="s">
        <v>645</v>
      </c>
    </row>
    <row r="12" spans="1:107" ht="15.75" customHeight="1" x14ac:dyDescent="0.25">
      <c r="A12" s="1" t="b">
        <v>1</v>
      </c>
      <c r="B12" s="3">
        <v>46169.568993055553</v>
      </c>
      <c r="C12" s="1" t="s">
        <v>745</v>
      </c>
      <c r="D12" s="1" t="s">
        <v>439</v>
      </c>
      <c r="E12" s="4">
        <f t="shared" ref="E12:K12" si="61">IF(ISNUMBER(SEARCH(E$1,$D12)), SEARCH(E$1,$D12), 0)</f>
        <v>1</v>
      </c>
      <c r="F12" s="4">
        <f t="shared" si="61"/>
        <v>30</v>
      </c>
      <c r="G12" s="4">
        <f t="shared" si="61"/>
        <v>0</v>
      </c>
      <c r="H12" s="4">
        <f t="shared" si="61"/>
        <v>0</v>
      </c>
      <c r="I12" s="4">
        <f t="shared" si="61"/>
        <v>105</v>
      </c>
      <c r="J12" s="4">
        <f t="shared" si="61"/>
        <v>0</v>
      </c>
      <c r="K12" s="4">
        <f t="shared" si="61"/>
        <v>0</v>
      </c>
      <c r="L12" s="4">
        <f t="shared" si="1"/>
        <v>105</v>
      </c>
      <c r="N12" s="1" t="s">
        <v>208</v>
      </c>
      <c r="O12" s="4">
        <f t="shared" ref="O12:T12" si="62">IF(ISNUMBER(SEARCH(O$1,$N12)), 1, 0)</f>
        <v>1</v>
      </c>
      <c r="P12" s="4">
        <f t="shared" si="62"/>
        <v>1</v>
      </c>
      <c r="Q12" s="4">
        <f t="shared" si="62"/>
        <v>0</v>
      </c>
      <c r="R12" s="4">
        <f t="shared" si="62"/>
        <v>1</v>
      </c>
      <c r="S12" s="4">
        <f t="shared" si="62"/>
        <v>0</v>
      </c>
      <c r="T12" s="4">
        <f t="shared" si="62"/>
        <v>0</v>
      </c>
      <c r="W12" s="1" t="str">
        <f t="shared" si="3"/>
        <v>False</v>
      </c>
      <c r="X12" s="1" t="str">
        <f t="shared" si="3"/>
        <v>False</v>
      </c>
      <c r="Y12" s="1" t="str">
        <f t="shared" si="3"/>
        <v>False</v>
      </c>
      <c r="Z12" s="1" t="str">
        <f t="shared" si="3"/>
        <v>False</v>
      </c>
      <c r="AA12" s="1" t="str">
        <f t="shared" si="3"/>
        <v>False</v>
      </c>
      <c r="AB12" s="1" t="s">
        <v>33</v>
      </c>
      <c r="AC12" s="4">
        <f t="shared" ref="AC12:AH12" si="63">IF(ISNUMBER(SEARCH(AC$1,$AB12)), 1, 0)</f>
        <v>0</v>
      </c>
      <c r="AD12" s="4">
        <f t="shared" si="63"/>
        <v>0</v>
      </c>
      <c r="AE12" s="4">
        <f t="shared" si="63"/>
        <v>0</v>
      </c>
      <c r="AF12" s="4">
        <f t="shared" si="63"/>
        <v>0</v>
      </c>
      <c r="AG12" s="4">
        <f t="shared" si="63"/>
        <v>0</v>
      </c>
      <c r="AH12" s="4">
        <f t="shared" si="63"/>
        <v>1</v>
      </c>
      <c r="AI12" s="1">
        <f t="shared" si="5"/>
        <v>1</v>
      </c>
      <c r="AK12" s="1" t="s">
        <v>38</v>
      </c>
      <c r="AL12" s="4">
        <f t="shared" ref="AL12:AS12" si="64">IF(ISNUMBER(SEARCH(AL$1,$AK12)), 1, 0)</f>
        <v>0</v>
      </c>
      <c r="AM12" s="4">
        <f t="shared" si="64"/>
        <v>1</v>
      </c>
      <c r="AN12" s="4">
        <f t="shared" si="64"/>
        <v>0</v>
      </c>
      <c r="AO12" s="4">
        <f t="shared" si="64"/>
        <v>0</v>
      </c>
      <c r="AP12" s="4">
        <f t="shared" si="64"/>
        <v>0</v>
      </c>
      <c r="AQ12" s="4">
        <f t="shared" si="64"/>
        <v>0</v>
      </c>
      <c r="AR12" s="4">
        <f t="shared" si="64"/>
        <v>0</v>
      </c>
      <c r="AS12" s="4">
        <f t="shared" si="64"/>
        <v>0</v>
      </c>
      <c r="AU12" s="1" t="s">
        <v>47</v>
      </c>
      <c r="AV12" s="1">
        <f t="shared" si="7"/>
        <v>1</v>
      </c>
      <c r="AW12" s="1">
        <f t="shared" si="8"/>
        <v>0</v>
      </c>
      <c r="AX12" s="1">
        <f t="shared" si="9"/>
        <v>0</v>
      </c>
      <c r="AY12" s="1" t="s">
        <v>48</v>
      </c>
      <c r="BA12" s="1" t="s">
        <v>231</v>
      </c>
      <c r="BB12" s="4">
        <f t="shared" ref="BB12:BJ12" si="65">IF(ISNUMBER(SEARCH(BB$1,$BA12)), 1, 0)</f>
        <v>1</v>
      </c>
      <c r="BC12" s="4">
        <f t="shared" si="65"/>
        <v>1</v>
      </c>
      <c r="BD12" s="4">
        <f t="shared" si="65"/>
        <v>1</v>
      </c>
      <c r="BE12" s="4">
        <f t="shared" si="65"/>
        <v>1</v>
      </c>
      <c r="BF12" s="4">
        <f t="shared" si="65"/>
        <v>1</v>
      </c>
      <c r="BG12" s="4">
        <f t="shared" si="65"/>
        <v>1</v>
      </c>
      <c r="BH12" s="4">
        <f t="shared" si="65"/>
        <v>0</v>
      </c>
      <c r="BI12" s="4">
        <f t="shared" si="65"/>
        <v>0</v>
      </c>
      <c r="BJ12" s="4">
        <f t="shared" si="65"/>
        <v>1</v>
      </c>
      <c r="BK12" s="4">
        <f t="shared" si="11"/>
        <v>7</v>
      </c>
      <c r="BM12" s="1" t="s">
        <v>232</v>
      </c>
      <c r="BN12" s="1" t="s">
        <v>746</v>
      </c>
      <c r="BO12" s="4">
        <f t="shared" ref="BO12:BU12" si="66">IF(ISNUMBER(SEARCH(BO$1,$BN12)), 1, 0)</f>
        <v>0</v>
      </c>
      <c r="BP12" s="4">
        <f t="shared" si="66"/>
        <v>0</v>
      </c>
      <c r="BQ12" s="4">
        <f t="shared" si="66"/>
        <v>1</v>
      </c>
      <c r="BR12" s="4">
        <f t="shared" si="66"/>
        <v>1</v>
      </c>
      <c r="BS12" s="4">
        <f t="shared" si="66"/>
        <v>0</v>
      </c>
      <c r="BT12" s="4">
        <f t="shared" si="66"/>
        <v>1</v>
      </c>
      <c r="BU12" s="4">
        <f t="shared" si="66"/>
        <v>1</v>
      </c>
      <c r="CH12" s="1" t="s">
        <v>747</v>
      </c>
      <c r="CJ12" s="1" t="s">
        <v>642</v>
      </c>
      <c r="CL12" s="1" t="s">
        <v>352</v>
      </c>
      <c r="CX12" s="1" t="s">
        <v>748</v>
      </c>
      <c r="CZ12" s="1" t="s">
        <v>178</v>
      </c>
      <c r="DC12" s="1" t="s">
        <v>180</v>
      </c>
    </row>
    <row r="13" spans="1:107" ht="15.75" customHeight="1" x14ac:dyDescent="0.25">
      <c r="A13" s="1" t="b">
        <v>1</v>
      </c>
      <c r="B13" s="3">
        <v>46171.373171296298</v>
      </c>
      <c r="C13" s="1" t="s">
        <v>768</v>
      </c>
      <c r="D13" s="1" t="s">
        <v>439</v>
      </c>
      <c r="E13" s="4">
        <f t="shared" ref="E13:K13" si="67">IF(ISNUMBER(SEARCH(E$1,$D13)), SEARCH(E$1,$D13), 0)</f>
        <v>1</v>
      </c>
      <c r="F13" s="4">
        <f t="shared" si="67"/>
        <v>30</v>
      </c>
      <c r="G13" s="4">
        <f t="shared" si="67"/>
        <v>0</v>
      </c>
      <c r="H13" s="4">
        <f t="shared" si="67"/>
        <v>0</v>
      </c>
      <c r="I13" s="4">
        <f t="shared" si="67"/>
        <v>105</v>
      </c>
      <c r="J13" s="4">
        <f t="shared" si="67"/>
        <v>0</v>
      </c>
      <c r="K13" s="4">
        <f t="shared" si="67"/>
        <v>0</v>
      </c>
      <c r="L13" s="4">
        <f t="shared" si="1"/>
        <v>105</v>
      </c>
      <c r="N13" s="1" t="s">
        <v>328</v>
      </c>
      <c r="O13" s="4">
        <f t="shared" ref="O13:T13" si="68">IF(ISNUMBER(SEARCH(O$1,$N13)), 1, 0)</f>
        <v>1</v>
      </c>
      <c r="P13" s="4">
        <f t="shared" si="68"/>
        <v>1</v>
      </c>
      <c r="Q13" s="4">
        <f t="shared" si="68"/>
        <v>1</v>
      </c>
      <c r="R13" s="4">
        <f t="shared" si="68"/>
        <v>0</v>
      </c>
      <c r="S13" s="4">
        <f t="shared" si="68"/>
        <v>0</v>
      </c>
      <c r="T13" s="4">
        <f t="shared" si="68"/>
        <v>0</v>
      </c>
      <c r="V13" s="1" t="s">
        <v>25</v>
      </c>
      <c r="W13" s="1" t="str">
        <f t="shared" ref="W13:AA22" si="69">IF(W$1=$V13, "True", "False")</f>
        <v>False</v>
      </c>
      <c r="X13" s="1" t="str">
        <f t="shared" si="69"/>
        <v>False</v>
      </c>
      <c r="Y13" s="1" t="str">
        <f t="shared" si="69"/>
        <v>False</v>
      </c>
      <c r="Z13" s="1" t="str">
        <f t="shared" si="69"/>
        <v>True</v>
      </c>
      <c r="AA13" s="1" t="str">
        <f t="shared" si="69"/>
        <v>False</v>
      </c>
      <c r="AB13" s="1" t="s">
        <v>311</v>
      </c>
      <c r="AC13" s="4">
        <f t="shared" ref="AC13:AH13" si="70">IF(ISNUMBER(SEARCH(AC$1,$AB13)), 1, 0)</f>
        <v>1</v>
      </c>
      <c r="AD13" s="4">
        <f t="shared" si="70"/>
        <v>0</v>
      </c>
      <c r="AE13" s="4">
        <f t="shared" si="70"/>
        <v>0</v>
      </c>
      <c r="AF13" s="4">
        <f t="shared" si="70"/>
        <v>0</v>
      </c>
      <c r="AG13" s="4">
        <f t="shared" si="70"/>
        <v>0</v>
      </c>
      <c r="AH13" s="4">
        <f t="shared" si="70"/>
        <v>0</v>
      </c>
      <c r="AI13" s="1">
        <f t="shared" si="5"/>
        <v>1</v>
      </c>
      <c r="AJ13" s="1" t="s">
        <v>769</v>
      </c>
      <c r="AK13" s="1" t="s">
        <v>346</v>
      </c>
      <c r="AL13" s="4">
        <f t="shared" ref="AL13:AS13" si="71">IF(ISNUMBER(SEARCH(AL$1,$AK13)), 1, 0)</f>
        <v>0</v>
      </c>
      <c r="AM13" s="4">
        <f t="shared" si="71"/>
        <v>1</v>
      </c>
      <c r="AN13" s="4">
        <f t="shared" si="71"/>
        <v>1</v>
      </c>
      <c r="AO13" s="4">
        <f t="shared" si="71"/>
        <v>1</v>
      </c>
      <c r="AP13" s="4">
        <f t="shared" si="71"/>
        <v>0</v>
      </c>
      <c r="AQ13" s="4">
        <f t="shared" si="71"/>
        <v>0</v>
      </c>
      <c r="AR13" s="4">
        <f t="shared" si="71"/>
        <v>0</v>
      </c>
      <c r="AS13" s="4">
        <f t="shared" si="71"/>
        <v>0</v>
      </c>
      <c r="AU13" s="1" t="s">
        <v>47</v>
      </c>
      <c r="AV13" s="1">
        <f t="shared" si="7"/>
        <v>1</v>
      </c>
      <c r="AW13" s="1">
        <f t="shared" si="8"/>
        <v>0</v>
      </c>
      <c r="AX13" s="1">
        <f t="shared" si="9"/>
        <v>0</v>
      </c>
      <c r="AY13" s="1" t="s">
        <v>48</v>
      </c>
      <c r="BA13" s="1" t="s">
        <v>419</v>
      </c>
      <c r="BB13" s="4">
        <f t="shared" ref="BB13:BJ13" si="72">IF(ISNUMBER(SEARCH(BB$1,$BA13)), 1, 0)</f>
        <v>0</v>
      </c>
      <c r="BC13" s="4">
        <f t="shared" si="72"/>
        <v>1</v>
      </c>
      <c r="BD13" s="4">
        <f t="shared" si="72"/>
        <v>0</v>
      </c>
      <c r="BE13" s="4">
        <f t="shared" si="72"/>
        <v>1</v>
      </c>
      <c r="BF13" s="4">
        <f t="shared" si="72"/>
        <v>0</v>
      </c>
      <c r="BG13" s="4">
        <f t="shared" si="72"/>
        <v>1</v>
      </c>
      <c r="BH13" s="4">
        <f t="shared" si="72"/>
        <v>0</v>
      </c>
      <c r="BI13" s="4">
        <f t="shared" si="72"/>
        <v>0</v>
      </c>
      <c r="BJ13" s="4">
        <f t="shared" si="72"/>
        <v>1</v>
      </c>
      <c r="BK13" s="4">
        <f t="shared" si="11"/>
        <v>4</v>
      </c>
      <c r="BM13" s="1" t="s">
        <v>232</v>
      </c>
      <c r="BN13" s="1" t="s">
        <v>770</v>
      </c>
      <c r="BO13" s="4">
        <f t="shared" ref="BO13:BU13" si="73">IF(ISNUMBER(SEARCH(BO$1,$BN13)), 1, 0)</f>
        <v>0</v>
      </c>
      <c r="BP13" s="4">
        <f t="shared" si="73"/>
        <v>1</v>
      </c>
      <c r="BQ13" s="4">
        <f t="shared" si="73"/>
        <v>0</v>
      </c>
      <c r="BR13" s="4">
        <f t="shared" si="73"/>
        <v>1</v>
      </c>
      <c r="BS13" s="4">
        <f t="shared" si="73"/>
        <v>0</v>
      </c>
      <c r="BT13" s="4">
        <f t="shared" si="73"/>
        <v>1</v>
      </c>
      <c r="BU13" s="4">
        <f t="shared" si="73"/>
        <v>0</v>
      </c>
      <c r="CH13" s="1" t="s">
        <v>771</v>
      </c>
      <c r="CI13" s="1" t="s">
        <v>772</v>
      </c>
      <c r="CJ13" s="1" t="s">
        <v>549</v>
      </c>
      <c r="CL13" s="1" t="s">
        <v>601</v>
      </c>
      <c r="CX13" s="1" t="s">
        <v>534</v>
      </c>
      <c r="CZ13" s="1" t="s">
        <v>773</v>
      </c>
      <c r="DB13" s="1" t="s">
        <v>774</v>
      </c>
      <c r="DC13" s="1" t="s">
        <v>180</v>
      </c>
    </row>
    <row r="14" spans="1:107" ht="15.75" customHeight="1" x14ac:dyDescent="0.25">
      <c r="A14" s="1" t="b">
        <v>1</v>
      </c>
      <c r="B14" s="3">
        <v>46164.742569444446</v>
      </c>
      <c r="C14" s="1" t="s">
        <v>543</v>
      </c>
      <c r="D14" s="1" t="s">
        <v>544</v>
      </c>
      <c r="E14" s="4">
        <f t="shared" ref="E14:K14" si="74">IF(ISNUMBER(SEARCH(E$1,$D14)), SEARCH(E$1,$D14), 0)</f>
        <v>1</v>
      </c>
      <c r="F14" s="4">
        <f t="shared" si="74"/>
        <v>30</v>
      </c>
      <c r="G14" s="4">
        <f t="shared" si="74"/>
        <v>0</v>
      </c>
      <c r="H14" s="4">
        <f t="shared" si="74"/>
        <v>0</v>
      </c>
      <c r="I14" s="4">
        <f t="shared" si="74"/>
        <v>105</v>
      </c>
      <c r="J14" s="4">
        <f t="shared" si="74"/>
        <v>0</v>
      </c>
      <c r="K14" s="4">
        <f t="shared" si="74"/>
        <v>137</v>
      </c>
      <c r="L14" s="4">
        <f t="shared" si="1"/>
        <v>137</v>
      </c>
      <c r="N14" s="1" t="s">
        <v>187</v>
      </c>
      <c r="O14" s="4">
        <f t="shared" ref="O14:T14" si="75">IF(ISNUMBER(SEARCH(O$1,$N14)), 1, 0)</f>
        <v>1</v>
      </c>
      <c r="P14" s="4">
        <f t="shared" si="75"/>
        <v>1</v>
      </c>
      <c r="Q14" s="4">
        <f t="shared" si="75"/>
        <v>1</v>
      </c>
      <c r="R14" s="4">
        <f t="shared" si="75"/>
        <v>1</v>
      </c>
      <c r="S14" s="4">
        <f t="shared" si="75"/>
        <v>1</v>
      </c>
      <c r="T14" s="4">
        <f t="shared" si="75"/>
        <v>1</v>
      </c>
      <c r="W14" s="1" t="str">
        <f t="shared" si="69"/>
        <v>False</v>
      </c>
      <c r="X14" s="1" t="str">
        <f t="shared" si="69"/>
        <v>False</v>
      </c>
      <c r="Y14" s="1" t="str">
        <f t="shared" si="69"/>
        <v>False</v>
      </c>
      <c r="Z14" s="1" t="str">
        <f t="shared" si="69"/>
        <v>False</v>
      </c>
      <c r="AA14" s="1" t="str">
        <f t="shared" si="69"/>
        <v>False</v>
      </c>
      <c r="AB14" s="1" t="s">
        <v>29</v>
      </c>
      <c r="AC14" s="4">
        <f t="shared" ref="AC14:AH14" si="76">IF(ISNUMBER(SEARCH(AC$1,$AB14)), 1, 0)</f>
        <v>0</v>
      </c>
      <c r="AD14" s="4">
        <f t="shared" si="76"/>
        <v>1</v>
      </c>
      <c r="AE14" s="4">
        <f t="shared" si="76"/>
        <v>0</v>
      </c>
      <c r="AF14" s="4">
        <f t="shared" si="76"/>
        <v>0</v>
      </c>
      <c r="AG14" s="4">
        <f t="shared" si="76"/>
        <v>0</v>
      </c>
      <c r="AH14" s="4">
        <f t="shared" si="76"/>
        <v>0</v>
      </c>
      <c r="AI14" s="1">
        <f t="shared" si="5"/>
        <v>1</v>
      </c>
      <c r="AK14" s="1" t="s">
        <v>506</v>
      </c>
      <c r="AL14" s="4">
        <f t="shared" ref="AL14:AS14" si="77">IF(ISNUMBER(SEARCH(AL$1,$AK14)), 1, 0)</f>
        <v>1</v>
      </c>
      <c r="AM14" s="4">
        <f t="shared" si="77"/>
        <v>1</v>
      </c>
      <c r="AN14" s="4">
        <f t="shared" si="77"/>
        <v>0</v>
      </c>
      <c r="AO14" s="4">
        <f t="shared" si="77"/>
        <v>0</v>
      </c>
      <c r="AP14" s="4">
        <f t="shared" si="77"/>
        <v>0</v>
      </c>
      <c r="AQ14" s="4">
        <f t="shared" si="77"/>
        <v>0</v>
      </c>
      <c r="AR14" s="4">
        <f t="shared" si="77"/>
        <v>0</v>
      </c>
      <c r="AS14" s="4">
        <f t="shared" si="77"/>
        <v>0</v>
      </c>
      <c r="AU14" s="1" t="s">
        <v>48</v>
      </c>
      <c r="AV14" s="1">
        <f t="shared" si="7"/>
        <v>0</v>
      </c>
      <c r="AW14" s="1">
        <f t="shared" si="8"/>
        <v>1</v>
      </c>
      <c r="AX14" s="1">
        <f t="shared" si="9"/>
        <v>0</v>
      </c>
      <c r="AY14" s="1" t="s">
        <v>48</v>
      </c>
      <c r="BA14" s="1" t="s">
        <v>545</v>
      </c>
      <c r="BB14" s="4">
        <f t="shared" ref="BB14:BJ14" si="78">IF(ISNUMBER(SEARCH(BB$1,$BA14)), 1, 0)</f>
        <v>1</v>
      </c>
      <c r="BC14" s="4">
        <f t="shared" si="78"/>
        <v>0</v>
      </c>
      <c r="BD14" s="4">
        <f t="shared" si="78"/>
        <v>1</v>
      </c>
      <c r="BE14" s="4">
        <f t="shared" si="78"/>
        <v>0</v>
      </c>
      <c r="BF14" s="4">
        <f t="shared" si="78"/>
        <v>1</v>
      </c>
      <c r="BG14" s="4">
        <f t="shared" si="78"/>
        <v>0</v>
      </c>
      <c r="BH14" s="4">
        <f t="shared" si="78"/>
        <v>0</v>
      </c>
      <c r="BI14" s="4">
        <f t="shared" si="78"/>
        <v>0</v>
      </c>
      <c r="BJ14" s="4">
        <f t="shared" si="78"/>
        <v>1</v>
      </c>
      <c r="BK14" s="4">
        <f t="shared" si="11"/>
        <v>4</v>
      </c>
      <c r="BM14" s="1" t="s">
        <v>232</v>
      </c>
      <c r="BN14" s="1" t="s">
        <v>546</v>
      </c>
      <c r="BO14" s="4">
        <f t="shared" ref="BO14:BU14" si="79">IF(ISNUMBER(SEARCH(BO$1,$BN14)), 1, 0)</f>
        <v>0</v>
      </c>
      <c r="BP14" s="4">
        <f t="shared" si="79"/>
        <v>0</v>
      </c>
      <c r="BQ14" s="4">
        <f t="shared" si="79"/>
        <v>0</v>
      </c>
      <c r="BR14" s="4">
        <f t="shared" si="79"/>
        <v>0</v>
      </c>
      <c r="BS14" s="4">
        <f t="shared" si="79"/>
        <v>1</v>
      </c>
      <c r="BT14" s="4">
        <f t="shared" si="79"/>
        <v>0</v>
      </c>
      <c r="BU14" s="4">
        <f t="shared" si="79"/>
        <v>1</v>
      </c>
      <c r="BW14" s="1" t="s">
        <v>547</v>
      </c>
      <c r="BZ14" s="1" t="s">
        <v>548</v>
      </c>
      <c r="CH14" s="1" t="s">
        <v>520</v>
      </c>
      <c r="CJ14" s="1" t="s">
        <v>549</v>
      </c>
      <c r="CL14" s="1" t="s">
        <v>177</v>
      </c>
      <c r="CM14" s="1" t="s">
        <v>49</v>
      </c>
      <c r="CX14" s="1" t="s">
        <v>550</v>
      </c>
      <c r="CZ14" s="1" t="s">
        <v>178</v>
      </c>
      <c r="DC14" s="1" t="s">
        <v>180</v>
      </c>
    </row>
    <row r="15" spans="1:107" ht="15.75" customHeight="1" x14ac:dyDescent="0.25">
      <c r="A15" s="1" t="b">
        <v>1</v>
      </c>
      <c r="B15" s="3">
        <v>46154.916574074072</v>
      </c>
      <c r="C15" s="1" t="s">
        <v>343</v>
      </c>
      <c r="D15" s="1" t="s">
        <v>344</v>
      </c>
      <c r="E15" s="4">
        <f t="shared" ref="E15:K15" si="80">IF(ISNUMBER(SEARCH(E$1,$D15)), SEARCH(E$1,$D15), 0)</f>
        <v>1</v>
      </c>
      <c r="F15" s="4">
        <f t="shared" si="80"/>
        <v>30</v>
      </c>
      <c r="G15" s="4">
        <f t="shared" si="80"/>
        <v>0</v>
      </c>
      <c r="H15" s="4">
        <f t="shared" si="80"/>
        <v>0</v>
      </c>
      <c r="I15" s="4">
        <f t="shared" si="80"/>
        <v>105</v>
      </c>
      <c r="J15" s="4">
        <f t="shared" si="80"/>
        <v>137</v>
      </c>
      <c r="K15" s="4">
        <f t="shared" si="80"/>
        <v>0</v>
      </c>
      <c r="L15" s="4">
        <f t="shared" si="1"/>
        <v>137</v>
      </c>
      <c r="N15" s="1" t="s">
        <v>328</v>
      </c>
      <c r="O15" s="4">
        <f t="shared" ref="O15:T15" si="81">IF(ISNUMBER(SEARCH(O$1,$N15)), 1, 0)</f>
        <v>1</v>
      </c>
      <c r="P15" s="4">
        <f t="shared" si="81"/>
        <v>1</v>
      </c>
      <c r="Q15" s="4">
        <f t="shared" si="81"/>
        <v>1</v>
      </c>
      <c r="R15" s="4">
        <f t="shared" si="81"/>
        <v>0</v>
      </c>
      <c r="S15" s="4">
        <f t="shared" si="81"/>
        <v>0</v>
      </c>
      <c r="T15" s="4">
        <f t="shared" si="81"/>
        <v>0</v>
      </c>
      <c r="V15" s="1" t="s">
        <v>23</v>
      </c>
      <c r="W15" s="1" t="str">
        <f t="shared" si="69"/>
        <v>False</v>
      </c>
      <c r="X15" s="1" t="str">
        <f t="shared" si="69"/>
        <v>True</v>
      </c>
      <c r="Y15" s="1" t="str">
        <f t="shared" si="69"/>
        <v>False</v>
      </c>
      <c r="Z15" s="1" t="str">
        <f t="shared" si="69"/>
        <v>False</v>
      </c>
      <c r="AA15" s="1" t="str">
        <f t="shared" si="69"/>
        <v>False</v>
      </c>
      <c r="AB15" s="1" t="s">
        <v>183</v>
      </c>
      <c r="AC15" s="4">
        <f t="shared" ref="AC15:AH15" si="82">IF(ISNUMBER(SEARCH(AC$1,$AB15)), 1, 0)</f>
        <v>0</v>
      </c>
      <c r="AD15" s="4">
        <f t="shared" si="82"/>
        <v>0</v>
      </c>
      <c r="AE15" s="4">
        <f t="shared" si="82"/>
        <v>0</v>
      </c>
      <c r="AF15" s="4">
        <f t="shared" si="82"/>
        <v>0</v>
      </c>
      <c r="AG15" s="4">
        <f t="shared" si="82"/>
        <v>0</v>
      </c>
      <c r="AH15" s="4">
        <f t="shared" si="82"/>
        <v>0</v>
      </c>
      <c r="AI15" s="1">
        <f t="shared" si="5"/>
        <v>0</v>
      </c>
      <c r="AJ15" s="1" t="s">
        <v>345</v>
      </c>
      <c r="AK15" s="1" t="s">
        <v>346</v>
      </c>
      <c r="AL15" s="4">
        <f t="shared" ref="AL15:AS15" si="83">IF(ISNUMBER(SEARCH(AL$1,$AK15)), 1, 0)</f>
        <v>0</v>
      </c>
      <c r="AM15" s="4">
        <f t="shared" si="83"/>
        <v>1</v>
      </c>
      <c r="AN15" s="4">
        <f t="shared" si="83"/>
        <v>1</v>
      </c>
      <c r="AO15" s="4">
        <f t="shared" si="83"/>
        <v>1</v>
      </c>
      <c r="AP15" s="4">
        <f t="shared" si="83"/>
        <v>0</v>
      </c>
      <c r="AQ15" s="4">
        <f t="shared" si="83"/>
        <v>0</v>
      </c>
      <c r="AR15" s="4">
        <f t="shared" si="83"/>
        <v>0</v>
      </c>
      <c r="AS15" s="4">
        <f t="shared" si="83"/>
        <v>0</v>
      </c>
      <c r="AU15" s="1" t="s">
        <v>47</v>
      </c>
      <c r="AV15" s="1">
        <f t="shared" si="7"/>
        <v>1</v>
      </c>
      <c r="AW15" s="1">
        <f t="shared" si="8"/>
        <v>0</v>
      </c>
      <c r="AX15" s="1">
        <f t="shared" si="9"/>
        <v>0</v>
      </c>
      <c r="AY15" s="1" t="s">
        <v>48</v>
      </c>
      <c r="BA15" s="1" t="s">
        <v>347</v>
      </c>
      <c r="BB15" s="4">
        <f t="shared" ref="BB15:BJ15" si="84">IF(ISNUMBER(SEARCH(BB$1,$BA15)), 1, 0)</f>
        <v>1</v>
      </c>
      <c r="BC15" s="4">
        <f t="shared" si="84"/>
        <v>0</v>
      </c>
      <c r="BD15" s="4">
        <f t="shared" si="84"/>
        <v>0</v>
      </c>
      <c r="BE15" s="4">
        <f t="shared" si="84"/>
        <v>0</v>
      </c>
      <c r="BF15" s="4">
        <f t="shared" si="84"/>
        <v>1</v>
      </c>
      <c r="BG15" s="4">
        <f t="shared" si="84"/>
        <v>0</v>
      </c>
      <c r="BH15" s="4">
        <f t="shared" si="84"/>
        <v>0</v>
      </c>
      <c r="BI15" s="4">
        <f t="shared" si="84"/>
        <v>0</v>
      </c>
      <c r="BJ15" s="4">
        <f t="shared" si="84"/>
        <v>1</v>
      </c>
      <c r="BK15" s="4">
        <f t="shared" si="11"/>
        <v>3</v>
      </c>
      <c r="BM15" s="1" t="s">
        <v>166</v>
      </c>
      <c r="BN15" s="1" t="s">
        <v>348</v>
      </c>
      <c r="BO15" s="4">
        <f t="shared" ref="BO15:BU15" si="85">IF(ISNUMBER(SEARCH(BO$1,$BN15)), 1, 0)</f>
        <v>0</v>
      </c>
      <c r="BP15" s="4">
        <f t="shared" si="85"/>
        <v>0</v>
      </c>
      <c r="BQ15" s="4">
        <f t="shared" si="85"/>
        <v>0</v>
      </c>
      <c r="BR15" s="4">
        <f t="shared" si="85"/>
        <v>0</v>
      </c>
      <c r="BS15" s="4">
        <f t="shared" si="85"/>
        <v>0</v>
      </c>
      <c r="BT15" s="4">
        <f t="shared" si="85"/>
        <v>1</v>
      </c>
      <c r="BU15" s="4">
        <f t="shared" si="85"/>
        <v>0</v>
      </c>
      <c r="BV15" s="1" t="s">
        <v>349</v>
      </c>
      <c r="CH15" s="1" t="s">
        <v>350</v>
      </c>
      <c r="CI15" s="1" t="s">
        <v>351</v>
      </c>
      <c r="CL15" s="1" t="s">
        <v>352</v>
      </c>
      <c r="CX15" s="1" t="s">
        <v>353</v>
      </c>
      <c r="CZ15" s="1" t="s">
        <v>354</v>
      </c>
      <c r="DB15" s="1" t="s">
        <v>355</v>
      </c>
      <c r="DC15" s="1" t="s">
        <v>180</v>
      </c>
    </row>
    <row r="16" spans="1:107" ht="15.75" customHeight="1" x14ac:dyDescent="0.25">
      <c r="A16" s="1" t="b">
        <v>0</v>
      </c>
      <c r="B16" s="3">
        <v>46169.409421296295</v>
      </c>
      <c r="C16" s="1" t="s">
        <v>737</v>
      </c>
      <c r="D16" s="1" t="s">
        <v>738</v>
      </c>
      <c r="E16" s="4">
        <f t="shared" ref="E16:K16" si="86">IF(ISNUMBER(SEARCH(E$1,$D16)), SEARCH(E$1,$D16), 0)</f>
        <v>1</v>
      </c>
      <c r="F16" s="4">
        <f t="shared" si="86"/>
        <v>0</v>
      </c>
      <c r="G16" s="4">
        <f t="shared" si="86"/>
        <v>0</v>
      </c>
      <c r="H16" s="4">
        <f t="shared" si="86"/>
        <v>30</v>
      </c>
      <c r="I16" s="4">
        <f t="shared" si="86"/>
        <v>68</v>
      </c>
      <c r="J16" s="4">
        <f t="shared" si="86"/>
        <v>0</v>
      </c>
      <c r="K16" s="4">
        <f t="shared" si="86"/>
        <v>0</v>
      </c>
      <c r="L16" s="4">
        <f t="shared" si="1"/>
        <v>68</v>
      </c>
      <c r="N16" s="1" t="s">
        <v>739</v>
      </c>
      <c r="O16" s="4">
        <f t="shared" ref="O16:T16" si="87">IF(ISNUMBER(SEARCH(O$1,$N16)), 1, 0)</f>
        <v>0</v>
      </c>
      <c r="P16" s="4">
        <f t="shared" si="87"/>
        <v>0</v>
      </c>
      <c r="Q16" s="4">
        <f t="shared" si="87"/>
        <v>1</v>
      </c>
      <c r="R16" s="4">
        <f t="shared" si="87"/>
        <v>1</v>
      </c>
      <c r="S16" s="4">
        <f t="shared" si="87"/>
        <v>0</v>
      </c>
      <c r="T16" s="4">
        <f t="shared" si="87"/>
        <v>0</v>
      </c>
      <c r="V16" s="1" t="s">
        <v>25</v>
      </c>
      <c r="W16" s="1" t="str">
        <f t="shared" si="69"/>
        <v>False</v>
      </c>
      <c r="X16" s="1" t="str">
        <f t="shared" si="69"/>
        <v>False</v>
      </c>
      <c r="Y16" s="1" t="str">
        <f t="shared" si="69"/>
        <v>False</v>
      </c>
      <c r="Z16" s="1" t="str">
        <f t="shared" si="69"/>
        <v>True</v>
      </c>
      <c r="AA16" s="1" t="str">
        <f t="shared" si="69"/>
        <v>False</v>
      </c>
      <c r="AB16" s="1" t="s">
        <v>357</v>
      </c>
      <c r="AC16" s="4">
        <f t="shared" ref="AC16:AH16" si="88">IF(ISNUMBER(SEARCH(AC$1,$AB16)), 1, 0)</f>
        <v>1</v>
      </c>
      <c r="AD16" s="4">
        <f t="shared" si="88"/>
        <v>0</v>
      </c>
      <c r="AE16" s="4">
        <f t="shared" si="88"/>
        <v>0</v>
      </c>
      <c r="AF16" s="4">
        <f t="shared" si="88"/>
        <v>0</v>
      </c>
      <c r="AG16" s="4">
        <f t="shared" si="88"/>
        <v>0</v>
      </c>
      <c r="AH16" s="4">
        <f t="shared" si="88"/>
        <v>1</v>
      </c>
      <c r="AI16" s="1">
        <f t="shared" si="5"/>
        <v>2</v>
      </c>
      <c r="AK16" s="1" t="s">
        <v>492</v>
      </c>
      <c r="AL16" s="4">
        <f t="shared" ref="AL16:AS16" si="89">IF(ISNUMBER(SEARCH(AL$1,$AK16)), 1, 0)</f>
        <v>1</v>
      </c>
      <c r="AM16" s="4">
        <f t="shared" si="89"/>
        <v>1</v>
      </c>
      <c r="AN16" s="4">
        <f t="shared" si="89"/>
        <v>1</v>
      </c>
      <c r="AO16" s="4">
        <f t="shared" si="89"/>
        <v>1</v>
      </c>
      <c r="AP16" s="4">
        <f t="shared" si="89"/>
        <v>1</v>
      </c>
      <c r="AQ16" s="4">
        <f t="shared" si="89"/>
        <v>1</v>
      </c>
      <c r="AR16" s="4">
        <f t="shared" si="89"/>
        <v>1</v>
      </c>
      <c r="AS16" s="4">
        <f t="shared" si="89"/>
        <v>0</v>
      </c>
      <c r="AU16" s="1" t="s">
        <v>47</v>
      </c>
      <c r="AV16" s="1">
        <f t="shared" si="7"/>
        <v>1</v>
      </c>
      <c r="AW16" s="1">
        <f t="shared" si="8"/>
        <v>0</v>
      </c>
      <c r="AX16" s="1">
        <f t="shared" si="9"/>
        <v>0</v>
      </c>
      <c r="AY16" s="1" t="s">
        <v>47</v>
      </c>
      <c r="AZ16" s="1" t="s">
        <v>48</v>
      </c>
      <c r="BA16" s="1" t="s">
        <v>231</v>
      </c>
      <c r="BB16" s="4">
        <f t="shared" ref="BB16:BJ16" si="90">IF(ISNUMBER(SEARCH(BB$1,$BA16)), 1, 0)</f>
        <v>1</v>
      </c>
      <c r="BC16" s="4">
        <f t="shared" si="90"/>
        <v>1</v>
      </c>
      <c r="BD16" s="4">
        <f t="shared" si="90"/>
        <v>1</v>
      </c>
      <c r="BE16" s="4">
        <f t="shared" si="90"/>
        <v>1</v>
      </c>
      <c r="BF16" s="4">
        <f t="shared" si="90"/>
        <v>1</v>
      </c>
      <c r="BG16" s="4">
        <f t="shared" si="90"/>
        <v>1</v>
      </c>
      <c r="BH16" s="4">
        <f t="shared" si="90"/>
        <v>0</v>
      </c>
      <c r="BI16" s="4">
        <f t="shared" si="90"/>
        <v>0</v>
      </c>
      <c r="BJ16" s="4">
        <f t="shared" si="90"/>
        <v>1</v>
      </c>
      <c r="BK16" s="4">
        <f t="shared" si="11"/>
        <v>7</v>
      </c>
      <c r="BO16" s="4">
        <f t="shared" ref="BO16:BU16" si="91">IF(ISNUMBER(SEARCH(BO$1,$BN16)), 1, 0)</f>
        <v>0</v>
      </c>
      <c r="BP16" s="4">
        <f t="shared" si="91"/>
        <v>0</v>
      </c>
      <c r="BQ16" s="4">
        <f t="shared" si="91"/>
        <v>0</v>
      </c>
      <c r="BR16" s="4">
        <f t="shared" si="91"/>
        <v>0</v>
      </c>
      <c r="BS16" s="4">
        <f t="shared" si="91"/>
        <v>0</v>
      </c>
      <c r="BT16" s="4">
        <f t="shared" si="91"/>
        <v>0</v>
      </c>
      <c r="BU16" s="4">
        <f t="shared" si="91"/>
        <v>0</v>
      </c>
    </row>
    <row r="17" spans="1:107" ht="15.75" customHeight="1" x14ac:dyDescent="0.25">
      <c r="A17" s="1" t="b">
        <v>0</v>
      </c>
      <c r="B17" s="3">
        <v>46170.117094907408</v>
      </c>
      <c r="C17" s="1" t="s">
        <v>754</v>
      </c>
      <c r="D17" s="1" t="s">
        <v>755</v>
      </c>
      <c r="E17" s="4">
        <f t="shared" ref="E17:K17" si="92">IF(ISNUMBER(SEARCH(E$1,$D17)), SEARCH(E$1,$D17), 0)</f>
        <v>0</v>
      </c>
      <c r="F17" s="4">
        <f t="shared" si="92"/>
        <v>0</v>
      </c>
      <c r="G17" s="4">
        <f t="shared" si="92"/>
        <v>1</v>
      </c>
      <c r="H17" s="4">
        <f t="shared" si="92"/>
        <v>0</v>
      </c>
      <c r="I17" s="4">
        <f t="shared" si="92"/>
        <v>57</v>
      </c>
      <c r="J17" s="4">
        <f t="shared" si="92"/>
        <v>0</v>
      </c>
      <c r="K17" s="4">
        <f t="shared" si="92"/>
        <v>89</v>
      </c>
      <c r="L17" s="4">
        <f t="shared" si="1"/>
        <v>89</v>
      </c>
      <c r="N17" s="1" t="s">
        <v>272</v>
      </c>
      <c r="O17" s="4">
        <f t="shared" ref="O17:T17" si="93">IF(ISNUMBER(SEARCH(O$1,$N17)), 1, 0)</f>
        <v>1</v>
      </c>
      <c r="P17" s="4">
        <f t="shared" si="93"/>
        <v>1</v>
      </c>
      <c r="Q17" s="4">
        <f t="shared" si="93"/>
        <v>1</v>
      </c>
      <c r="R17" s="4">
        <f t="shared" si="93"/>
        <v>1</v>
      </c>
      <c r="S17" s="4">
        <f t="shared" si="93"/>
        <v>1</v>
      </c>
      <c r="T17" s="4">
        <f t="shared" si="93"/>
        <v>0</v>
      </c>
      <c r="W17" s="1" t="str">
        <f t="shared" si="69"/>
        <v>False</v>
      </c>
      <c r="X17" s="1" t="str">
        <f t="shared" si="69"/>
        <v>False</v>
      </c>
      <c r="Y17" s="1" t="str">
        <f t="shared" si="69"/>
        <v>False</v>
      </c>
      <c r="Z17" s="1" t="str">
        <f t="shared" si="69"/>
        <v>False</v>
      </c>
      <c r="AA17" s="1" t="str">
        <f t="shared" si="69"/>
        <v>False</v>
      </c>
      <c r="AB17" s="1" t="s">
        <v>31</v>
      </c>
      <c r="AC17" s="4">
        <f t="shared" ref="AC17:AH17" si="94">IF(ISNUMBER(SEARCH(AC$1,$AB17)), 1, 0)</f>
        <v>0</v>
      </c>
      <c r="AD17" s="4">
        <f t="shared" si="94"/>
        <v>0</v>
      </c>
      <c r="AE17" s="4">
        <f t="shared" si="94"/>
        <v>0</v>
      </c>
      <c r="AF17" s="4">
        <f t="shared" si="94"/>
        <v>1</v>
      </c>
      <c r="AG17" s="4">
        <f t="shared" si="94"/>
        <v>0</v>
      </c>
      <c r="AH17" s="4">
        <f t="shared" si="94"/>
        <v>0</v>
      </c>
      <c r="AI17" s="1">
        <f t="shared" si="5"/>
        <v>1</v>
      </c>
      <c r="AK17" s="1" t="s">
        <v>410</v>
      </c>
      <c r="AL17" s="4">
        <f t="shared" ref="AL17:AS17" si="95">IF(ISNUMBER(SEARCH(AL$1,$AK17)), 1, 0)</f>
        <v>1</v>
      </c>
      <c r="AM17" s="4">
        <f t="shared" si="95"/>
        <v>0</v>
      </c>
      <c r="AN17" s="4">
        <f t="shared" si="95"/>
        <v>1</v>
      </c>
      <c r="AO17" s="4">
        <f t="shared" si="95"/>
        <v>1</v>
      </c>
      <c r="AP17" s="4">
        <f t="shared" si="95"/>
        <v>0</v>
      </c>
      <c r="AQ17" s="4">
        <f t="shared" si="95"/>
        <v>0</v>
      </c>
      <c r="AR17" s="4">
        <f t="shared" si="95"/>
        <v>0</v>
      </c>
      <c r="AS17" s="4">
        <f t="shared" si="95"/>
        <v>0</v>
      </c>
      <c r="AU17" s="1" t="s">
        <v>47</v>
      </c>
      <c r="AV17" s="1">
        <f t="shared" si="7"/>
        <v>1</v>
      </c>
      <c r="AW17" s="1">
        <f t="shared" si="8"/>
        <v>0</v>
      </c>
      <c r="AX17" s="1">
        <f t="shared" si="9"/>
        <v>0</v>
      </c>
      <c r="AY17" s="1" t="s">
        <v>48</v>
      </c>
      <c r="BA17" s="1" t="s">
        <v>247</v>
      </c>
      <c r="BB17" s="4">
        <f t="shared" ref="BB17:BJ17" si="96">IF(ISNUMBER(SEARCH(BB$1,$BA17)), 1, 0)</f>
        <v>1</v>
      </c>
      <c r="BC17" s="4">
        <f t="shared" si="96"/>
        <v>1</v>
      </c>
      <c r="BD17" s="4">
        <f t="shared" si="96"/>
        <v>1</v>
      </c>
      <c r="BE17" s="4">
        <f t="shared" si="96"/>
        <v>1</v>
      </c>
      <c r="BF17" s="4">
        <f t="shared" si="96"/>
        <v>1</v>
      </c>
      <c r="BG17" s="4">
        <f t="shared" si="96"/>
        <v>0</v>
      </c>
      <c r="BH17" s="4">
        <f t="shared" si="96"/>
        <v>1</v>
      </c>
      <c r="BI17" s="4">
        <f t="shared" si="96"/>
        <v>0</v>
      </c>
      <c r="BJ17" s="4">
        <f t="shared" si="96"/>
        <v>1</v>
      </c>
      <c r="BK17" s="4">
        <f t="shared" si="11"/>
        <v>7</v>
      </c>
      <c r="BM17" s="1" t="s">
        <v>166</v>
      </c>
      <c r="BN17" s="1" t="s">
        <v>756</v>
      </c>
      <c r="BO17" s="4">
        <f t="shared" ref="BO17:BU17" si="97">IF(ISNUMBER(SEARCH(BO$1,$BN17)), 1, 0)</f>
        <v>1</v>
      </c>
      <c r="BP17" s="4">
        <f t="shared" si="97"/>
        <v>0</v>
      </c>
      <c r="BQ17" s="4">
        <f t="shared" si="97"/>
        <v>1</v>
      </c>
      <c r="BR17" s="4">
        <f t="shared" si="97"/>
        <v>0</v>
      </c>
      <c r="BS17" s="4">
        <f t="shared" si="97"/>
        <v>0</v>
      </c>
      <c r="BT17" s="4">
        <f t="shared" si="97"/>
        <v>1</v>
      </c>
      <c r="BU17" s="4">
        <f t="shared" si="97"/>
        <v>1</v>
      </c>
    </row>
    <row r="18" spans="1:107" ht="15.75" customHeight="1" x14ac:dyDescent="0.25">
      <c r="A18" s="1" t="b">
        <v>1</v>
      </c>
      <c r="B18" s="3">
        <v>46160.127824074072</v>
      </c>
      <c r="C18" s="1" t="s">
        <v>407</v>
      </c>
      <c r="D18" s="1" t="s">
        <v>408</v>
      </c>
      <c r="E18" s="4">
        <f t="shared" ref="E18:K18" si="98">IF(ISNUMBER(SEARCH(E$1,$D18)), SEARCH(E$1,$D18), 0)</f>
        <v>0</v>
      </c>
      <c r="F18" s="4">
        <f t="shared" si="98"/>
        <v>0</v>
      </c>
      <c r="G18" s="4">
        <f t="shared" si="98"/>
        <v>0</v>
      </c>
      <c r="H18" s="4">
        <f t="shared" si="98"/>
        <v>1</v>
      </c>
      <c r="I18" s="4">
        <f t="shared" si="98"/>
        <v>39</v>
      </c>
      <c r="J18" s="4">
        <f t="shared" si="98"/>
        <v>0</v>
      </c>
      <c r="K18" s="4">
        <f t="shared" si="98"/>
        <v>0</v>
      </c>
      <c r="L18" s="4">
        <f t="shared" si="1"/>
        <v>39</v>
      </c>
      <c r="N18" s="1" t="s">
        <v>409</v>
      </c>
      <c r="O18" s="4">
        <f t="shared" ref="O18:T18" si="99">IF(ISNUMBER(SEARCH(O$1,$N18)), 1, 0)</f>
        <v>0</v>
      </c>
      <c r="P18" s="4">
        <f t="shared" si="99"/>
        <v>0</v>
      </c>
      <c r="Q18" s="4">
        <f t="shared" si="99"/>
        <v>1</v>
      </c>
      <c r="R18" s="4">
        <f t="shared" si="99"/>
        <v>0</v>
      </c>
      <c r="S18" s="4">
        <f t="shared" si="99"/>
        <v>0</v>
      </c>
      <c r="T18" s="4">
        <f t="shared" si="99"/>
        <v>1</v>
      </c>
      <c r="V18" s="1" t="s">
        <v>22</v>
      </c>
      <c r="W18" s="1" t="str">
        <f t="shared" si="69"/>
        <v>True</v>
      </c>
      <c r="X18" s="1" t="str">
        <f t="shared" si="69"/>
        <v>False</v>
      </c>
      <c r="Y18" s="1" t="str">
        <f t="shared" si="69"/>
        <v>False</v>
      </c>
      <c r="Z18" s="1" t="str">
        <f t="shared" si="69"/>
        <v>False</v>
      </c>
      <c r="AA18" s="1" t="str">
        <f t="shared" si="69"/>
        <v>False</v>
      </c>
      <c r="AB18" s="1" t="s">
        <v>230</v>
      </c>
      <c r="AC18" s="4">
        <f t="shared" ref="AC18:AH18" si="100">IF(ISNUMBER(SEARCH(AC$1,$AB18)), 1, 0)</f>
        <v>1</v>
      </c>
      <c r="AD18" s="4">
        <f t="shared" si="100"/>
        <v>1</v>
      </c>
      <c r="AE18" s="4">
        <f t="shared" si="100"/>
        <v>0</v>
      </c>
      <c r="AF18" s="4">
        <f t="shared" si="100"/>
        <v>0</v>
      </c>
      <c r="AG18" s="4">
        <f t="shared" si="100"/>
        <v>0</v>
      </c>
      <c r="AH18" s="4">
        <f t="shared" si="100"/>
        <v>0</v>
      </c>
      <c r="AI18" s="1">
        <f t="shared" si="5"/>
        <v>2</v>
      </c>
      <c r="AK18" s="1" t="s">
        <v>410</v>
      </c>
      <c r="AL18" s="4">
        <f t="shared" ref="AL18:AS18" si="101">IF(ISNUMBER(SEARCH(AL$1,$AK18)), 1, 0)</f>
        <v>1</v>
      </c>
      <c r="AM18" s="4">
        <f t="shared" si="101"/>
        <v>0</v>
      </c>
      <c r="AN18" s="4">
        <f t="shared" si="101"/>
        <v>1</v>
      </c>
      <c r="AO18" s="4">
        <f t="shared" si="101"/>
        <v>1</v>
      </c>
      <c r="AP18" s="4">
        <f t="shared" si="101"/>
        <v>0</v>
      </c>
      <c r="AQ18" s="4">
        <f t="shared" si="101"/>
        <v>0</v>
      </c>
      <c r="AR18" s="4">
        <f t="shared" si="101"/>
        <v>0</v>
      </c>
      <c r="AS18" s="4">
        <f t="shared" si="101"/>
        <v>0</v>
      </c>
      <c r="AU18" s="1" t="s">
        <v>47</v>
      </c>
      <c r="AV18" s="1">
        <f t="shared" si="7"/>
        <v>1</v>
      </c>
      <c r="AW18" s="1">
        <f t="shared" si="8"/>
        <v>0</v>
      </c>
      <c r="AX18" s="1">
        <f t="shared" si="9"/>
        <v>0</v>
      </c>
      <c r="AY18" s="1" t="s">
        <v>47</v>
      </c>
      <c r="AZ18" s="1" t="s">
        <v>47</v>
      </c>
      <c r="BA18" s="1" t="s">
        <v>411</v>
      </c>
      <c r="BB18" s="4">
        <f t="shared" ref="BB18:BJ18" si="102">IF(ISNUMBER(SEARCH(BB$1,$BA18)), 1, 0)</f>
        <v>0</v>
      </c>
      <c r="BC18" s="4">
        <f t="shared" si="102"/>
        <v>1</v>
      </c>
      <c r="BD18" s="4">
        <f t="shared" si="102"/>
        <v>0</v>
      </c>
      <c r="BE18" s="4">
        <f t="shared" si="102"/>
        <v>0</v>
      </c>
      <c r="BF18" s="4">
        <f t="shared" si="102"/>
        <v>1</v>
      </c>
      <c r="BG18" s="4">
        <f t="shared" si="102"/>
        <v>0</v>
      </c>
      <c r="BH18" s="4">
        <f t="shared" si="102"/>
        <v>0</v>
      </c>
      <c r="BI18" s="4">
        <f t="shared" si="102"/>
        <v>0</v>
      </c>
      <c r="BJ18" s="4">
        <f t="shared" si="102"/>
        <v>1</v>
      </c>
      <c r="BK18" s="4">
        <f t="shared" si="11"/>
        <v>3</v>
      </c>
      <c r="BO18" s="4">
        <f t="shared" ref="BO18:BU18" si="103">IF(ISNUMBER(SEARCH(BO$1,$BN18)), 1, 0)</f>
        <v>0</v>
      </c>
      <c r="BP18" s="4">
        <f t="shared" si="103"/>
        <v>0</v>
      </c>
      <c r="BQ18" s="4">
        <f t="shared" si="103"/>
        <v>0</v>
      </c>
      <c r="BR18" s="4">
        <f t="shared" si="103"/>
        <v>0</v>
      </c>
      <c r="BS18" s="4">
        <f t="shared" si="103"/>
        <v>0</v>
      </c>
      <c r="BT18" s="4">
        <f t="shared" si="103"/>
        <v>0</v>
      </c>
      <c r="BU18" s="4">
        <f t="shared" si="103"/>
        <v>0</v>
      </c>
      <c r="CB18" s="1" t="s">
        <v>47</v>
      </c>
      <c r="CF18" s="1" t="s">
        <v>412</v>
      </c>
      <c r="CG18" s="1" t="s">
        <v>413</v>
      </c>
      <c r="CH18" s="1" t="s">
        <v>173</v>
      </c>
      <c r="CI18" s="1" t="s">
        <v>414</v>
      </c>
      <c r="CJ18" s="1" t="s">
        <v>415</v>
      </c>
      <c r="CL18" s="1" t="s">
        <v>177</v>
      </c>
      <c r="DC18" s="1" t="s">
        <v>180</v>
      </c>
    </row>
    <row r="19" spans="1:107" ht="15.75" customHeight="1" x14ac:dyDescent="0.25">
      <c r="A19" s="1" t="b">
        <v>1</v>
      </c>
      <c r="B19" s="3">
        <v>46149.201261574075</v>
      </c>
      <c r="C19" s="1" t="s">
        <v>158</v>
      </c>
      <c r="D19" s="1" t="s">
        <v>159</v>
      </c>
      <c r="E19" s="4">
        <f t="shared" ref="E19:K19" si="104">IF(ISNUMBER(SEARCH(E$1,$D19)), SEARCH(E$1,$D19), 0)</f>
        <v>1</v>
      </c>
      <c r="F19" s="4">
        <f t="shared" si="104"/>
        <v>0</v>
      </c>
      <c r="G19" s="4">
        <f t="shared" si="104"/>
        <v>0</v>
      </c>
      <c r="H19" s="4">
        <f t="shared" si="104"/>
        <v>0</v>
      </c>
      <c r="I19" s="4">
        <f t="shared" si="104"/>
        <v>30</v>
      </c>
      <c r="J19" s="4">
        <f t="shared" si="104"/>
        <v>62</v>
      </c>
      <c r="K19" s="4">
        <f t="shared" si="104"/>
        <v>0</v>
      </c>
      <c r="L19" s="4">
        <f t="shared" si="1"/>
        <v>62</v>
      </c>
      <c r="N19" s="1" t="s">
        <v>160</v>
      </c>
      <c r="O19" s="4">
        <f t="shared" ref="O19:T19" si="105">IF(ISNUMBER(SEARCH(O$1,$N19)), 1, 0)</f>
        <v>1</v>
      </c>
      <c r="P19" s="4">
        <f t="shared" si="105"/>
        <v>1</v>
      </c>
      <c r="Q19" s="4">
        <f t="shared" si="105"/>
        <v>1</v>
      </c>
      <c r="R19" s="4">
        <f t="shared" si="105"/>
        <v>1</v>
      </c>
      <c r="S19" s="4">
        <f t="shared" si="105"/>
        <v>1</v>
      </c>
      <c r="T19" s="4">
        <f t="shared" si="105"/>
        <v>1</v>
      </c>
      <c r="U19" s="1" t="s">
        <v>161</v>
      </c>
      <c r="W19" s="1" t="str">
        <f t="shared" si="69"/>
        <v>False</v>
      </c>
      <c r="X19" s="1" t="str">
        <f t="shared" si="69"/>
        <v>False</v>
      </c>
      <c r="Y19" s="1" t="str">
        <f t="shared" si="69"/>
        <v>False</v>
      </c>
      <c r="Z19" s="1" t="str">
        <f t="shared" si="69"/>
        <v>False</v>
      </c>
      <c r="AA19" s="1" t="str">
        <f t="shared" si="69"/>
        <v>False</v>
      </c>
      <c r="AB19" s="1" t="s">
        <v>162</v>
      </c>
      <c r="AC19" s="4">
        <f t="shared" ref="AC19:AH19" si="106">IF(ISNUMBER(SEARCH(AC$1,$AB19)), 1, 0)</f>
        <v>1</v>
      </c>
      <c r="AD19" s="4">
        <f t="shared" si="106"/>
        <v>1</v>
      </c>
      <c r="AE19" s="4">
        <f t="shared" si="106"/>
        <v>0</v>
      </c>
      <c r="AF19" s="4">
        <f t="shared" si="106"/>
        <v>0</v>
      </c>
      <c r="AG19" s="4">
        <f t="shared" si="106"/>
        <v>0</v>
      </c>
      <c r="AH19" s="4">
        <f t="shared" si="106"/>
        <v>0</v>
      </c>
      <c r="AI19" s="1">
        <f t="shared" si="5"/>
        <v>2</v>
      </c>
      <c r="AJ19" s="1" t="s">
        <v>163</v>
      </c>
      <c r="AK19" s="1" t="s">
        <v>164</v>
      </c>
      <c r="AL19" s="4">
        <f t="shared" ref="AL19:AS19" si="107">IF(ISNUMBER(SEARCH(AL$1,$AK19)), 1, 0)</f>
        <v>0</v>
      </c>
      <c r="AM19" s="4">
        <f t="shared" si="107"/>
        <v>1</v>
      </c>
      <c r="AN19" s="4">
        <f t="shared" si="107"/>
        <v>0</v>
      </c>
      <c r="AO19" s="4">
        <f t="shared" si="107"/>
        <v>1</v>
      </c>
      <c r="AP19" s="4">
        <f t="shared" si="107"/>
        <v>0</v>
      </c>
      <c r="AQ19" s="4">
        <f t="shared" si="107"/>
        <v>1</v>
      </c>
      <c r="AR19" s="4">
        <f t="shared" si="107"/>
        <v>1</v>
      </c>
      <c r="AS19" s="4">
        <f t="shared" si="107"/>
        <v>0</v>
      </c>
      <c r="AU19" s="1" t="s">
        <v>48</v>
      </c>
      <c r="AV19" s="1">
        <f t="shared" si="7"/>
        <v>0</v>
      </c>
      <c r="AW19" s="1">
        <f t="shared" si="8"/>
        <v>1</v>
      </c>
      <c r="AX19" s="1">
        <f t="shared" si="9"/>
        <v>0</v>
      </c>
      <c r="AY19" s="1" t="s">
        <v>48</v>
      </c>
      <c r="BA19" s="1" t="s">
        <v>165</v>
      </c>
      <c r="BB19" s="4">
        <f t="shared" ref="BB19:BJ19" si="108">IF(ISNUMBER(SEARCH(BB$1,$BA19)), 1, 0)</f>
        <v>1</v>
      </c>
      <c r="BC19" s="4">
        <f t="shared" si="108"/>
        <v>1</v>
      </c>
      <c r="BD19" s="4">
        <f t="shared" si="108"/>
        <v>1</v>
      </c>
      <c r="BE19" s="4">
        <f t="shared" si="108"/>
        <v>1</v>
      </c>
      <c r="BF19" s="4">
        <f t="shared" si="108"/>
        <v>1</v>
      </c>
      <c r="BG19" s="4">
        <f t="shared" si="108"/>
        <v>1</v>
      </c>
      <c r="BH19" s="4">
        <f t="shared" si="108"/>
        <v>1</v>
      </c>
      <c r="BI19" s="4">
        <f t="shared" si="108"/>
        <v>1</v>
      </c>
      <c r="BJ19" s="4">
        <f t="shared" si="108"/>
        <v>1</v>
      </c>
      <c r="BK19" s="4">
        <f t="shared" si="11"/>
        <v>9</v>
      </c>
      <c r="BM19" s="1" t="s">
        <v>166</v>
      </c>
      <c r="BN19" s="1" t="s">
        <v>167</v>
      </c>
      <c r="BO19" s="4">
        <f t="shared" ref="BO19:BU19" si="109">IF(ISNUMBER(SEARCH(BO$1,$BN19)), 1, 0)</f>
        <v>1</v>
      </c>
      <c r="BP19" s="4">
        <f t="shared" si="109"/>
        <v>1</v>
      </c>
      <c r="BQ19" s="4">
        <f t="shared" si="109"/>
        <v>0</v>
      </c>
      <c r="BR19" s="4">
        <f t="shared" si="109"/>
        <v>1</v>
      </c>
      <c r="BS19" s="4">
        <f t="shared" si="109"/>
        <v>1</v>
      </c>
      <c r="BT19" s="4">
        <f t="shared" si="109"/>
        <v>1</v>
      </c>
      <c r="BU19" s="4">
        <f t="shared" si="109"/>
        <v>0</v>
      </c>
      <c r="BV19" s="1" t="s">
        <v>168</v>
      </c>
      <c r="BW19" s="1" t="s">
        <v>169</v>
      </c>
      <c r="BY19" s="1" t="s">
        <v>170</v>
      </c>
      <c r="BZ19" s="1" t="s">
        <v>171</v>
      </c>
      <c r="CA19" s="1" t="s">
        <v>172</v>
      </c>
      <c r="CH19" s="1" t="s">
        <v>173</v>
      </c>
      <c r="CI19" s="1" t="s">
        <v>174</v>
      </c>
      <c r="CJ19" s="1" t="s">
        <v>175</v>
      </c>
      <c r="CK19" s="1" t="s">
        <v>176</v>
      </c>
      <c r="CL19" s="1" t="s">
        <v>177</v>
      </c>
      <c r="CR19" s="1" t="s">
        <v>178</v>
      </c>
      <c r="CT19" s="1" t="s">
        <v>179</v>
      </c>
      <c r="DC19" s="1" t="s">
        <v>180</v>
      </c>
    </row>
    <row r="20" spans="1:107" ht="15.75" customHeight="1" x14ac:dyDescent="0.25">
      <c r="A20" s="1" t="b">
        <v>1</v>
      </c>
      <c r="B20" s="3">
        <v>46165.189583333333</v>
      </c>
      <c r="C20" s="1" t="s">
        <v>590</v>
      </c>
      <c r="D20" s="1" t="s">
        <v>591</v>
      </c>
      <c r="E20" s="4">
        <f t="shared" ref="E20:K20" si="110">IF(ISNUMBER(SEARCH(E$1,$D20)), SEARCH(E$1,$D20), 0)</f>
        <v>1</v>
      </c>
      <c r="F20" s="4">
        <f t="shared" si="110"/>
        <v>0</v>
      </c>
      <c r="G20" s="4">
        <f t="shared" si="110"/>
        <v>0</v>
      </c>
      <c r="H20" s="4">
        <f t="shared" si="110"/>
        <v>0</v>
      </c>
      <c r="I20" s="4">
        <f t="shared" si="110"/>
        <v>30</v>
      </c>
      <c r="J20" s="4">
        <f t="shared" si="110"/>
        <v>0</v>
      </c>
      <c r="K20" s="4">
        <f t="shared" si="110"/>
        <v>0</v>
      </c>
      <c r="L20" s="4">
        <f t="shared" si="1"/>
        <v>30</v>
      </c>
      <c r="M20" s="1" t="s">
        <v>592</v>
      </c>
      <c r="N20" s="1" t="s">
        <v>187</v>
      </c>
      <c r="O20" s="4">
        <f t="shared" ref="O20:T20" si="111">IF(ISNUMBER(SEARCH(O$1,$N20)), 1, 0)</f>
        <v>1</v>
      </c>
      <c r="P20" s="4">
        <f t="shared" si="111"/>
        <v>1</v>
      </c>
      <c r="Q20" s="4">
        <f t="shared" si="111"/>
        <v>1</v>
      </c>
      <c r="R20" s="4">
        <f t="shared" si="111"/>
        <v>1</v>
      </c>
      <c r="S20" s="4">
        <f t="shared" si="111"/>
        <v>1</v>
      </c>
      <c r="T20" s="4">
        <f t="shared" si="111"/>
        <v>1</v>
      </c>
      <c r="V20" s="1" t="s">
        <v>24</v>
      </c>
      <c r="W20" s="1" t="str">
        <f t="shared" si="69"/>
        <v>False</v>
      </c>
      <c r="X20" s="1" t="str">
        <f t="shared" si="69"/>
        <v>False</v>
      </c>
      <c r="Y20" s="1" t="str">
        <f t="shared" si="69"/>
        <v>True</v>
      </c>
      <c r="Z20" s="1" t="str">
        <f t="shared" si="69"/>
        <v>False</v>
      </c>
      <c r="AA20" s="1" t="str">
        <f t="shared" si="69"/>
        <v>False</v>
      </c>
      <c r="AB20" s="1" t="s">
        <v>401</v>
      </c>
      <c r="AC20" s="4">
        <f t="shared" ref="AC20:AH20" si="112">IF(ISNUMBER(SEARCH(AC$1,$AB20)), 1, 0)</f>
        <v>0</v>
      </c>
      <c r="AD20" s="4">
        <f t="shared" si="112"/>
        <v>0</v>
      </c>
      <c r="AE20" s="4">
        <f t="shared" si="112"/>
        <v>0</v>
      </c>
      <c r="AF20" s="4">
        <f t="shared" si="112"/>
        <v>0</v>
      </c>
      <c r="AG20" s="4">
        <f t="shared" si="112"/>
        <v>0</v>
      </c>
      <c r="AH20" s="4">
        <f t="shared" si="112"/>
        <v>1</v>
      </c>
      <c r="AI20" s="1">
        <f t="shared" si="5"/>
        <v>1</v>
      </c>
      <c r="AJ20" s="1" t="s">
        <v>593</v>
      </c>
      <c r="AK20" s="1" t="s">
        <v>594</v>
      </c>
      <c r="AL20" s="4">
        <f t="shared" ref="AL20:AS20" si="113">IF(ISNUMBER(SEARCH(AL$1,$AK20)), 1, 0)</f>
        <v>1</v>
      </c>
      <c r="AM20" s="4">
        <f t="shared" si="113"/>
        <v>0</v>
      </c>
      <c r="AN20" s="4">
        <f t="shared" si="113"/>
        <v>0</v>
      </c>
      <c r="AO20" s="4">
        <f t="shared" si="113"/>
        <v>0</v>
      </c>
      <c r="AP20" s="4">
        <f t="shared" si="113"/>
        <v>0</v>
      </c>
      <c r="AQ20" s="4">
        <f t="shared" si="113"/>
        <v>1</v>
      </c>
      <c r="AR20" s="4">
        <f t="shared" si="113"/>
        <v>0</v>
      </c>
      <c r="AS20" s="4">
        <f t="shared" si="113"/>
        <v>0</v>
      </c>
      <c r="AU20" s="1" t="s">
        <v>48</v>
      </c>
      <c r="AV20" s="1">
        <f t="shared" si="7"/>
        <v>0</v>
      </c>
      <c r="AW20" s="1">
        <f t="shared" si="8"/>
        <v>1</v>
      </c>
      <c r="AX20" s="1">
        <f t="shared" si="9"/>
        <v>0</v>
      </c>
      <c r="AY20" s="1" t="s">
        <v>48</v>
      </c>
      <c r="BA20" s="1" t="s">
        <v>595</v>
      </c>
      <c r="BB20" s="4">
        <f t="shared" ref="BB20:BJ20" si="114">IF(ISNUMBER(SEARCH(BB$1,$BA20)), 1, 0)</f>
        <v>0</v>
      </c>
      <c r="BC20" s="4">
        <f t="shared" si="114"/>
        <v>1</v>
      </c>
      <c r="BD20" s="4">
        <f t="shared" si="114"/>
        <v>1</v>
      </c>
      <c r="BE20" s="4">
        <f t="shared" si="114"/>
        <v>1</v>
      </c>
      <c r="BF20" s="4">
        <f t="shared" si="114"/>
        <v>1</v>
      </c>
      <c r="BG20" s="4">
        <f t="shared" si="114"/>
        <v>0</v>
      </c>
      <c r="BH20" s="4">
        <f t="shared" si="114"/>
        <v>0</v>
      </c>
      <c r="BI20" s="4">
        <f t="shared" si="114"/>
        <v>1</v>
      </c>
      <c r="BJ20" s="4">
        <f t="shared" si="114"/>
        <v>1</v>
      </c>
      <c r="BK20" s="4">
        <f t="shared" si="11"/>
        <v>6</v>
      </c>
      <c r="BM20" s="1" t="s">
        <v>166</v>
      </c>
      <c r="BN20" s="1" t="s">
        <v>404</v>
      </c>
      <c r="BO20" s="4">
        <f t="shared" ref="BO20:BU20" si="115">IF(ISNUMBER(SEARCH(BO$1,$BN20)), 1, 0)</f>
        <v>0</v>
      </c>
      <c r="BP20" s="4">
        <f t="shared" si="115"/>
        <v>0</v>
      </c>
      <c r="BQ20" s="4">
        <f t="shared" si="115"/>
        <v>0</v>
      </c>
      <c r="BR20" s="4">
        <f t="shared" si="115"/>
        <v>0</v>
      </c>
      <c r="BS20" s="4">
        <f t="shared" si="115"/>
        <v>0</v>
      </c>
      <c r="BT20" s="4">
        <f t="shared" si="115"/>
        <v>0</v>
      </c>
      <c r="BU20" s="4">
        <f t="shared" si="115"/>
        <v>0</v>
      </c>
      <c r="BV20" s="1" t="s">
        <v>596</v>
      </c>
      <c r="BW20" s="1" t="s">
        <v>255</v>
      </c>
      <c r="BY20" s="1" t="s">
        <v>597</v>
      </c>
      <c r="BZ20" s="1" t="s">
        <v>278</v>
      </c>
      <c r="CH20" s="1" t="s">
        <v>598</v>
      </c>
      <c r="CI20" s="1" t="s">
        <v>599</v>
      </c>
      <c r="CJ20" s="1" t="s">
        <v>600</v>
      </c>
      <c r="CL20" s="1" t="s">
        <v>601</v>
      </c>
      <c r="DC20" s="1" t="s">
        <v>180</v>
      </c>
    </row>
    <row r="21" spans="1:107" ht="15.75" customHeight="1" x14ac:dyDescent="0.25">
      <c r="A21" s="1" t="b">
        <v>1</v>
      </c>
      <c r="B21" s="3">
        <v>46164.703483796293</v>
      </c>
      <c r="C21" s="1" t="s">
        <v>522</v>
      </c>
      <c r="D21" s="1" t="s">
        <v>338</v>
      </c>
      <c r="E21" s="4">
        <f t="shared" ref="E21:K21" si="116">IF(ISNUMBER(SEARCH(E$1,$D21)), SEARCH(E$1,$D21), 0)</f>
        <v>1</v>
      </c>
      <c r="F21" s="4">
        <f t="shared" si="116"/>
        <v>0</v>
      </c>
      <c r="G21" s="4">
        <f t="shared" si="116"/>
        <v>0</v>
      </c>
      <c r="H21" s="4">
        <f t="shared" si="116"/>
        <v>0</v>
      </c>
      <c r="I21" s="4">
        <f t="shared" si="116"/>
        <v>30</v>
      </c>
      <c r="J21" s="4">
        <f t="shared" si="116"/>
        <v>0</v>
      </c>
      <c r="K21" s="4">
        <f t="shared" si="116"/>
        <v>0</v>
      </c>
      <c r="L21" s="4">
        <f t="shared" si="1"/>
        <v>30</v>
      </c>
      <c r="N21" s="1" t="s">
        <v>240</v>
      </c>
      <c r="O21" s="4">
        <f t="shared" ref="O21:T21" si="117">IF(ISNUMBER(SEARCH(O$1,$N21)), 1, 0)</f>
        <v>1</v>
      </c>
      <c r="P21" s="4">
        <f t="shared" si="117"/>
        <v>1</v>
      </c>
      <c r="Q21" s="4">
        <f t="shared" si="117"/>
        <v>1</v>
      </c>
      <c r="R21" s="4">
        <f t="shared" si="117"/>
        <v>1</v>
      </c>
      <c r="S21" s="4">
        <f t="shared" si="117"/>
        <v>0</v>
      </c>
      <c r="T21" s="4">
        <f t="shared" si="117"/>
        <v>0</v>
      </c>
      <c r="W21" s="1" t="str">
        <f t="shared" si="69"/>
        <v>False</v>
      </c>
      <c r="X21" s="1" t="str">
        <f t="shared" si="69"/>
        <v>False</v>
      </c>
      <c r="Y21" s="1" t="str">
        <f t="shared" si="69"/>
        <v>False</v>
      </c>
      <c r="Z21" s="1" t="str">
        <f t="shared" si="69"/>
        <v>False</v>
      </c>
      <c r="AA21" s="1" t="str">
        <f t="shared" si="69"/>
        <v>False</v>
      </c>
      <c r="AB21" s="1" t="s">
        <v>487</v>
      </c>
      <c r="AC21" s="4">
        <f t="shared" ref="AC21:AH21" si="118">IF(ISNUMBER(SEARCH(AC$1,$AB21)), 1, 0)</f>
        <v>0</v>
      </c>
      <c r="AD21" s="4">
        <f t="shared" si="118"/>
        <v>0</v>
      </c>
      <c r="AE21" s="4">
        <f t="shared" si="118"/>
        <v>0</v>
      </c>
      <c r="AF21" s="4">
        <f t="shared" si="118"/>
        <v>1</v>
      </c>
      <c r="AG21" s="4">
        <f t="shared" si="118"/>
        <v>0</v>
      </c>
      <c r="AH21" s="4">
        <f t="shared" si="118"/>
        <v>1</v>
      </c>
      <c r="AI21" s="1">
        <f t="shared" si="5"/>
        <v>2</v>
      </c>
      <c r="AK21" s="1" t="s">
        <v>313</v>
      </c>
      <c r="AL21" s="4">
        <f t="shared" ref="AL21:AS21" si="119">IF(ISNUMBER(SEARCH(AL$1,$AK21)), 1, 0)</f>
        <v>1</v>
      </c>
      <c r="AM21" s="4">
        <f t="shared" si="119"/>
        <v>1</v>
      </c>
      <c r="AN21" s="4">
        <f t="shared" si="119"/>
        <v>0</v>
      </c>
      <c r="AO21" s="4">
        <f t="shared" si="119"/>
        <v>1</v>
      </c>
      <c r="AP21" s="4">
        <f t="shared" si="119"/>
        <v>1</v>
      </c>
      <c r="AQ21" s="4">
        <f t="shared" si="119"/>
        <v>1</v>
      </c>
      <c r="AR21" s="4">
        <f t="shared" si="119"/>
        <v>0</v>
      </c>
      <c r="AS21" s="4">
        <f t="shared" si="119"/>
        <v>0</v>
      </c>
      <c r="AU21" s="1" t="s">
        <v>47</v>
      </c>
      <c r="AV21" s="1">
        <f t="shared" si="7"/>
        <v>1</v>
      </c>
      <c r="AW21" s="1">
        <f t="shared" si="8"/>
        <v>0</v>
      </c>
      <c r="AX21" s="1">
        <f t="shared" si="9"/>
        <v>0</v>
      </c>
      <c r="AY21" s="1" t="s">
        <v>48</v>
      </c>
      <c r="BA21" s="1" t="s">
        <v>523</v>
      </c>
      <c r="BB21" s="4">
        <f t="shared" ref="BB21:BJ21" si="120">IF(ISNUMBER(SEARCH(BB$1,$BA21)), 1, 0)</f>
        <v>0</v>
      </c>
      <c r="BC21" s="4">
        <f t="shared" si="120"/>
        <v>1</v>
      </c>
      <c r="BD21" s="4">
        <f t="shared" si="120"/>
        <v>0</v>
      </c>
      <c r="BE21" s="4">
        <f t="shared" si="120"/>
        <v>0</v>
      </c>
      <c r="BF21" s="4">
        <f t="shared" si="120"/>
        <v>0</v>
      </c>
      <c r="BG21" s="4">
        <f t="shared" si="120"/>
        <v>0</v>
      </c>
      <c r="BH21" s="4">
        <f t="shared" si="120"/>
        <v>0</v>
      </c>
      <c r="BI21" s="4">
        <f t="shared" si="120"/>
        <v>0</v>
      </c>
      <c r="BJ21" s="4">
        <f t="shared" si="120"/>
        <v>1</v>
      </c>
      <c r="BK21" s="4">
        <f t="shared" si="11"/>
        <v>2</v>
      </c>
      <c r="BL21" s="1" t="s">
        <v>524</v>
      </c>
      <c r="BM21" s="1" t="s">
        <v>232</v>
      </c>
      <c r="BN21" s="1" t="s">
        <v>340</v>
      </c>
      <c r="BO21" s="4">
        <f t="shared" ref="BO21:BU21" si="121">IF(ISNUMBER(SEARCH(BO$1,$BN21)), 1, 0)</f>
        <v>1</v>
      </c>
      <c r="BP21" s="4">
        <f t="shared" si="121"/>
        <v>1</v>
      </c>
      <c r="BQ21" s="4">
        <f t="shared" si="121"/>
        <v>0</v>
      </c>
      <c r="BR21" s="4">
        <f t="shared" si="121"/>
        <v>0</v>
      </c>
      <c r="BS21" s="4">
        <f t="shared" si="121"/>
        <v>0</v>
      </c>
      <c r="BT21" s="4">
        <f t="shared" si="121"/>
        <v>0</v>
      </c>
      <c r="BU21" s="4">
        <f t="shared" si="121"/>
        <v>0</v>
      </c>
      <c r="CH21" s="1" t="s">
        <v>525</v>
      </c>
      <c r="CI21" s="1" t="s">
        <v>526</v>
      </c>
      <c r="CJ21" s="1" t="s">
        <v>434</v>
      </c>
      <c r="CL21" s="1" t="s">
        <v>527</v>
      </c>
      <c r="DC21" s="1" t="s">
        <v>238</v>
      </c>
    </row>
    <row r="22" spans="1:107" ht="15.75" customHeight="1" x14ac:dyDescent="0.25">
      <c r="A22" s="1" t="b">
        <v>1</v>
      </c>
      <c r="B22" s="3">
        <v>46155.312210648146</v>
      </c>
      <c r="C22" s="1" t="s">
        <v>356</v>
      </c>
      <c r="D22" s="1" t="s">
        <v>338</v>
      </c>
      <c r="E22" s="4">
        <f t="shared" ref="E22:K22" si="122">IF(ISNUMBER(SEARCH(E$1,$D22)), SEARCH(E$1,$D22), 0)</f>
        <v>1</v>
      </c>
      <c r="F22" s="4">
        <f t="shared" si="122"/>
        <v>0</v>
      </c>
      <c r="G22" s="4">
        <f t="shared" si="122"/>
        <v>0</v>
      </c>
      <c r="H22" s="4">
        <f t="shared" si="122"/>
        <v>0</v>
      </c>
      <c r="I22" s="4">
        <f t="shared" si="122"/>
        <v>30</v>
      </c>
      <c r="J22" s="4">
        <f t="shared" si="122"/>
        <v>0</v>
      </c>
      <c r="K22" s="4">
        <f t="shared" si="122"/>
        <v>0</v>
      </c>
      <c r="L22" s="4">
        <f t="shared" si="1"/>
        <v>30</v>
      </c>
      <c r="N22" s="1" t="s">
        <v>323</v>
      </c>
      <c r="O22" s="4">
        <f t="shared" ref="O22:T22" si="123">IF(ISNUMBER(SEARCH(O$1,$N22)), 1, 0)</f>
        <v>1</v>
      </c>
      <c r="P22" s="4">
        <f t="shared" si="123"/>
        <v>1</v>
      </c>
      <c r="Q22" s="4">
        <f t="shared" si="123"/>
        <v>1</v>
      </c>
      <c r="R22" s="4">
        <f t="shared" si="123"/>
        <v>1</v>
      </c>
      <c r="S22" s="4">
        <f t="shared" si="123"/>
        <v>0</v>
      </c>
      <c r="T22" s="4">
        <f t="shared" si="123"/>
        <v>1</v>
      </c>
      <c r="V22" s="1" t="s">
        <v>23</v>
      </c>
      <c r="W22" s="1" t="str">
        <f t="shared" si="69"/>
        <v>False</v>
      </c>
      <c r="X22" s="1" t="str">
        <f t="shared" si="69"/>
        <v>True</v>
      </c>
      <c r="Y22" s="1" t="str">
        <f t="shared" si="69"/>
        <v>False</v>
      </c>
      <c r="Z22" s="1" t="str">
        <f t="shared" si="69"/>
        <v>False</v>
      </c>
      <c r="AA22" s="1" t="str">
        <f t="shared" si="69"/>
        <v>False</v>
      </c>
      <c r="AB22" s="1" t="s">
        <v>357</v>
      </c>
      <c r="AC22" s="4">
        <f t="shared" ref="AC22:AH22" si="124">IF(ISNUMBER(SEARCH(AC$1,$AB22)), 1, 0)</f>
        <v>1</v>
      </c>
      <c r="AD22" s="4">
        <f t="shared" si="124"/>
        <v>0</v>
      </c>
      <c r="AE22" s="4">
        <f t="shared" si="124"/>
        <v>0</v>
      </c>
      <c r="AF22" s="4">
        <f t="shared" si="124"/>
        <v>0</v>
      </c>
      <c r="AG22" s="4">
        <f t="shared" si="124"/>
        <v>0</v>
      </c>
      <c r="AH22" s="4">
        <f t="shared" si="124"/>
        <v>1</v>
      </c>
      <c r="AI22" s="1">
        <f t="shared" si="5"/>
        <v>2</v>
      </c>
      <c r="AK22" s="1" t="s">
        <v>189</v>
      </c>
      <c r="AL22" s="4">
        <f t="shared" ref="AL22:AS22" si="125">IF(ISNUMBER(SEARCH(AL$1,$AK22)), 1, 0)</f>
        <v>1</v>
      </c>
      <c r="AM22" s="4">
        <f t="shared" si="125"/>
        <v>1</v>
      </c>
      <c r="AN22" s="4">
        <f t="shared" si="125"/>
        <v>1</v>
      </c>
      <c r="AO22" s="4">
        <f t="shared" si="125"/>
        <v>1</v>
      </c>
      <c r="AP22" s="4">
        <f t="shared" si="125"/>
        <v>0</v>
      </c>
      <c r="AQ22" s="4">
        <f t="shared" si="125"/>
        <v>1</v>
      </c>
      <c r="AR22" s="4">
        <f t="shared" si="125"/>
        <v>0</v>
      </c>
      <c r="AS22" s="4">
        <f t="shared" si="125"/>
        <v>0</v>
      </c>
      <c r="AU22" s="1" t="s">
        <v>47</v>
      </c>
      <c r="AV22" s="1">
        <f t="shared" si="7"/>
        <v>1</v>
      </c>
      <c r="AW22" s="1">
        <f t="shared" si="8"/>
        <v>0</v>
      </c>
      <c r="AX22" s="1">
        <f t="shared" si="9"/>
        <v>0</v>
      </c>
      <c r="AY22" s="1" t="s">
        <v>48</v>
      </c>
      <c r="BA22" s="1" t="s">
        <v>358</v>
      </c>
      <c r="BB22" s="4">
        <f t="shared" ref="BB22:BJ22" si="126">IF(ISNUMBER(SEARCH(BB$1,$BA22)), 1, 0)</f>
        <v>1</v>
      </c>
      <c r="BC22" s="4">
        <f t="shared" si="126"/>
        <v>1</v>
      </c>
      <c r="BD22" s="4">
        <f t="shared" si="126"/>
        <v>1</v>
      </c>
      <c r="BE22" s="4">
        <f t="shared" si="126"/>
        <v>1</v>
      </c>
      <c r="BF22" s="4">
        <f t="shared" si="126"/>
        <v>1</v>
      </c>
      <c r="BG22" s="4">
        <f t="shared" si="126"/>
        <v>0</v>
      </c>
      <c r="BH22" s="4">
        <f t="shared" si="126"/>
        <v>0</v>
      </c>
      <c r="BI22" s="4">
        <f t="shared" si="126"/>
        <v>1</v>
      </c>
      <c r="BJ22" s="4">
        <f t="shared" si="126"/>
        <v>1</v>
      </c>
      <c r="BK22" s="4">
        <f t="shared" si="11"/>
        <v>7</v>
      </c>
      <c r="BM22" s="1" t="s">
        <v>232</v>
      </c>
      <c r="BN22" s="1" t="s">
        <v>359</v>
      </c>
      <c r="BO22" s="4">
        <f t="shared" ref="BO22:BU22" si="127">IF(ISNUMBER(SEARCH(BO$1,$BN22)), 1, 0)</f>
        <v>0</v>
      </c>
      <c r="BP22" s="4">
        <f t="shared" si="127"/>
        <v>0</v>
      </c>
      <c r="BQ22" s="4">
        <f t="shared" si="127"/>
        <v>1</v>
      </c>
      <c r="BR22" s="4">
        <f t="shared" si="127"/>
        <v>1</v>
      </c>
      <c r="BS22" s="4">
        <f t="shared" si="127"/>
        <v>1</v>
      </c>
      <c r="BT22" s="4">
        <f t="shared" si="127"/>
        <v>0</v>
      </c>
      <c r="BU22" s="4">
        <f t="shared" si="127"/>
        <v>1</v>
      </c>
      <c r="CH22" s="1" t="s">
        <v>360</v>
      </c>
      <c r="CI22" s="1" t="s">
        <v>361</v>
      </c>
      <c r="CJ22" s="1" t="s">
        <v>175</v>
      </c>
      <c r="CK22" s="1" t="s">
        <v>362</v>
      </c>
      <c r="CL22" s="1" t="s">
        <v>352</v>
      </c>
    </row>
    <row r="23" spans="1:107" ht="15.75" customHeight="1" x14ac:dyDescent="0.25">
      <c r="A23" s="1" t="b">
        <v>1</v>
      </c>
      <c r="B23" s="3">
        <v>46150.957337962966</v>
      </c>
      <c r="C23" s="1" t="s">
        <v>221</v>
      </c>
      <c r="D23" s="1" t="s">
        <v>159</v>
      </c>
      <c r="E23" s="4">
        <f t="shared" ref="E23:K23" si="128">IF(ISNUMBER(SEARCH(E$1,$D23)), SEARCH(E$1,$D23), 0)</f>
        <v>1</v>
      </c>
      <c r="F23" s="4">
        <f t="shared" si="128"/>
        <v>0</v>
      </c>
      <c r="G23" s="4">
        <f t="shared" si="128"/>
        <v>0</v>
      </c>
      <c r="H23" s="4">
        <f t="shared" si="128"/>
        <v>0</v>
      </c>
      <c r="I23" s="4">
        <f t="shared" si="128"/>
        <v>30</v>
      </c>
      <c r="J23" s="4">
        <f t="shared" si="128"/>
        <v>62</v>
      </c>
      <c r="K23" s="4">
        <f t="shared" si="128"/>
        <v>0</v>
      </c>
      <c r="L23" s="4">
        <f t="shared" si="1"/>
        <v>62</v>
      </c>
      <c r="N23" s="1" t="s">
        <v>222</v>
      </c>
      <c r="O23" s="4">
        <f t="shared" ref="O23:T23" si="129">IF(ISNUMBER(SEARCH(O$1,$N23)), 1, 0)</f>
        <v>0</v>
      </c>
      <c r="P23" s="4">
        <f t="shared" si="129"/>
        <v>1</v>
      </c>
      <c r="Q23" s="4">
        <f t="shared" si="129"/>
        <v>0</v>
      </c>
      <c r="R23" s="4">
        <f t="shared" si="129"/>
        <v>1</v>
      </c>
      <c r="S23" s="4">
        <f t="shared" si="129"/>
        <v>0</v>
      </c>
      <c r="T23" s="4">
        <f t="shared" si="129"/>
        <v>0</v>
      </c>
      <c r="V23" s="1" t="s">
        <v>22</v>
      </c>
      <c r="W23" s="1" t="str">
        <f t="shared" ref="W23:AA28" si="130">IF(W$1=$V23, "True", "False")</f>
        <v>True</v>
      </c>
      <c r="X23" s="1" t="str">
        <f t="shared" si="130"/>
        <v>False</v>
      </c>
      <c r="Y23" s="1" t="str">
        <f t="shared" si="130"/>
        <v>False</v>
      </c>
      <c r="Z23" s="1" t="str">
        <f t="shared" si="130"/>
        <v>False</v>
      </c>
      <c r="AA23" s="1" t="str">
        <f t="shared" si="130"/>
        <v>False</v>
      </c>
      <c r="AB23" s="1" t="s">
        <v>183</v>
      </c>
      <c r="AC23" s="4">
        <f t="shared" ref="AC23:AH23" si="131">IF(ISNUMBER(SEARCH(AC$1,$AB23)), 1, 0)</f>
        <v>0</v>
      </c>
      <c r="AD23" s="4">
        <f t="shared" si="131"/>
        <v>0</v>
      </c>
      <c r="AE23" s="4">
        <f t="shared" si="131"/>
        <v>0</v>
      </c>
      <c r="AF23" s="4">
        <f t="shared" si="131"/>
        <v>0</v>
      </c>
      <c r="AG23" s="4">
        <f t="shared" si="131"/>
        <v>0</v>
      </c>
      <c r="AH23" s="4">
        <f t="shared" si="131"/>
        <v>0</v>
      </c>
      <c r="AI23" s="1">
        <f t="shared" si="5"/>
        <v>0</v>
      </c>
      <c r="AJ23" s="1" t="s">
        <v>223</v>
      </c>
      <c r="AK23" s="1" t="s">
        <v>224</v>
      </c>
      <c r="AL23" s="4">
        <f t="shared" ref="AL23:AS23" si="132">IF(ISNUMBER(SEARCH(AL$1,$AK23)), 1, 0)</f>
        <v>1</v>
      </c>
      <c r="AM23" s="4">
        <f t="shared" si="132"/>
        <v>0</v>
      </c>
      <c r="AN23" s="4">
        <f t="shared" si="132"/>
        <v>1</v>
      </c>
      <c r="AO23" s="4">
        <f t="shared" si="132"/>
        <v>0</v>
      </c>
      <c r="AP23" s="4">
        <f t="shared" si="132"/>
        <v>0</v>
      </c>
      <c r="AQ23" s="4">
        <f t="shared" si="132"/>
        <v>1</v>
      </c>
      <c r="AR23" s="4">
        <f t="shared" si="132"/>
        <v>0</v>
      </c>
      <c r="AS23" s="4">
        <f t="shared" si="132"/>
        <v>0</v>
      </c>
      <c r="AU23" s="1" t="s">
        <v>47</v>
      </c>
      <c r="AV23" s="1">
        <f t="shared" si="7"/>
        <v>1</v>
      </c>
      <c r="AW23" s="1">
        <f t="shared" si="8"/>
        <v>0</v>
      </c>
      <c r="AX23" s="1">
        <f t="shared" si="9"/>
        <v>0</v>
      </c>
      <c r="AY23" s="1" t="s">
        <v>47</v>
      </c>
      <c r="AZ23" s="1" t="s">
        <v>48</v>
      </c>
      <c r="BA23" s="1" t="s">
        <v>225</v>
      </c>
      <c r="BB23" s="4">
        <f t="shared" ref="BB23:BJ23" si="133">IF(ISNUMBER(SEARCH(BB$1,$BA23)), 1, 0)</f>
        <v>0</v>
      </c>
      <c r="BC23" s="4">
        <f t="shared" si="133"/>
        <v>0</v>
      </c>
      <c r="BD23" s="4">
        <f t="shared" si="133"/>
        <v>0</v>
      </c>
      <c r="BE23" s="4">
        <f t="shared" si="133"/>
        <v>1</v>
      </c>
      <c r="BF23" s="4">
        <f t="shared" si="133"/>
        <v>0</v>
      </c>
      <c r="BG23" s="4">
        <f t="shared" si="133"/>
        <v>0</v>
      </c>
      <c r="BH23" s="4">
        <f t="shared" si="133"/>
        <v>0</v>
      </c>
      <c r="BI23" s="4">
        <f t="shared" si="133"/>
        <v>0</v>
      </c>
      <c r="BJ23" s="4">
        <f t="shared" si="133"/>
        <v>1</v>
      </c>
      <c r="BK23" s="4">
        <f t="shared" si="11"/>
        <v>2</v>
      </c>
      <c r="BO23" s="4">
        <f t="shared" ref="BO23:BU23" si="134">IF(ISNUMBER(SEARCH(BO$1,$BN23)), 1, 0)</f>
        <v>0</v>
      </c>
      <c r="BP23" s="4">
        <f t="shared" si="134"/>
        <v>0</v>
      </c>
      <c r="BQ23" s="4">
        <f t="shared" si="134"/>
        <v>0</v>
      </c>
      <c r="BR23" s="4">
        <f t="shared" si="134"/>
        <v>0</v>
      </c>
      <c r="BS23" s="4">
        <f t="shared" si="134"/>
        <v>0</v>
      </c>
      <c r="BT23" s="4">
        <f t="shared" si="134"/>
        <v>0</v>
      </c>
      <c r="BU23" s="4">
        <f t="shared" si="134"/>
        <v>0</v>
      </c>
    </row>
    <row r="24" spans="1:107" ht="15.75" customHeight="1" x14ac:dyDescent="0.25">
      <c r="A24" s="1" t="b">
        <v>1</v>
      </c>
      <c r="B24" s="3">
        <v>46154.725532407407</v>
      </c>
      <c r="C24" s="1" t="s">
        <v>337</v>
      </c>
      <c r="D24" s="1" t="s">
        <v>338</v>
      </c>
      <c r="E24" s="4">
        <f t="shared" ref="E24:K24" si="135">IF(ISNUMBER(SEARCH(E$1,$D24)), SEARCH(E$1,$D24), 0)</f>
        <v>1</v>
      </c>
      <c r="F24" s="4">
        <f t="shared" si="135"/>
        <v>0</v>
      </c>
      <c r="G24" s="4">
        <f t="shared" si="135"/>
        <v>0</v>
      </c>
      <c r="H24" s="4">
        <f t="shared" si="135"/>
        <v>0</v>
      </c>
      <c r="I24" s="4">
        <f t="shared" si="135"/>
        <v>30</v>
      </c>
      <c r="J24" s="4">
        <f t="shared" si="135"/>
        <v>0</v>
      </c>
      <c r="K24" s="4">
        <f t="shared" si="135"/>
        <v>0</v>
      </c>
      <c r="L24" s="4">
        <f t="shared" si="1"/>
        <v>30</v>
      </c>
      <c r="N24" s="1" t="s">
        <v>328</v>
      </c>
      <c r="O24" s="4">
        <f t="shared" ref="O24:T24" si="136">IF(ISNUMBER(SEARCH(O$1,$N24)), 1, 0)</f>
        <v>1</v>
      </c>
      <c r="P24" s="4">
        <f t="shared" si="136"/>
        <v>1</v>
      </c>
      <c r="Q24" s="4">
        <f t="shared" si="136"/>
        <v>1</v>
      </c>
      <c r="R24" s="4">
        <f t="shared" si="136"/>
        <v>0</v>
      </c>
      <c r="S24" s="4">
        <f t="shared" si="136"/>
        <v>0</v>
      </c>
      <c r="T24" s="4">
        <f t="shared" si="136"/>
        <v>0</v>
      </c>
      <c r="V24" s="1" t="s">
        <v>22</v>
      </c>
      <c r="W24" s="1" t="str">
        <f t="shared" si="130"/>
        <v>True</v>
      </c>
      <c r="X24" s="1" t="str">
        <f t="shared" si="130"/>
        <v>False</v>
      </c>
      <c r="Y24" s="1" t="str">
        <f t="shared" si="130"/>
        <v>False</v>
      </c>
      <c r="Z24" s="1" t="str">
        <f t="shared" si="130"/>
        <v>False</v>
      </c>
      <c r="AA24" s="1" t="str">
        <f t="shared" si="130"/>
        <v>False</v>
      </c>
      <c r="AB24" s="1" t="s">
        <v>33</v>
      </c>
      <c r="AC24" s="4">
        <f t="shared" ref="AC24:AH24" si="137">IF(ISNUMBER(SEARCH(AC$1,$AB24)), 1, 0)</f>
        <v>0</v>
      </c>
      <c r="AD24" s="4">
        <f t="shared" si="137"/>
        <v>0</v>
      </c>
      <c r="AE24" s="4">
        <f t="shared" si="137"/>
        <v>0</v>
      </c>
      <c r="AF24" s="4">
        <f t="shared" si="137"/>
        <v>0</v>
      </c>
      <c r="AG24" s="4">
        <f t="shared" si="137"/>
        <v>0</v>
      </c>
      <c r="AH24" s="4">
        <f t="shared" si="137"/>
        <v>1</v>
      </c>
      <c r="AI24" s="1">
        <f t="shared" si="5"/>
        <v>1</v>
      </c>
      <c r="AK24" s="1" t="s">
        <v>288</v>
      </c>
      <c r="AL24" s="4">
        <f t="shared" ref="AL24:AS24" si="138">IF(ISNUMBER(SEARCH(AL$1,$AK24)), 1, 0)</f>
        <v>0</v>
      </c>
      <c r="AM24" s="4">
        <f t="shared" si="138"/>
        <v>1</v>
      </c>
      <c r="AN24" s="4">
        <f t="shared" si="138"/>
        <v>0</v>
      </c>
      <c r="AO24" s="4">
        <f t="shared" si="138"/>
        <v>1</v>
      </c>
      <c r="AP24" s="4">
        <f t="shared" si="138"/>
        <v>0</v>
      </c>
      <c r="AQ24" s="4">
        <f t="shared" si="138"/>
        <v>0</v>
      </c>
      <c r="AR24" s="4">
        <f t="shared" si="138"/>
        <v>0</v>
      </c>
      <c r="AS24" s="4">
        <f t="shared" si="138"/>
        <v>0</v>
      </c>
      <c r="AU24" s="1" t="s">
        <v>49</v>
      </c>
      <c r="AV24" s="1">
        <f t="shared" si="7"/>
        <v>0</v>
      </c>
      <c r="AW24" s="1">
        <f t="shared" si="8"/>
        <v>0</v>
      </c>
      <c r="AX24" s="1">
        <f t="shared" si="9"/>
        <v>1</v>
      </c>
      <c r="AY24" s="1" t="s">
        <v>48</v>
      </c>
      <c r="BA24" s="1" t="s">
        <v>339</v>
      </c>
      <c r="BB24" s="4">
        <f t="shared" ref="BB24:BJ24" si="139">IF(ISNUMBER(SEARCH(BB$1,$BA24)), 1, 0)</f>
        <v>0</v>
      </c>
      <c r="BC24" s="4">
        <f t="shared" si="139"/>
        <v>1</v>
      </c>
      <c r="BD24" s="4">
        <f t="shared" si="139"/>
        <v>1</v>
      </c>
      <c r="BE24" s="4">
        <f t="shared" si="139"/>
        <v>1</v>
      </c>
      <c r="BF24" s="4">
        <f t="shared" si="139"/>
        <v>0</v>
      </c>
      <c r="BG24" s="4">
        <f t="shared" si="139"/>
        <v>1</v>
      </c>
      <c r="BH24" s="4">
        <f t="shared" si="139"/>
        <v>0</v>
      </c>
      <c r="BI24" s="4">
        <f t="shared" si="139"/>
        <v>0</v>
      </c>
      <c r="BJ24" s="4">
        <f t="shared" si="139"/>
        <v>1</v>
      </c>
      <c r="BK24" s="4">
        <f t="shared" si="11"/>
        <v>5</v>
      </c>
      <c r="BM24" s="1" t="s">
        <v>166</v>
      </c>
      <c r="BN24" s="1" t="s">
        <v>340</v>
      </c>
      <c r="BO24" s="4">
        <f t="shared" ref="BO24:BU24" si="140">IF(ISNUMBER(SEARCH(BO$1,$BN24)), 1, 0)</f>
        <v>1</v>
      </c>
      <c r="BP24" s="4">
        <f t="shared" si="140"/>
        <v>1</v>
      </c>
      <c r="BQ24" s="4">
        <f t="shared" si="140"/>
        <v>0</v>
      </c>
      <c r="BR24" s="4">
        <f t="shared" si="140"/>
        <v>0</v>
      </c>
      <c r="BS24" s="4">
        <f t="shared" si="140"/>
        <v>0</v>
      </c>
      <c r="BT24" s="4">
        <f t="shared" si="140"/>
        <v>0</v>
      </c>
      <c r="BU24" s="4">
        <f t="shared" si="140"/>
        <v>0</v>
      </c>
      <c r="CH24" s="1" t="s">
        <v>341</v>
      </c>
      <c r="CJ24" s="1" t="s">
        <v>342</v>
      </c>
      <c r="CL24" s="1" t="s">
        <v>177</v>
      </c>
      <c r="DC24" s="1" t="s">
        <v>238</v>
      </c>
    </row>
    <row r="25" spans="1:107" ht="15.75" customHeight="1" x14ac:dyDescent="0.25">
      <c r="A25" s="1" t="b">
        <v>0</v>
      </c>
      <c r="B25" s="3">
        <v>46170.276365740741</v>
      </c>
      <c r="C25" s="1" t="s">
        <v>757</v>
      </c>
      <c r="D25" s="1" t="s">
        <v>338</v>
      </c>
      <c r="E25" s="4">
        <f t="shared" ref="E25:K25" si="141">IF(ISNUMBER(SEARCH(E$1,$D25)), SEARCH(E$1,$D25), 0)</f>
        <v>1</v>
      </c>
      <c r="F25" s="4">
        <f t="shared" si="141"/>
        <v>0</v>
      </c>
      <c r="G25" s="4">
        <f t="shared" si="141"/>
        <v>0</v>
      </c>
      <c r="H25" s="4">
        <f t="shared" si="141"/>
        <v>0</v>
      </c>
      <c r="I25" s="4">
        <f t="shared" si="141"/>
        <v>30</v>
      </c>
      <c r="J25" s="4">
        <f t="shared" si="141"/>
        <v>0</v>
      </c>
      <c r="K25" s="4">
        <f t="shared" si="141"/>
        <v>0</v>
      </c>
      <c r="L25" s="4">
        <f t="shared" si="1"/>
        <v>30</v>
      </c>
      <c r="N25" s="1" t="s">
        <v>244</v>
      </c>
      <c r="O25" s="4">
        <f t="shared" ref="O25:T25" si="142">IF(ISNUMBER(SEARCH(O$1,$N25)), 1, 0)</f>
        <v>1</v>
      </c>
      <c r="P25" s="4">
        <f t="shared" si="142"/>
        <v>0</v>
      </c>
      <c r="Q25" s="4">
        <f t="shared" si="142"/>
        <v>1</v>
      </c>
      <c r="R25" s="4">
        <f t="shared" si="142"/>
        <v>1</v>
      </c>
      <c r="S25" s="4">
        <f t="shared" si="142"/>
        <v>0</v>
      </c>
      <c r="T25" s="4">
        <f t="shared" si="142"/>
        <v>0</v>
      </c>
      <c r="W25" s="1" t="str">
        <f t="shared" si="130"/>
        <v>False</v>
      </c>
      <c r="X25" s="1" t="str">
        <f t="shared" si="130"/>
        <v>False</v>
      </c>
      <c r="Y25" s="1" t="str">
        <f t="shared" si="130"/>
        <v>False</v>
      </c>
      <c r="Z25" s="1" t="str">
        <f t="shared" si="130"/>
        <v>False</v>
      </c>
      <c r="AA25" s="1" t="str">
        <f t="shared" si="130"/>
        <v>False</v>
      </c>
      <c r="AC25" s="4">
        <f t="shared" ref="AC25:AH25" si="143">IF(ISNUMBER(SEARCH(AC$1,$AB25)), 1, 0)</f>
        <v>0</v>
      </c>
      <c r="AD25" s="4">
        <f t="shared" si="143"/>
        <v>0</v>
      </c>
      <c r="AE25" s="4">
        <f t="shared" si="143"/>
        <v>0</v>
      </c>
      <c r="AF25" s="4">
        <f t="shared" si="143"/>
        <v>0</v>
      </c>
      <c r="AG25" s="4">
        <f t="shared" si="143"/>
        <v>0</v>
      </c>
      <c r="AH25" s="4">
        <f t="shared" si="143"/>
        <v>0</v>
      </c>
      <c r="AI25" s="1">
        <f t="shared" si="5"/>
        <v>0</v>
      </c>
      <c r="AL25" s="4">
        <f t="shared" ref="AL25:AS25" si="144">IF(ISNUMBER(SEARCH(AL$1,$AK25)), 1, 0)</f>
        <v>0</v>
      </c>
      <c r="AM25" s="4">
        <f t="shared" si="144"/>
        <v>0</v>
      </c>
      <c r="AN25" s="4">
        <f t="shared" si="144"/>
        <v>0</v>
      </c>
      <c r="AO25" s="4">
        <f t="shared" si="144"/>
        <v>0</v>
      </c>
      <c r="AP25" s="4">
        <f t="shared" si="144"/>
        <v>0</v>
      </c>
      <c r="AQ25" s="4">
        <f t="shared" si="144"/>
        <v>0</v>
      </c>
      <c r="AR25" s="4">
        <f t="shared" si="144"/>
        <v>0</v>
      </c>
      <c r="AS25" s="4">
        <f t="shared" si="144"/>
        <v>0</v>
      </c>
      <c r="AV25" s="1">
        <f t="shared" si="7"/>
        <v>0</v>
      </c>
      <c r="AW25" s="1">
        <f t="shared" si="8"/>
        <v>0</v>
      </c>
      <c r="AX25" s="1">
        <f t="shared" si="9"/>
        <v>0</v>
      </c>
      <c r="BB25" s="4">
        <f t="shared" ref="BB25:BJ25" si="145">IF(ISNUMBER(SEARCH(BB$1,$BA25)), 1, 0)</f>
        <v>0</v>
      </c>
      <c r="BC25" s="4">
        <f t="shared" si="145"/>
        <v>0</v>
      </c>
      <c r="BD25" s="4">
        <f t="shared" si="145"/>
        <v>0</v>
      </c>
      <c r="BE25" s="4">
        <f t="shared" si="145"/>
        <v>0</v>
      </c>
      <c r="BF25" s="4">
        <f t="shared" si="145"/>
        <v>0</v>
      </c>
      <c r="BG25" s="4">
        <f t="shared" si="145"/>
        <v>0</v>
      </c>
      <c r="BH25" s="4">
        <f t="shared" si="145"/>
        <v>0</v>
      </c>
      <c r="BI25" s="4">
        <f t="shared" si="145"/>
        <v>0</v>
      </c>
      <c r="BJ25" s="4">
        <f t="shared" si="145"/>
        <v>0</v>
      </c>
      <c r="BK25" s="4">
        <f t="shared" si="11"/>
        <v>0</v>
      </c>
      <c r="BO25" s="4">
        <f t="shared" ref="BO25:BU25" si="146">IF(ISNUMBER(SEARCH(BO$1,$BN25)), 1, 0)</f>
        <v>0</v>
      </c>
      <c r="BP25" s="4">
        <f t="shared" si="146"/>
        <v>0</v>
      </c>
      <c r="BQ25" s="4">
        <f t="shared" si="146"/>
        <v>0</v>
      </c>
      <c r="BR25" s="4">
        <f t="shared" si="146"/>
        <v>0</v>
      </c>
      <c r="BS25" s="4">
        <f t="shared" si="146"/>
        <v>0</v>
      </c>
      <c r="BT25" s="4">
        <f t="shared" si="146"/>
        <v>0</v>
      </c>
      <c r="BU25" s="4">
        <f t="shared" si="146"/>
        <v>0</v>
      </c>
    </row>
    <row r="26" spans="1:107" ht="15.75" customHeight="1" x14ac:dyDescent="0.25">
      <c r="A26" s="1" t="b">
        <v>1</v>
      </c>
      <c r="B26" s="3">
        <v>46167.016828703701</v>
      </c>
      <c r="C26" s="1" t="s">
        <v>664</v>
      </c>
      <c r="D26" s="1" t="s">
        <v>159</v>
      </c>
      <c r="E26" s="4">
        <f t="shared" ref="E26:K26" si="147">IF(ISNUMBER(SEARCH(E$1,$D26)), SEARCH(E$1,$D26), 0)</f>
        <v>1</v>
      </c>
      <c r="F26" s="4">
        <f t="shared" si="147"/>
        <v>0</v>
      </c>
      <c r="G26" s="4">
        <f t="shared" si="147"/>
        <v>0</v>
      </c>
      <c r="H26" s="4">
        <f t="shared" si="147"/>
        <v>0</v>
      </c>
      <c r="I26" s="4">
        <f t="shared" si="147"/>
        <v>30</v>
      </c>
      <c r="J26" s="4">
        <f t="shared" si="147"/>
        <v>62</v>
      </c>
      <c r="K26" s="4">
        <f t="shared" si="147"/>
        <v>0</v>
      </c>
      <c r="L26" s="4">
        <f t="shared" si="1"/>
        <v>62</v>
      </c>
      <c r="N26" s="1" t="s">
        <v>328</v>
      </c>
      <c r="O26" s="4">
        <f t="shared" ref="O26:T26" si="148">IF(ISNUMBER(SEARCH(O$1,$N26)), 1, 0)</f>
        <v>1</v>
      </c>
      <c r="P26" s="4">
        <f t="shared" si="148"/>
        <v>1</v>
      </c>
      <c r="Q26" s="4">
        <f t="shared" si="148"/>
        <v>1</v>
      </c>
      <c r="R26" s="4">
        <f t="shared" si="148"/>
        <v>0</v>
      </c>
      <c r="S26" s="4">
        <f t="shared" si="148"/>
        <v>0</v>
      </c>
      <c r="T26" s="4">
        <f t="shared" si="148"/>
        <v>0</v>
      </c>
      <c r="W26" s="1" t="str">
        <f t="shared" si="130"/>
        <v>False</v>
      </c>
      <c r="X26" s="1" t="str">
        <f t="shared" si="130"/>
        <v>False</v>
      </c>
      <c r="Y26" s="1" t="str">
        <f t="shared" si="130"/>
        <v>False</v>
      </c>
      <c r="Z26" s="1" t="str">
        <f t="shared" si="130"/>
        <v>False</v>
      </c>
      <c r="AA26" s="1" t="str">
        <f t="shared" si="130"/>
        <v>False</v>
      </c>
      <c r="AB26" s="1" t="s">
        <v>31</v>
      </c>
      <c r="AC26" s="4">
        <f t="shared" ref="AC26:AH26" si="149">IF(ISNUMBER(SEARCH(AC$1,$AB26)), 1, 0)</f>
        <v>0</v>
      </c>
      <c r="AD26" s="4">
        <f t="shared" si="149"/>
        <v>0</v>
      </c>
      <c r="AE26" s="4">
        <f t="shared" si="149"/>
        <v>0</v>
      </c>
      <c r="AF26" s="4">
        <f t="shared" si="149"/>
        <v>1</v>
      </c>
      <c r="AG26" s="4">
        <f t="shared" si="149"/>
        <v>0</v>
      </c>
      <c r="AH26" s="4">
        <f t="shared" si="149"/>
        <v>0</v>
      </c>
      <c r="AI26" s="1">
        <f t="shared" si="5"/>
        <v>1</v>
      </c>
      <c r="AK26" s="1" t="s">
        <v>288</v>
      </c>
      <c r="AL26" s="4">
        <f t="shared" ref="AL26:AS26" si="150">IF(ISNUMBER(SEARCH(AL$1,$AK26)), 1, 0)</f>
        <v>0</v>
      </c>
      <c r="AM26" s="4">
        <f t="shared" si="150"/>
        <v>1</v>
      </c>
      <c r="AN26" s="4">
        <f t="shared" si="150"/>
        <v>0</v>
      </c>
      <c r="AO26" s="4">
        <f t="shared" si="150"/>
        <v>1</v>
      </c>
      <c r="AP26" s="4">
        <f t="shared" si="150"/>
        <v>0</v>
      </c>
      <c r="AQ26" s="4">
        <f t="shared" si="150"/>
        <v>0</v>
      </c>
      <c r="AR26" s="4">
        <f t="shared" si="150"/>
        <v>0</v>
      </c>
      <c r="AS26" s="4">
        <f t="shared" si="150"/>
        <v>0</v>
      </c>
      <c r="AU26" s="1" t="s">
        <v>47</v>
      </c>
      <c r="AV26" s="1">
        <f t="shared" si="7"/>
        <v>1</v>
      </c>
      <c r="AW26" s="1">
        <f t="shared" si="8"/>
        <v>0</v>
      </c>
      <c r="AX26" s="1">
        <f t="shared" si="9"/>
        <v>0</v>
      </c>
      <c r="AY26" s="1" t="s">
        <v>48</v>
      </c>
      <c r="BA26" s="1" t="s">
        <v>665</v>
      </c>
      <c r="BB26" s="4">
        <f t="shared" ref="BB26:BJ26" si="151">IF(ISNUMBER(SEARCH(BB$1,$BA26)), 1, 0)</f>
        <v>0</v>
      </c>
      <c r="BC26" s="4">
        <f t="shared" si="151"/>
        <v>0</v>
      </c>
      <c r="BD26" s="4">
        <f t="shared" si="151"/>
        <v>0</v>
      </c>
      <c r="BE26" s="4">
        <f t="shared" si="151"/>
        <v>1</v>
      </c>
      <c r="BF26" s="4">
        <f t="shared" si="151"/>
        <v>0</v>
      </c>
      <c r="BG26" s="4">
        <f t="shared" si="151"/>
        <v>0</v>
      </c>
      <c r="BH26" s="4">
        <f t="shared" si="151"/>
        <v>0</v>
      </c>
      <c r="BI26" s="4">
        <f t="shared" si="151"/>
        <v>1</v>
      </c>
      <c r="BJ26" s="4">
        <f t="shared" si="151"/>
        <v>1</v>
      </c>
      <c r="BK26" s="4">
        <f t="shared" si="11"/>
        <v>3</v>
      </c>
      <c r="BM26" s="1" t="s">
        <v>232</v>
      </c>
      <c r="BN26" s="1" t="s">
        <v>666</v>
      </c>
      <c r="BO26" s="4">
        <f t="shared" ref="BO26:BU26" si="152">IF(ISNUMBER(SEARCH(BO$1,$BN26)), 1, 0)</f>
        <v>0</v>
      </c>
      <c r="BP26" s="4">
        <f t="shared" si="152"/>
        <v>0</v>
      </c>
      <c r="BQ26" s="4">
        <f t="shared" si="152"/>
        <v>0</v>
      </c>
      <c r="BR26" s="4">
        <f t="shared" si="152"/>
        <v>1</v>
      </c>
      <c r="BS26" s="4">
        <f t="shared" si="152"/>
        <v>1</v>
      </c>
      <c r="BT26" s="4">
        <f t="shared" si="152"/>
        <v>0</v>
      </c>
      <c r="BU26" s="4">
        <f t="shared" si="152"/>
        <v>1</v>
      </c>
      <c r="CH26" s="1" t="s">
        <v>667</v>
      </c>
      <c r="CJ26" s="1" t="s">
        <v>668</v>
      </c>
      <c r="CL26" s="1" t="s">
        <v>352</v>
      </c>
      <c r="CR26" s="1" t="s">
        <v>250</v>
      </c>
      <c r="DC26" s="1" t="s">
        <v>238</v>
      </c>
    </row>
    <row r="27" spans="1:107" ht="15.75" customHeight="1" x14ac:dyDescent="0.25">
      <c r="A27" s="1" t="b">
        <v>1</v>
      </c>
      <c r="B27" s="3">
        <v>46165.060011574074</v>
      </c>
      <c r="C27" s="1" t="s">
        <v>574</v>
      </c>
      <c r="D27" s="1" t="s">
        <v>8</v>
      </c>
      <c r="E27" s="4">
        <f t="shared" ref="E27:K27" si="153">IF(ISNUMBER(SEARCH(E$1,$D27)), SEARCH(E$1,$D27), 0)</f>
        <v>0</v>
      </c>
      <c r="F27" s="4">
        <f t="shared" si="153"/>
        <v>0</v>
      </c>
      <c r="G27" s="4">
        <f t="shared" si="153"/>
        <v>0</v>
      </c>
      <c r="H27" s="4">
        <f t="shared" si="153"/>
        <v>0</v>
      </c>
      <c r="I27" s="4">
        <f t="shared" si="153"/>
        <v>1</v>
      </c>
      <c r="J27" s="4">
        <f t="shared" si="153"/>
        <v>0</v>
      </c>
      <c r="K27" s="4">
        <f t="shared" si="153"/>
        <v>0</v>
      </c>
      <c r="L27" s="4">
        <f t="shared" si="1"/>
        <v>1</v>
      </c>
      <c r="N27" s="1" t="s">
        <v>240</v>
      </c>
      <c r="O27" s="4">
        <f t="shared" ref="O27:T27" si="154">IF(ISNUMBER(SEARCH(O$1,$N27)), 1, 0)</f>
        <v>1</v>
      </c>
      <c r="P27" s="4">
        <f t="shared" si="154"/>
        <v>1</v>
      </c>
      <c r="Q27" s="4">
        <f t="shared" si="154"/>
        <v>1</v>
      </c>
      <c r="R27" s="4">
        <f t="shared" si="154"/>
        <v>1</v>
      </c>
      <c r="S27" s="4">
        <f t="shared" si="154"/>
        <v>0</v>
      </c>
      <c r="T27" s="4">
        <f t="shared" si="154"/>
        <v>0</v>
      </c>
      <c r="W27" s="1" t="str">
        <f t="shared" si="130"/>
        <v>False</v>
      </c>
      <c r="X27" s="1" t="str">
        <f t="shared" si="130"/>
        <v>False</v>
      </c>
      <c r="Y27" s="1" t="str">
        <f t="shared" si="130"/>
        <v>False</v>
      </c>
      <c r="Z27" s="1" t="str">
        <f t="shared" si="130"/>
        <v>False</v>
      </c>
      <c r="AA27" s="1" t="str">
        <f t="shared" si="130"/>
        <v>False</v>
      </c>
      <c r="AB27" s="1" t="s">
        <v>357</v>
      </c>
      <c r="AC27" s="4">
        <f t="shared" ref="AC27:AH27" si="155">IF(ISNUMBER(SEARCH(AC$1,$AB27)), 1, 0)</f>
        <v>1</v>
      </c>
      <c r="AD27" s="4">
        <f t="shared" si="155"/>
        <v>0</v>
      </c>
      <c r="AE27" s="4">
        <f t="shared" si="155"/>
        <v>0</v>
      </c>
      <c r="AF27" s="4">
        <f t="shared" si="155"/>
        <v>0</v>
      </c>
      <c r="AG27" s="4">
        <f t="shared" si="155"/>
        <v>0</v>
      </c>
      <c r="AH27" s="4">
        <f t="shared" si="155"/>
        <v>1</v>
      </c>
      <c r="AI27" s="1">
        <f t="shared" si="5"/>
        <v>2</v>
      </c>
      <c r="AK27" s="1" t="s">
        <v>470</v>
      </c>
      <c r="AL27" s="4">
        <f t="shared" ref="AL27:AS27" si="156">IF(ISNUMBER(SEARCH(AL$1,$AK27)), 1, 0)</f>
        <v>0</v>
      </c>
      <c r="AM27" s="4">
        <f t="shared" si="156"/>
        <v>1</v>
      </c>
      <c r="AN27" s="4">
        <f t="shared" si="156"/>
        <v>0</v>
      </c>
      <c r="AO27" s="4">
        <f t="shared" si="156"/>
        <v>1</v>
      </c>
      <c r="AP27" s="4">
        <f t="shared" si="156"/>
        <v>0</v>
      </c>
      <c r="AQ27" s="4">
        <f t="shared" si="156"/>
        <v>1</v>
      </c>
      <c r="AR27" s="4">
        <f t="shared" si="156"/>
        <v>0</v>
      </c>
      <c r="AS27" s="4">
        <f t="shared" si="156"/>
        <v>0</v>
      </c>
      <c r="AU27" s="1" t="s">
        <v>47</v>
      </c>
      <c r="AV27" s="1">
        <f t="shared" si="7"/>
        <v>1</v>
      </c>
      <c r="AW27" s="1">
        <f t="shared" si="8"/>
        <v>0</v>
      </c>
      <c r="AX27" s="1">
        <f t="shared" si="9"/>
        <v>0</v>
      </c>
      <c r="AY27" s="1" t="s">
        <v>48</v>
      </c>
      <c r="BA27" s="1" t="s">
        <v>231</v>
      </c>
      <c r="BB27" s="4">
        <f t="shared" ref="BB27:BJ27" si="157">IF(ISNUMBER(SEARCH(BB$1,$BA27)), 1, 0)</f>
        <v>1</v>
      </c>
      <c r="BC27" s="4">
        <f t="shared" si="157"/>
        <v>1</v>
      </c>
      <c r="BD27" s="4">
        <f t="shared" si="157"/>
        <v>1</v>
      </c>
      <c r="BE27" s="4">
        <f t="shared" si="157"/>
        <v>1</v>
      </c>
      <c r="BF27" s="4">
        <f t="shared" si="157"/>
        <v>1</v>
      </c>
      <c r="BG27" s="4">
        <f t="shared" si="157"/>
        <v>1</v>
      </c>
      <c r="BH27" s="4">
        <f t="shared" si="157"/>
        <v>0</v>
      </c>
      <c r="BI27" s="4">
        <f t="shared" si="157"/>
        <v>0</v>
      </c>
      <c r="BJ27" s="4">
        <f t="shared" si="157"/>
        <v>1</v>
      </c>
      <c r="BK27" s="4">
        <f t="shared" si="11"/>
        <v>7</v>
      </c>
      <c r="BM27" s="1" t="s">
        <v>232</v>
      </c>
      <c r="BN27" s="1" t="s">
        <v>382</v>
      </c>
      <c r="BO27" s="4">
        <f t="shared" ref="BO27:BU27" si="158">IF(ISNUMBER(SEARCH(BO$1,$BN27)), 1, 0)</f>
        <v>1</v>
      </c>
      <c r="BP27" s="4">
        <f t="shared" si="158"/>
        <v>1</v>
      </c>
      <c r="BQ27" s="4">
        <f t="shared" si="158"/>
        <v>1</v>
      </c>
      <c r="BR27" s="4">
        <f t="shared" si="158"/>
        <v>1</v>
      </c>
      <c r="BS27" s="4">
        <f t="shared" si="158"/>
        <v>1</v>
      </c>
      <c r="BT27" s="4">
        <f t="shared" si="158"/>
        <v>1</v>
      </c>
      <c r="BU27" s="4">
        <f t="shared" si="158"/>
        <v>0</v>
      </c>
      <c r="CH27" s="1" t="s">
        <v>575</v>
      </c>
      <c r="CI27" s="1" t="s">
        <v>576</v>
      </c>
      <c r="CJ27" s="1" t="s">
        <v>175</v>
      </c>
      <c r="CK27" s="1" t="s">
        <v>577</v>
      </c>
      <c r="CL27" s="1" t="s">
        <v>578</v>
      </c>
      <c r="DC27" s="1" t="s">
        <v>180</v>
      </c>
    </row>
    <row r="28" spans="1:107" ht="15.75" customHeight="1" x14ac:dyDescent="0.25">
      <c r="A28" s="1" t="b">
        <v>1</v>
      </c>
      <c r="B28" s="3">
        <v>46167.369560185187</v>
      </c>
      <c r="C28" s="1" t="s">
        <v>681</v>
      </c>
      <c r="D28" s="1" t="s">
        <v>8</v>
      </c>
      <c r="E28" s="4">
        <f t="shared" ref="E28:K28" si="159">IF(ISNUMBER(SEARCH(E$1,$D28)), SEARCH(E$1,$D28), 0)</f>
        <v>0</v>
      </c>
      <c r="F28" s="4">
        <f t="shared" si="159"/>
        <v>0</v>
      </c>
      <c r="G28" s="4">
        <f t="shared" si="159"/>
        <v>0</v>
      </c>
      <c r="H28" s="4">
        <f t="shared" si="159"/>
        <v>0</v>
      </c>
      <c r="I28" s="4">
        <f t="shared" si="159"/>
        <v>1</v>
      </c>
      <c r="J28" s="4">
        <f t="shared" si="159"/>
        <v>0</v>
      </c>
      <c r="K28" s="4">
        <f t="shared" si="159"/>
        <v>0</v>
      </c>
      <c r="L28" s="4">
        <f t="shared" si="1"/>
        <v>1</v>
      </c>
      <c r="N28" s="1" t="s">
        <v>328</v>
      </c>
      <c r="O28" s="4">
        <f t="shared" ref="O28:T28" si="160">IF(ISNUMBER(SEARCH(O$1,$N28)), 1, 0)</f>
        <v>1</v>
      </c>
      <c r="P28" s="4">
        <f t="shared" si="160"/>
        <v>1</v>
      </c>
      <c r="Q28" s="4">
        <f t="shared" si="160"/>
        <v>1</v>
      </c>
      <c r="R28" s="4">
        <f t="shared" si="160"/>
        <v>0</v>
      </c>
      <c r="S28" s="4">
        <f t="shared" si="160"/>
        <v>0</v>
      </c>
      <c r="T28" s="4">
        <f t="shared" si="160"/>
        <v>0</v>
      </c>
      <c r="V28" s="1" t="s">
        <v>24</v>
      </c>
      <c r="W28" s="1" t="str">
        <f t="shared" si="130"/>
        <v>False</v>
      </c>
      <c r="X28" s="1" t="str">
        <f t="shared" si="130"/>
        <v>False</v>
      </c>
      <c r="Y28" s="1" t="str">
        <f t="shared" si="130"/>
        <v>True</v>
      </c>
      <c r="Z28" s="1" t="str">
        <f t="shared" si="130"/>
        <v>False</v>
      </c>
      <c r="AA28" s="1" t="str">
        <f t="shared" si="130"/>
        <v>False</v>
      </c>
      <c r="AB28" s="1" t="s">
        <v>357</v>
      </c>
      <c r="AC28" s="4">
        <f t="shared" ref="AC28:AH28" si="161">IF(ISNUMBER(SEARCH(AC$1,$AB28)), 1, 0)</f>
        <v>1</v>
      </c>
      <c r="AD28" s="4">
        <f t="shared" si="161"/>
        <v>0</v>
      </c>
      <c r="AE28" s="4">
        <f t="shared" si="161"/>
        <v>0</v>
      </c>
      <c r="AF28" s="4">
        <f t="shared" si="161"/>
        <v>0</v>
      </c>
      <c r="AG28" s="4">
        <f t="shared" si="161"/>
        <v>0</v>
      </c>
      <c r="AH28" s="4">
        <f t="shared" si="161"/>
        <v>1</v>
      </c>
      <c r="AI28" s="1">
        <f t="shared" si="5"/>
        <v>2</v>
      </c>
      <c r="AK28" s="1" t="s">
        <v>288</v>
      </c>
      <c r="AL28" s="4">
        <f t="shared" ref="AL28:AS28" si="162">IF(ISNUMBER(SEARCH(AL$1,$AK28)), 1, 0)</f>
        <v>0</v>
      </c>
      <c r="AM28" s="4">
        <f t="shared" si="162"/>
        <v>1</v>
      </c>
      <c r="AN28" s="4">
        <f t="shared" si="162"/>
        <v>0</v>
      </c>
      <c r="AO28" s="4">
        <f t="shared" si="162"/>
        <v>1</v>
      </c>
      <c r="AP28" s="4">
        <f t="shared" si="162"/>
        <v>0</v>
      </c>
      <c r="AQ28" s="4">
        <f t="shared" si="162"/>
        <v>0</v>
      </c>
      <c r="AR28" s="4">
        <f t="shared" si="162"/>
        <v>0</v>
      </c>
      <c r="AS28" s="4">
        <f t="shared" si="162"/>
        <v>0</v>
      </c>
      <c r="AU28" s="1" t="s">
        <v>49</v>
      </c>
      <c r="AV28" s="1">
        <f t="shared" si="7"/>
        <v>0</v>
      </c>
      <c r="AW28" s="1">
        <f t="shared" si="8"/>
        <v>0</v>
      </c>
      <c r="AX28" s="1">
        <f t="shared" si="9"/>
        <v>1</v>
      </c>
      <c r="AY28" s="1" t="s">
        <v>48</v>
      </c>
      <c r="BA28" s="1" t="s">
        <v>371</v>
      </c>
      <c r="BB28" s="4">
        <f t="shared" ref="BB28:BJ28" si="163">IF(ISNUMBER(SEARCH(BB$1,$BA28)), 1, 0)</f>
        <v>1</v>
      </c>
      <c r="BC28" s="4">
        <f t="shared" si="163"/>
        <v>1</v>
      </c>
      <c r="BD28" s="4">
        <f t="shared" si="163"/>
        <v>1</v>
      </c>
      <c r="BE28" s="4">
        <f t="shared" si="163"/>
        <v>0</v>
      </c>
      <c r="BF28" s="4">
        <f t="shared" si="163"/>
        <v>1</v>
      </c>
      <c r="BG28" s="4">
        <f t="shared" si="163"/>
        <v>1</v>
      </c>
      <c r="BH28" s="4">
        <f t="shared" si="163"/>
        <v>0</v>
      </c>
      <c r="BI28" s="4">
        <f t="shared" si="163"/>
        <v>0</v>
      </c>
      <c r="BJ28" s="4">
        <f t="shared" si="163"/>
        <v>1</v>
      </c>
      <c r="BK28" s="4">
        <f t="shared" si="11"/>
        <v>6</v>
      </c>
      <c r="BM28" s="1" t="s">
        <v>232</v>
      </c>
      <c r="BN28" s="1" t="s">
        <v>557</v>
      </c>
      <c r="BO28" s="4">
        <f t="shared" ref="BO28:BU28" si="164">IF(ISNUMBER(SEARCH(BO$1,$BN28)), 1, 0)</f>
        <v>0</v>
      </c>
      <c r="BP28" s="4">
        <f t="shared" si="164"/>
        <v>0</v>
      </c>
      <c r="BQ28" s="4">
        <f t="shared" si="164"/>
        <v>0</v>
      </c>
      <c r="BR28" s="4">
        <f t="shared" si="164"/>
        <v>1</v>
      </c>
      <c r="BS28" s="4">
        <f t="shared" si="164"/>
        <v>1</v>
      </c>
      <c r="BT28" s="4">
        <f t="shared" si="164"/>
        <v>0</v>
      </c>
      <c r="BU28" s="4">
        <f t="shared" si="164"/>
        <v>0</v>
      </c>
      <c r="CH28" s="1" t="s">
        <v>173</v>
      </c>
      <c r="CI28" s="1" t="s">
        <v>682</v>
      </c>
      <c r="CJ28" s="1" t="s">
        <v>683</v>
      </c>
      <c r="CL28" s="1" t="s">
        <v>177</v>
      </c>
      <c r="DC28" s="1" t="s">
        <v>238</v>
      </c>
    </row>
    <row r="29" spans="1:107" ht="15.75" customHeight="1" x14ac:dyDescent="0.25">
      <c r="A29" s="1"/>
      <c r="B29" s="3"/>
      <c r="C29" s="1"/>
      <c r="D29" s="1"/>
      <c r="N29" s="1"/>
      <c r="O29" s="4">
        <f>SUM(O$2:O28)</f>
        <v>22</v>
      </c>
      <c r="P29" s="4">
        <f>SUM(P$2:P28)</f>
        <v>22</v>
      </c>
      <c r="Q29" s="4">
        <f>SUM(Q$2:Q28)</f>
        <v>22</v>
      </c>
      <c r="R29" s="4">
        <f>SUM(R$2:R28)</f>
        <v>17</v>
      </c>
      <c r="S29" s="4">
        <f>SUM(S$2:S28)</f>
        <v>7</v>
      </c>
      <c r="T29" s="4">
        <f>SUM(T$2:T28)</f>
        <v>8</v>
      </c>
      <c r="V29" s="1"/>
      <c r="W29" s="1"/>
      <c r="X29" s="1"/>
      <c r="Y29" s="1"/>
      <c r="Z29" s="1"/>
      <c r="AA29" s="1"/>
      <c r="AB29" s="1"/>
      <c r="AC29" s="4">
        <f>SUM(AC$2:AC28)</f>
        <v>12</v>
      </c>
      <c r="AD29" s="4">
        <f>SUM(AD$2:AD28)</f>
        <v>7</v>
      </c>
      <c r="AE29" s="4">
        <f>SUM(AE$2:AE28)</f>
        <v>3</v>
      </c>
      <c r="AF29" s="4">
        <f>SUM(AF$2:AF28)</f>
        <v>6</v>
      </c>
      <c r="AG29" s="4">
        <f>SUM(AG$2:AG28)</f>
        <v>1</v>
      </c>
      <c r="AH29" s="4">
        <f>SUM(AH$2:AH28)</f>
        <v>13</v>
      </c>
      <c r="AI29" s="1"/>
      <c r="AK29" s="1"/>
      <c r="AL29" s="4">
        <f>SUM(AL$2:AL28)</f>
        <v>10</v>
      </c>
      <c r="AM29" s="4">
        <f>SUM(AM$2:AM28)</f>
        <v>18</v>
      </c>
      <c r="AN29" s="4">
        <f>SUM(AN$2:AN28)</f>
        <v>9</v>
      </c>
      <c r="AO29" s="4">
        <f>SUM(AO$2:AO28)</f>
        <v>18</v>
      </c>
      <c r="AP29" s="4">
        <f>SUM(AP$2:AP28)</f>
        <v>4</v>
      </c>
      <c r="AQ29" s="4">
        <f>SUM(AQ$2:AQ28)</f>
        <v>13</v>
      </c>
      <c r="AR29" s="4">
        <f>SUM(AR$2:AR28)</f>
        <v>4</v>
      </c>
      <c r="AS29" s="4">
        <f>SUM(AS$2:AS28)</f>
        <v>3</v>
      </c>
      <c r="AU29" s="1"/>
      <c r="AV29" s="4">
        <f>SUM(AV$2:AV28)</f>
        <v>13</v>
      </c>
      <c r="AW29" s="4">
        <f>SUM(AW$2:AW28)</f>
        <v>7</v>
      </c>
      <c r="AX29" s="1"/>
      <c r="AY29" s="1"/>
      <c r="BA29" s="1"/>
      <c r="BB29" s="4">
        <f>SUM(BB$2:BB28)</f>
        <v>13</v>
      </c>
      <c r="BC29" s="4">
        <f>SUM(BC$2:BC28)</f>
        <v>17</v>
      </c>
      <c r="BD29" s="4">
        <f>SUM(BD$2:BD28)</f>
        <v>14</v>
      </c>
      <c r="BE29" s="4">
        <f>SUM(BE$2:BE28)</f>
        <v>13</v>
      </c>
      <c r="BF29" s="4">
        <f>SUM(BF$2:BF28)</f>
        <v>17</v>
      </c>
      <c r="BG29" s="4">
        <f>SUM(BG$2:BG28)</f>
        <v>9</v>
      </c>
      <c r="BH29" s="4">
        <f>SUM(BH$2:BH28)</f>
        <v>5</v>
      </c>
      <c r="BI29" s="4">
        <f>SUM(BI$2:BI28)</f>
        <v>6</v>
      </c>
      <c r="BJ29" s="4">
        <f>SUM(BJ$2:BJ28)</f>
        <v>22</v>
      </c>
      <c r="BM29" s="1"/>
      <c r="BN29" s="1"/>
      <c r="BO29" s="4">
        <f>SUM(BO$2:BO28)</f>
        <v>8</v>
      </c>
      <c r="BP29" s="4">
        <f>SUM(BP$2:BP28)</f>
        <v>8</v>
      </c>
      <c r="BQ29" s="4">
        <f>SUM(BQ$2:BQ28)</f>
        <v>4</v>
      </c>
      <c r="BR29" s="4">
        <f>SUM(BR$2:BR28)</f>
        <v>9</v>
      </c>
      <c r="BS29" s="4">
        <f>SUM(BS$2:BS28)</f>
        <v>8</v>
      </c>
      <c r="BT29" s="4">
        <f>SUM(BT$2:BT28)</f>
        <v>7</v>
      </c>
      <c r="BU29" s="4">
        <f>SUM(BU$2:BU28)</f>
        <v>6</v>
      </c>
      <c r="CU29" s="1"/>
      <c r="CW29" s="1"/>
      <c r="CX29" s="1"/>
      <c r="CZ29" s="1"/>
      <c r="DB29" s="1"/>
      <c r="DC29" s="1"/>
    </row>
    <row r="30" spans="1:107" ht="15.75" customHeight="1" x14ac:dyDescent="0.25">
      <c r="A30" s="1"/>
      <c r="B30" s="3"/>
      <c r="C30" s="1"/>
      <c r="D30" s="1"/>
      <c r="N30" s="1"/>
      <c r="O30" s="4">
        <f>(O29/COUNT(O$2:O28))*100</f>
        <v>84.615384615384613</v>
      </c>
      <c r="P30" s="4">
        <f>(P29/COUNT(P$2:P28))*100</f>
        <v>84.615384615384613</v>
      </c>
      <c r="Q30" s="4">
        <f>(Q29/COUNT(Q$2:Q28))*100</f>
        <v>84.615384615384613</v>
      </c>
      <c r="R30" s="4">
        <f>(R29/COUNT(R$2:R28))*100</f>
        <v>65.384615384615387</v>
      </c>
      <c r="S30" s="4">
        <f>(S29/COUNT(S$2:S28))*100</f>
        <v>26.923076923076923</v>
      </c>
      <c r="T30" s="4">
        <f>(T29/COUNT(T$2:T28))*100</f>
        <v>30.76923076923077</v>
      </c>
      <c r="V30" s="1"/>
      <c r="W30" s="1"/>
      <c r="X30" s="1"/>
      <c r="Y30" s="1"/>
      <c r="Z30" s="1"/>
      <c r="AA30" s="1"/>
      <c r="AB30" s="1"/>
      <c r="AC30" s="4">
        <f>(AC29/COUNT(AC$2:AC28))*100</f>
        <v>46.153846153846153</v>
      </c>
      <c r="AD30" s="4">
        <f>(AD29/COUNT(AD$2:AD28))*100</f>
        <v>26.923076923076923</v>
      </c>
      <c r="AE30" s="4">
        <f>(AE29/COUNT(AE$2:AE28))*100</f>
        <v>11.538461538461538</v>
      </c>
      <c r="AF30" s="4">
        <f>(AF29/COUNT(AF$2:AF28))*100</f>
        <v>23.076923076923077</v>
      </c>
      <c r="AG30" s="4">
        <f>(AG29/COUNT(AG$2:AG28))*100</f>
        <v>3.8461538461538463</v>
      </c>
      <c r="AH30" s="4">
        <f>(AH29/COUNT(AH$2:AH28))*100</f>
        <v>50</v>
      </c>
      <c r="AI30" s="1"/>
      <c r="AK30" s="1"/>
      <c r="AL30" s="4">
        <f>(AL29/COUNT(AL$2:AL28))*100</f>
        <v>38.461538461538467</v>
      </c>
      <c r="AM30" s="4">
        <f>(AM29/COUNT(AM$2:AM28))*100</f>
        <v>69.230769230769226</v>
      </c>
      <c r="AN30" s="4">
        <f>(AN29/COUNT(AN$2:AN28))*100</f>
        <v>34.615384615384613</v>
      </c>
      <c r="AO30" s="4">
        <f>(AO29/COUNT(AO$2:AO28))*100</f>
        <v>69.230769230769226</v>
      </c>
      <c r="AP30" s="4">
        <f>(AP29/COUNT(AP$2:AP28))*100</f>
        <v>15.384615384615385</v>
      </c>
      <c r="AQ30" s="4">
        <f>(AQ29/COUNT(AQ$2:AQ28))*100</f>
        <v>50</v>
      </c>
      <c r="AR30" s="4">
        <f>(AR29/COUNT(AR$2:AR28))*100</f>
        <v>15.384615384615385</v>
      </c>
      <c r="AS30" s="4">
        <f>(AS29/COUNT(AS$2:AS28))*100</f>
        <v>11.538461538461538</v>
      </c>
      <c r="AU30" s="1"/>
      <c r="AV30" s="4">
        <f>(AV29/COUNT(AV$2:AV28))*100</f>
        <v>50</v>
      </c>
      <c r="AW30" s="4">
        <f>(AW29/COUNT(AW$2:AW28))*100</f>
        <v>26.923076923076923</v>
      </c>
      <c r="AX30" s="1"/>
      <c r="AY30" s="1"/>
      <c r="BA30" s="1"/>
      <c r="BB30" s="4">
        <f>(BB29/COUNT(BB$2:BB28))*100</f>
        <v>50</v>
      </c>
      <c r="BC30" s="4">
        <f>(BC29/COUNT(BC$2:BC28))*100</f>
        <v>65.384615384615387</v>
      </c>
      <c r="BD30" s="4">
        <f>(BD29/COUNT(BD$2:BD28))*100</f>
        <v>53.846153846153847</v>
      </c>
      <c r="BE30" s="4">
        <f>(BE29/COUNT(BE$2:BE28))*100</f>
        <v>50</v>
      </c>
      <c r="BF30" s="4">
        <f>(BF29/COUNT(BF$2:BF28))*100</f>
        <v>65.384615384615387</v>
      </c>
      <c r="BG30" s="4">
        <f>(BG29/COUNT(BG$2:BG28))*100</f>
        <v>34.615384615384613</v>
      </c>
      <c r="BH30" s="4">
        <f>(BH29/COUNT(BH$2:BH28))*100</f>
        <v>19.230769230769234</v>
      </c>
      <c r="BI30" s="4">
        <f>(BI29/COUNT(BI$2:BI28))*100</f>
        <v>23.076923076923077</v>
      </c>
      <c r="BJ30" s="4">
        <f>(BJ29/COUNT(BJ$2:BJ28))*100</f>
        <v>84.615384615384613</v>
      </c>
      <c r="BM30" s="1"/>
      <c r="BN30" s="1"/>
      <c r="BO30" s="4">
        <f>(BO29/COUNT(BO$2:BO28))*100</f>
        <v>30.76923076923077</v>
      </c>
      <c r="BP30" s="4">
        <f>(BP29/COUNT(BP$2:BP28))*100</f>
        <v>30.76923076923077</v>
      </c>
      <c r="BQ30" s="4">
        <f>(BQ29/COUNT(BQ$2:BQ28))*100</f>
        <v>15.384615384615385</v>
      </c>
      <c r="BR30" s="4">
        <f>(BR29/COUNT(BR$2:BR28))*100</f>
        <v>34.615384615384613</v>
      </c>
      <c r="BS30" s="4">
        <f>(BS29/COUNT(BS$2:BS28))*100</f>
        <v>30.76923076923077</v>
      </c>
      <c r="BT30" s="4">
        <f>(BT29/COUNT(BT$2:BT28))*100</f>
        <v>26.923076923076923</v>
      </c>
      <c r="BU30" s="4">
        <f>(BU29/COUNT(BU$2:BU28))*100</f>
        <v>23.076923076923077</v>
      </c>
      <c r="CH30">
        <f>5/12</f>
        <v>0.41666666666666669</v>
      </c>
      <c r="CU30" s="1"/>
      <c r="CX30" s="1"/>
      <c r="CZ30" s="1"/>
      <c r="DC30" s="1"/>
    </row>
    <row r="31" spans="1:107" ht="15.75" customHeight="1" x14ac:dyDescent="0.25">
      <c r="A31" s="1"/>
      <c r="B31" s="3"/>
      <c r="C31" s="1"/>
      <c r="D31" s="1"/>
      <c r="N31" s="1"/>
      <c r="W31" s="1"/>
      <c r="X31" s="1"/>
      <c r="Y31" s="1"/>
      <c r="Z31" s="1"/>
      <c r="AA31" s="1"/>
      <c r="AB31" s="1"/>
      <c r="AI31" s="1"/>
      <c r="AJ31" s="1"/>
      <c r="AK31" s="1"/>
      <c r="AU31" s="1"/>
      <c r="AV31" s="1"/>
      <c r="AW31" s="1"/>
      <c r="AX31" s="1"/>
      <c r="AY31" s="1"/>
      <c r="BA31" s="1"/>
      <c r="BL31" s="1"/>
      <c r="BM31" s="1"/>
      <c r="BN31" s="1"/>
      <c r="BV31" s="1"/>
    </row>
    <row r="32" spans="1:107" ht="15.75" customHeight="1" x14ac:dyDescent="0.25">
      <c r="A32" s="1"/>
      <c r="B32" s="3"/>
      <c r="C32" s="1"/>
      <c r="D32" s="1"/>
      <c r="N32" s="1"/>
      <c r="V32" s="1"/>
      <c r="W32" s="1"/>
      <c r="X32" s="1"/>
      <c r="Y32" s="1"/>
      <c r="Z32" s="1"/>
      <c r="AA32" s="1"/>
      <c r="AB32" s="1"/>
      <c r="AI32" s="1"/>
      <c r="AJ32" s="1"/>
      <c r="AK32" s="1"/>
      <c r="AU32" s="1"/>
      <c r="AV32" s="1"/>
      <c r="AW32" s="1"/>
      <c r="AX32" s="1"/>
      <c r="AY32" s="1"/>
      <c r="BA32" s="1"/>
      <c r="BM32" s="1"/>
      <c r="BN32" s="1"/>
      <c r="BW32" s="1"/>
      <c r="BZ32" s="1"/>
      <c r="CR32" s="1"/>
      <c r="CT32" s="1"/>
      <c r="CU32" s="1"/>
      <c r="CW32" s="1"/>
      <c r="CX32" s="1"/>
      <c r="CZ32" s="1"/>
      <c r="DB32" s="1"/>
      <c r="DC32" s="1"/>
    </row>
    <row r="33" spans="1:107" ht="15.75" customHeight="1" x14ac:dyDescent="0.25">
      <c r="A33" s="1"/>
      <c r="B33" s="3"/>
      <c r="C33" s="1"/>
      <c r="D33" s="1"/>
      <c r="N33" s="1"/>
      <c r="V33" s="1"/>
      <c r="W33" s="1"/>
      <c r="X33" s="1"/>
      <c r="Y33" s="1"/>
      <c r="Z33" s="1"/>
      <c r="AA33" s="1"/>
      <c r="AB33" s="1"/>
      <c r="AI33" s="1"/>
      <c r="AJ33" s="1"/>
      <c r="AK33" s="1"/>
      <c r="AU33" s="1"/>
      <c r="AV33" s="1"/>
      <c r="AW33" s="1"/>
      <c r="AX33" s="1"/>
      <c r="AY33" s="1"/>
      <c r="AZ33" s="1"/>
      <c r="BA33" s="1"/>
      <c r="BW33" s="1"/>
      <c r="CX33" s="1"/>
      <c r="CZ33" s="1"/>
      <c r="DB33" s="1"/>
      <c r="DC33" s="1"/>
    </row>
    <row r="34" spans="1:107" ht="15.75" customHeight="1" x14ac:dyDescent="0.25">
      <c r="A34" s="1"/>
      <c r="B34" s="3"/>
      <c r="C34" s="1"/>
      <c r="D34" s="1"/>
      <c r="N34" s="1"/>
      <c r="U34" s="1"/>
      <c r="V34" s="1"/>
      <c r="W34" s="1"/>
      <c r="X34" s="1"/>
      <c r="Y34" s="1"/>
      <c r="Z34" s="1"/>
      <c r="AA34" s="1"/>
      <c r="AB34" s="1"/>
      <c r="AI34" s="1"/>
      <c r="AJ34" s="1"/>
      <c r="AK34" s="1"/>
      <c r="AT34" s="1"/>
      <c r="AU34" s="1"/>
      <c r="AV34" s="1"/>
      <c r="AW34" s="1"/>
      <c r="AX34" s="1"/>
      <c r="AY34" s="1"/>
      <c r="BA34" s="1"/>
      <c r="BM34" s="1"/>
      <c r="BN34" s="1"/>
      <c r="CX34" s="1"/>
      <c r="CZ34" s="1"/>
      <c r="DC34" s="1"/>
    </row>
    <row r="35" spans="1:107" ht="15.75" customHeight="1" x14ac:dyDescent="0.25">
      <c r="A35" s="1"/>
      <c r="B35" s="3"/>
      <c r="C35" s="1"/>
      <c r="D35" s="1"/>
      <c r="N35" s="1"/>
      <c r="U35" s="1"/>
      <c r="W35" s="1"/>
      <c r="X35" s="1"/>
      <c r="Y35" s="1"/>
      <c r="Z35" s="1"/>
      <c r="AA35" s="1"/>
      <c r="AB35" s="1"/>
      <c r="AI35" s="1"/>
      <c r="AJ35" s="1"/>
      <c r="AK35" s="1"/>
      <c r="AU35" s="1"/>
      <c r="AV35" s="1"/>
      <c r="AW35" s="1"/>
      <c r="AX35" s="1"/>
      <c r="AY35" s="1"/>
      <c r="BA35" s="1"/>
      <c r="BM35" s="1"/>
      <c r="BN35" s="1"/>
      <c r="BV35" s="1"/>
      <c r="CM35" s="1"/>
      <c r="CN35" s="1"/>
      <c r="CO35" s="1"/>
      <c r="CX35" s="1"/>
      <c r="CY35" s="1"/>
      <c r="CZ35" s="1"/>
      <c r="DA35" s="1"/>
      <c r="DB35" s="1"/>
      <c r="DC35" s="1"/>
    </row>
    <row r="36" spans="1:107" ht="15.75" customHeight="1" x14ac:dyDescent="0.25">
      <c r="A36" s="1"/>
      <c r="B36" s="3"/>
      <c r="C36" s="1"/>
      <c r="D36" s="1"/>
      <c r="N36" s="1"/>
      <c r="W36" s="1"/>
      <c r="X36" s="1"/>
      <c r="Y36" s="1"/>
      <c r="Z36" s="1"/>
      <c r="AA36" s="1"/>
      <c r="AB36" s="1"/>
      <c r="AI36" s="1"/>
      <c r="AK36" s="1"/>
      <c r="AU36" s="1"/>
      <c r="AV36" s="1"/>
      <c r="AW36" s="1"/>
      <c r="AX36" s="1"/>
      <c r="AY36" s="1"/>
      <c r="BA36" s="1"/>
      <c r="BM36" s="1"/>
      <c r="BN36" s="1"/>
      <c r="CX36" s="1"/>
      <c r="CZ36" s="1"/>
      <c r="DC36" s="1"/>
    </row>
    <row r="37" spans="1:107" ht="15.75" customHeight="1" x14ac:dyDescent="0.25">
      <c r="A37" s="1"/>
      <c r="B37" s="3"/>
      <c r="C37" s="1"/>
      <c r="D37" s="1"/>
      <c r="N37" s="1"/>
      <c r="W37" s="1"/>
      <c r="X37" s="1"/>
      <c r="Y37" s="1"/>
      <c r="Z37" s="1"/>
      <c r="AA37" s="1"/>
      <c r="AB37" s="1"/>
      <c r="AI37" s="1"/>
      <c r="AK37" s="1"/>
      <c r="AU37" s="1"/>
      <c r="AV37" s="1"/>
      <c r="AW37" s="1"/>
      <c r="AX37" s="1"/>
      <c r="AY37" s="1"/>
      <c r="BA37" s="1"/>
      <c r="BM37" s="1"/>
      <c r="BN37" s="1"/>
      <c r="CX37" s="1"/>
      <c r="CZ37" s="1"/>
      <c r="DC37" s="1"/>
    </row>
    <row r="38" spans="1:107" ht="15.75" customHeight="1" x14ac:dyDescent="0.25">
      <c r="A38" s="1"/>
      <c r="B38" s="3"/>
      <c r="C38" s="1"/>
      <c r="D38" s="1"/>
      <c r="N38" s="1"/>
      <c r="V38" s="1"/>
      <c r="W38" s="1"/>
      <c r="X38" s="1"/>
      <c r="Y38" s="1"/>
      <c r="Z38" s="1"/>
      <c r="AA38" s="1"/>
      <c r="AB38" s="1"/>
      <c r="AI38" s="1"/>
      <c r="AK38" s="1"/>
      <c r="AU38" s="1"/>
      <c r="AV38" s="1"/>
      <c r="AW38" s="1"/>
      <c r="AX38" s="1"/>
      <c r="AY38" s="1"/>
      <c r="BA38" s="1"/>
      <c r="BM38" s="1"/>
      <c r="BN38" s="1"/>
      <c r="BW38" s="1"/>
      <c r="BZ38" s="1"/>
      <c r="CM38" s="1"/>
      <c r="CQ38" s="1"/>
      <c r="CX38" s="1"/>
      <c r="CZ38" s="1"/>
      <c r="DC38" s="1"/>
    </row>
    <row r="39" spans="1:107" ht="15.75" customHeight="1" x14ac:dyDescent="0.25">
      <c r="A39" s="1"/>
      <c r="B39" s="3"/>
      <c r="C39" s="1"/>
      <c r="D39" s="1"/>
      <c r="N39" s="1"/>
      <c r="V39" s="1"/>
      <c r="W39" s="1"/>
      <c r="X39" s="1"/>
      <c r="Y39" s="1"/>
      <c r="Z39" s="1"/>
      <c r="AA39" s="1"/>
      <c r="AB39" s="1"/>
      <c r="AI39" s="1"/>
      <c r="AK39" s="1"/>
      <c r="AU39" s="1"/>
      <c r="AV39" s="1"/>
      <c r="AW39" s="1"/>
      <c r="AX39" s="1"/>
      <c r="AY39" s="1"/>
      <c r="BA39" s="1"/>
      <c r="BM39" s="1"/>
      <c r="BN39" s="1"/>
      <c r="CX39" s="1"/>
      <c r="CZ39" s="1"/>
      <c r="DB39" s="1"/>
      <c r="DC39" s="1"/>
    </row>
    <row r="40" spans="1:107" ht="15.75" customHeight="1" x14ac:dyDescent="0.25">
      <c r="A40" s="1"/>
      <c r="B40" s="3"/>
      <c r="C40" s="1"/>
      <c r="D40" s="1"/>
      <c r="N40" s="1"/>
      <c r="W40" s="1"/>
      <c r="X40" s="1"/>
      <c r="Y40" s="1"/>
      <c r="Z40" s="1"/>
      <c r="AA40" s="1"/>
      <c r="AB40" s="1"/>
      <c r="AI40" s="1"/>
      <c r="AK40" s="1"/>
      <c r="AU40" s="1"/>
      <c r="AV40" s="1"/>
      <c r="AW40" s="1"/>
      <c r="AX40" s="1"/>
      <c r="AY40" s="1"/>
      <c r="BA40" s="1"/>
      <c r="BM40" s="1"/>
      <c r="BN40" s="1"/>
      <c r="BW40" s="1"/>
      <c r="BZ40" s="1"/>
      <c r="CA40" s="1"/>
      <c r="CX40" s="1"/>
      <c r="CZ40" s="1"/>
      <c r="DC40" s="1"/>
    </row>
    <row r="41" spans="1:107" ht="15.75" customHeight="1" x14ac:dyDescent="0.25">
      <c r="A41" s="1"/>
      <c r="B41" s="3"/>
      <c r="C41" s="1"/>
      <c r="D41" s="1"/>
      <c r="M41" s="1"/>
      <c r="N41" s="1"/>
      <c r="V41" s="1"/>
      <c r="W41" s="1"/>
      <c r="X41" s="1"/>
      <c r="Y41" s="1"/>
      <c r="Z41" s="1"/>
      <c r="AA41" s="1"/>
      <c r="AB41" s="1"/>
      <c r="AI41" s="1"/>
      <c r="AK41" s="1"/>
      <c r="AU41" s="1"/>
      <c r="AV41" s="1"/>
      <c r="AW41" s="1"/>
      <c r="AX41" s="1"/>
      <c r="AY41" s="1"/>
      <c r="BA41" s="1"/>
      <c r="BM41" s="1"/>
      <c r="BN41" s="1"/>
      <c r="BW41" s="1"/>
      <c r="BZ41" s="1"/>
      <c r="CX41" s="1"/>
      <c r="CZ41" s="1"/>
      <c r="DB41" s="1"/>
      <c r="DC41" s="1"/>
    </row>
    <row r="42" spans="1:107" ht="15.75" customHeight="1" x14ac:dyDescent="0.25">
      <c r="A42" s="1"/>
      <c r="B42" s="3"/>
      <c r="C42" s="1"/>
      <c r="D42" s="1"/>
      <c r="N42" s="1"/>
      <c r="V42" s="1"/>
      <c r="W42" s="1"/>
      <c r="X42" s="1"/>
      <c r="Y42" s="1"/>
      <c r="Z42" s="1"/>
      <c r="AA42" s="1"/>
      <c r="AB42" s="1"/>
      <c r="AI42" s="1"/>
      <c r="AK42" s="1"/>
      <c r="AU42" s="1"/>
      <c r="AV42" s="1"/>
      <c r="AW42" s="1"/>
      <c r="AX42" s="1"/>
      <c r="AY42" s="1"/>
      <c r="BA42" s="1"/>
      <c r="BM42" s="1"/>
      <c r="BN42" s="1"/>
    </row>
    <row r="43" spans="1:107" ht="15.75" customHeight="1" x14ac:dyDescent="0.25">
      <c r="A43" s="1"/>
      <c r="B43" s="3"/>
      <c r="C43" s="1"/>
      <c r="D43" s="1"/>
      <c r="N43" s="1"/>
      <c r="V43" s="1"/>
      <c r="W43" s="1"/>
      <c r="X43" s="1"/>
      <c r="Y43" s="1"/>
      <c r="Z43" s="1"/>
      <c r="AA43" s="1"/>
      <c r="AB43" s="1"/>
      <c r="AI43" s="1"/>
      <c r="AK43" s="1"/>
      <c r="AU43" s="1"/>
      <c r="AV43" s="1"/>
      <c r="AW43" s="1"/>
      <c r="AX43" s="1"/>
      <c r="AY43" s="1"/>
      <c r="BA43" s="1"/>
      <c r="BM43" s="1"/>
      <c r="BN43" s="1"/>
      <c r="BV43" s="1"/>
      <c r="CX43" s="1"/>
      <c r="CZ43" s="1"/>
      <c r="DB43" s="1"/>
      <c r="DC43" s="1"/>
    </row>
    <row r="44" spans="1:107" ht="15.75" customHeight="1" x14ac:dyDescent="0.25">
      <c r="A44" s="1"/>
      <c r="B44" s="3"/>
      <c r="C44" s="1"/>
      <c r="D44" s="1"/>
      <c r="N44" s="1"/>
      <c r="W44" s="1"/>
      <c r="X44" s="1"/>
      <c r="Y44" s="1"/>
      <c r="Z44" s="1"/>
      <c r="AA44" s="1"/>
      <c r="AB44" s="1"/>
      <c r="AI44" s="1"/>
      <c r="AK44" s="1"/>
      <c r="AU44" s="1"/>
      <c r="AV44" s="1"/>
      <c r="AW44" s="1"/>
      <c r="AX44" s="1"/>
      <c r="AY44" s="1"/>
      <c r="BA44" s="1"/>
      <c r="BM44" s="1"/>
      <c r="BN44" s="1"/>
      <c r="BW44" s="1"/>
      <c r="BY44" s="1"/>
      <c r="BZ44" s="1"/>
      <c r="CX44" s="1"/>
      <c r="CZ44" s="1"/>
      <c r="DC44" s="1"/>
    </row>
    <row r="45" spans="1:107" ht="15.75" customHeight="1" x14ac:dyDescent="0.25">
      <c r="A45" s="1"/>
      <c r="B45" s="3"/>
      <c r="C45" s="1"/>
      <c r="D45" s="1"/>
      <c r="N45" s="1"/>
      <c r="V45" s="1"/>
      <c r="W45" s="1"/>
      <c r="X45" s="1"/>
      <c r="Y45" s="1"/>
      <c r="Z45" s="1"/>
      <c r="AA45" s="1"/>
      <c r="AB45" s="1"/>
      <c r="AI45" s="1"/>
      <c r="AK45" s="1"/>
      <c r="AU45" s="1"/>
      <c r="AV45" s="1"/>
      <c r="AW45" s="1"/>
      <c r="AX45" s="1"/>
      <c r="AY45" s="1"/>
      <c r="BA45" s="1"/>
      <c r="BM45" s="1"/>
      <c r="BN45" s="1"/>
      <c r="BV45" s="1"/>
      <c r="BW45" s="1"/>
      <c r="BY45" s="1"/>
      <c r="CX45" s="1"/>
      <c r="CY45" s="1"/>
      <c r="CZ45" s="1"/>
      <c r="DB45" s="1"/>
      <c r="DC45" s="1"/>
    </row>
    <row r="46" spans="1:107" ht="15.75" customHeight="1" x14ac:dyDescent="0.25">
      <c r="A46" s="1"/>
      <c r="B46" s="3"/>
      <c r="C46" s="1"/>
      <c r="D46" s="1"/>
      <c r="N46" s="1"/>
      <c r="W46" s="1"/>
      <c r="X46" s="1"/>
      <c r="Y46" s="1"/>
      <c r="Z46" s="1"/>
      <c r="AA46" s="1"/>
      <c r="AB46" s="1"/>
      <c r="AI46" s="1"/>
      <c r="AK46" s="1"/>
      <c r="AU46" s="1"/>
      <c r="AV46" s="1"/>
      <c r="AW46" s="1"/>
      <c r="AX46" s="1"/>
      <c r="AY46" s="1"/>
      <c r="BA46" s="1"/>
      <c r="BM46" s="1"/>
      <c r="BN46" s="1"/>
      <c r="BW46" s="1"/>
      <c r="CX46" s="1"/>
      <c r="CZ46" s="1"/>
      <c r="DC46" s="1"/>
    </row>
    <row r="47" spans="1:107" ht="15.75" customHeight="1" x14ac:dyDescent="0.25">
      <c r="A47" s="1"/>
      <c r="B47" s="3"/>
      <c r="C47" s="1"/>
      <c r="D47" s="1"/>
      <c r="N47" s="1"/>
      <c r="V47" s="1"/>
      <c r="W47" s="1"/>
      <c r="X47" s="1"/>
      <c r="Y47" s="1"/>
      <c r="Z47" s="1"/>
      <c r="AA47" s="1"/>
      <c r="AB47" s="1"/>
      <c r="AI47" s="1"/>
      <c r="AK47" s="1"/>
      <c r="AU47" s="1"/>
      <c r="AV47" s="1"/>
      <c r="AW47" s="1"/>
      <c r="AX47" s="1"/>
      <c r="AY47" s="1"/>
      <c r="BA47" s="1"/>
      <c r="BM47" s="1"/>
      <c r="BN47" s="1"/>
    </row>
    <row r="48" spans="1:107" ht="15.75" customHeight="1" x14ac:dyDescent="0.25">
      <c r="A48" s="1"/>
      <c r="B48" s="3"/>
      <c r="C48" s="1"/>
      <c r="D48" s="1"/>
      <c r="N48" s="1"/>
      <c r="V48" s="1"/>
      <c r="W48" s="1"/>
      <c r="X48" s="1"/>
      <c r="Y48" s="1"/>
      <c r="Z48" s="1"/>
      <c r="AA48" s="1"/>
      <c r="AB48" s="1"/>
      <c r="AI48" s="1"/>
      <c r="AK48" s="1"/>
      <c r="AU48" s="1"/>
      <c r="AV48" s="1"/>
      <c r="AW48" s="1"/>
      <c r="AX48" s="1"/>
      <c r="AY48" s="1"/>
      <c r="BA48" s="1"/>
      <c r="BM48" s="1"/>
      <c r="BN48" s="1"/>
      <c r="CX48" s="1"/>
      <c r="DB48" s="1"/>
      <c r="DC48" s="1"/>
    </row>
    <row r="49" spans="1:107" ht="15.75" customHeight="1" x14ac:dyDescent="0.25">
      <c r="A49" s="1"/>
      <c r="B49" s="3"/>
      <c r="C49" s="1"/>
      <c r="D49" s="1"/>
      <c r="N49" s="1"/>
      <c r="V49" s="1"/>
      <c r="W49" s="1"/>
      <c r="X49" s="1"/>
      <c r="Y49" s="1"/>
      <c r="Z49" s="1"/>
      <c r="AA49" s="1"/>
      <c r="AB49" s="1"/>
      <c r="AI49" s="1"/>
      <c r="AJ49" s="1"/>
      <c r="AK49" s="1"/>
      <c r="AU49" s="1"/>
      <c r="AV49" s="1"/>
      <c r="AW49" s="1"/>
      <c r="AX49" s="1"/>
      <c r="AY49" s="1"/>
      <c r="BA49" s="1"/>
      <c r="BL49" s="1"/>
      <c r="BM49" s="1"/>
      <c r="CX49" s="1"/>
      <c r="CZ49" s="1"/>
      <c r="DA49" s="1"/>
      <c r="DB49" s="1"/>
      <c r="DC49" s="1"/>
    </row>
    <row r="50" spans="1:107" ht="15.75" customHeight="1" x14ac:dyDescent="0.25">
      <c r="A50" s="1"/>
      <c r="B50" s="3"/>
      <c r="C50" s="1"/>
      <c r="D50" s="1"/>
      <c r="N50" s="1"/>
      <c r="V50" s="1"/>
      <c r="W50" s="1"/>
      <c r="X50" s="1"/>
      <c r="Y50" s="1"/>
      <c r="Z50" s="1"/>
      <c r="AA50" s="1"/>
      <c r="AB50" s="1"/>
      <c r="AI50" s="1"/>
      <c r="AK50" s="1"/>
      <c r="AU50" s="1"/>
      <c r="AV50" s="1"/>
      <c r="AW50" s="1"/>
      <c r="AX50" s="1"/>
      <c r="AY50" s="1"/>
      <c r="BA50" s="1"/>
      <c r="BM50" s="1"/>
      <c r="BN50" s="1"/>
      <c r="BV50" s="1"/>
      <c r="CX50" s="1"/>
      <c r="CZ50" s="1"/>
      <c r="DB50" s="1"/>
    </row>
    <row r="51" spans="1:107" ht="15.75" customHeight="1" x14ac:dyDescent="0.25">
      <c r="A51" s="1"/>
      <c r="B51" s="3"/>
      <c r="C51" s="1"/>
      <c r="D51" s="1"/>
      <c r="N51" s="1"/>
      <c r="V51" s="1"/>
      <c r="W51" s="1"/>
      <c r="X51" s="1"/>
      <c r="Y51" s="1"/>
      <c r="Z51" s="1"/>
      <c r="AA51" s="1"/>
      <c r="AB51" s="1"/>
      <c r="AI51" s="1"/>
      <c r="AK51" s="1"/>
      <c r="AU51" s="1"/>
      <c r="AV51" s="1"/>
      <c r="AW51" s="1"/>
      <c r="AX51" s="1"/>
      <c r="AY51" s="1"/>
      <c r="BA51" s="1"/>
      <c r="BM51" s="1"/>
      <c r="BN51" s="1"/>
    </row>
    <row r="52" spans="1:107" ht="15.75" customHeight="1" x14ac:dyDescent="0.25">
      <c r="A52" s="1"/>
      <c r="B52" s="3"/>
      <c r="C52" s="1"/>
      <c r="D52" s="1"/>
      <c r="N52" s="1"/>
      <c r="V52" s="1"/>
      <c r="W52" s="1"/>
      <c r="X52" s="1"/>
      <c r="Y52" s="1"/>
      <c r="Z52" s="1"/>
      <c r="AA52" s="1"/>
      <c r="AB52" s="1"/>
      <c r="AI52" s="1"/>
      <c r="AK52" s="1"/>
      <c r="AU52" s="1"/>
      <c r="AV52" s="1"/>
      <c r="AW52" s="1"/>
      <c r="AX52" s="1"/>
      <c r="AY52" s="1"/>
      <c r="BA52" s="1"/>
      <c r="BM52" s="1"/>
      <c r="BN52" s="1"/>
      <c r="CX52" s="1"/>
      <c r="CZ52" s="1"/>
      <c r="DB52" s="1"/>
      <c r="DC52" s="1"/>
    </row>
    <row r="53" spans="1:107" ht="15.75" customHeight="1" x14ac:dyDescent="0.25">
      <c r="A53" s="1"/>
      <c r="B53" s="3"/>
      <c r="C53" s="1"/>
      <c r="D53" s="1"/>
      <c r="N53" s="1"/>
      <c r="V53" s="1"/>
      <c r="W53" s="1"/>
      <c r="X53" s="1"/>
      <c r="Y53" s="1"/>
      <c r="Z53" s="1"/>
      <c r="AA53" s="1"/>
      <c r="AB53" s="1"/>
      <c r="AI53" s="1"/>
      <c r="AK53" s="1"/>
      <c r="AU53" s="1"/>
      <c r="AV53" s="1"/>
      <c r="AW53" s="1"/>
      <c r="AX53" s="1"/>
      <c r="AY53" s="1"/>
      <c r="BA53" s="1"/>
      <c r="BM53" s="1"/>
      <c r="BN53" s="1"/>
      <c r="CX53" s="1"/>
      <c r="CZ53" s="1"/>
      <c r="DB53" s="1"/>
      <c r="DC53" s="1"/>
    </row>
    <row r="54" spans="1:107" ht="15.75" customHeight="1" x14ac:dyDescent="0.25">
      <c r="A54" s="1"/>
      <c r="B54" s="3"/>
      <c r="C54" s="1"/>
      <c r="D54" s="1"/>
      <c r="N54" s="1"/>
      <c r="W54" s="1"/>
      <c r="X54" s="1"/>
      <c r="Y54" s="1"/>
      <c r="Z54" s="1"/>
      <c r="AA54" s="1"/>
      <c r="AB54" s="1"/>
      <c r="AI54" s="1"/>
      <c r="AK54" s="1"/>
      <c r="AU54" s="1"/>
      <c r="AV54" s="1"/>
      <c r="AW54" s="1"/>
      <c r="AX54" s="1"/>
      <c r="AY54" s="1"/>
      <c r="BA54" s="1"/>
      <c r="BM54" s="1"/>
      <c r="BN54" s="1"/>
      <c r="BW54" s="1"/>
      <c r="BZ54" s="1"/>
      <c r="CX54" s="1"/>
      <c r="CZ54" s="1"/>
      <c r="DB54" s="1"/>
      <c r="DC54" s="1"/>
    </row>
    <row r="55" spans="1:107" ht="15.75" customHeight="1" x14ac:dyDescent="0.25">
      <c r="A55" s="1"/>
      <c r="B55" s="3"/>
      <c r="C55" s="1"/>
      <c r="D55" s="1"/>
      <c r="N55" s="1"/>
      <c r="W55" s="1"/>
      <c r="X55" s="1"/>
      <c r="Y55" s="1"/>
      <c r="Z55" s="1"/>
      <c r="AA55" s="1"/>
      <c r="AB55" s="1"/>
      <c r="AI55" s="1"/>
      <c r="AK55" s="1"/>
      <c r="AU55" s="1"/>
      <c r="AV55" s="1"/>
      <c r="AW55" s="1"/>
      <c r="AX55" s="1"/>
      <c r="AY55" s="1"/>
      <c r="AZ55" s="1"/>
      <c r="BA55" s="1"/>
      <c r="BW55" s="1"/>
      <c r="CX55" s="1"/>
      <c r="CZ55" s="1"/>
      <c r="DB55" s="1"/>
      <c r="DC55" s="1"/>
    </row>
    <row r="56" spans="1:107" ht="15.75" customHeight="1" x14ac:dyDescent="0.25">
      <c r="A56" s="1"/>
      <c r="B56" s="3"/>
      <c r="C56" s="1"/>
      <c r="D56" s="1"/>
      <c r="N56" s="1"/>
      <c r="W56" s="1"/>
      <c r="X56" s="1"/>
      <c r="Y56" s="1"/>
      <c r="Z56" s="1"/>
      <c r="AA56" s="1"/>
      <c r="AB56" s="1"/>
      <c r="AI56" s="1"/>
      <c r="AJ56" s="1"/>
      <c r="AK56" s="1"/>
      <c r="AT56" s="1"/>
      <c r="AU56" s="1"/>
      <c r="AV56" s="1"/>
      <c r="AW56" s="1"/>
      <c r="AX56" s="1"/>
      <c r="AY56" s="1"/>
      <c r="BA56" s="1"/>
      <c r="BM56" s="1"/>
      <c r="BN56" s="1"/>
      <c r="BV56" s="1"/>
      <c r="BW56" s="1"/>
      <c r="BZ56" s="1"/>
      <c r="CX56" s="1"/>
      <c r="DC56" s="1"/>
    </row>
    <row r="57" spans="1:107" ht="15.75" customHeight="1" x14ac:dyDescent="0.25">
      <c r="A57" s="1"/>
      <c r="B57" s="3"/>
      <c r="C57" s="1"/>
      <c r="D57" s="1"/>
      <c r="N57" s="1"/>
      <c r="V57" s="1"/>
      <c r="W57" s="1"/>
      <c r="X57" s="1"/>
      <c r="Y57" s="1"/>
      <c r="Z57" s="1"/>
      <c r="AA57" s="1"/>
      <c r="AB57" s="1"/>
      <c r="AI57" s="1"/>
      <c r="AK57" s="1"/>
      <c r="AU57" s="1"/>
      <c r="AV57" s="1"/>
      <c r="AW57" s="1"/>
      <c r="AX57" s="1"/>
      <c r="AY57" s="1"/>
      <c r="BA57" s="1"/>
      <c r="BM57" s="1"/>
      <c r="BN57" s="1"/>
      <c r="BW57" s="1"/>
      <c r="CX57" s="1"/>
      <c r="CZ57" s="1"/>
      <c r="DC57" s="1"/>
    </row>
    <row r="58" spans="1:107" ht="15.75" customHeight="1" x14ac:dyDescent="0.25">
      <c r="A58" s="1"/>
      <c r="B58" s="3"/>
      <c r="C58" s="1"/>
      <c r="D58" s="1"/>
      <c r="N58" s="1"/>
      <c r="W58" s="1"/>
      <c r="X58" s="1"/>
      <c r="Y58" s="1"/>
      <c r="Z58" s="1"/>
      <c r="AA58" s="1"/>
      <c r="AB58" s="1"/>
      <c r="AI58" s="1"/>
      <c r="AJ58" s="1"/>
      <c r="AK58" s="1"/>
      <c r="AU58" s="1"/>
      <c r="AV58" s="1"/>
      <c r="AW58" s="1"/>
      <c r="AX58" s="1"/>
      <c r="AY58" s="1"/>
      <c r="BA58" s="1"/>
      <c r="BM58" s="1"/>
      <c r="BN58" s="1"/>
      <c r="CX58" s="1"/>
      <c r="CZ58" s="1"/>
      <c r="DC58" s="1"/>
    </row>
    <row r="59" spans="1:107" ht="15.75" customHeight="1" x14ac:dyDescent="0.25">
      <c r="A59" s="1"/>
      <c r="B59" s="3"/>
      <c r="C59" s="1"/>
      <c r="D59" s="1"/>
      <c r="N59" s="1"/>
      <c r="V59" s="1"/>
      <c r="W59" s="1"/>
      <c r="X59" s="1"/>
      <c r="Y59" s="1"/>
      <c r="Z59" s="1"/>
      <c r="AA59" s="1"/>
      <c r="AI59" s="1"/>
      <c r="AK59" s="1"/>
      <c r="AU59" s="1"/>
      <c r="AV59" s="1"/>
      <c r="AW59" s="1"/>
      <c r="AX59" s="1"/>
      <c r="AY59" s="1"/>
      <c r="BA59" s="1"/>
      <c r="BM59" s="1"/>
      <c r="BN59" s="1"/>
      <c r="CX59" s="1"/>
      <c r="CZ59" s="1"/>
      <c r="DA59" s="1"/>
      <c r="DB59" s="1"/>
      <c r="DC59" s="1"/>
    </row>
    <row r="60" spans="1:107" ht="15.75" customHeight="1" x14ac:dyDescent="0.25">
      <c r="A60" s="1"/>
      <c r="B60" s="3"/>
      <c r="C60" s="1"/>
      <c r="D60" s="1"/>
      <c r="N60" s="1"/>
      <c r="W60" s="1"/>
      <c r="X60" s="1"/>
      <c r="Y60" s="1"/>
      <c r="Z60" s="1"/>
      <c r="AA60" s="1"/>
      <c r="AB60" s="1"/>
      <c r="AI60" s="1"/>
      <c r="AK60" s="1"/>
      <c r="AU60" s="1"/>
      <c r="AV60" s="1"/>
      <c r="AW60" s="1"/>
      <c r="AX60" s="1"/>
      <c r="AY60" s="1"/>
      <c r="AZ60" s="1"/>
      <c r="CX60" s="1"/>
      <c r="CZ60" s="1"/>
      <c r="DC60" s="1"/>
    </row>
    <row r="61" spans="1:107" ht="15.75" customHeight="1" x14ac:dyDescent="0.25">
      <c r="A61" s="1"/>
      <c r="B61" s="3"/>
      <c r="C61" s="1"/>
      <c r="D61" s="1"/>
      <c r="N61" s="1"/>
      <c r="W61" s="1"/>
      <c r="X61" s="1"/>
      <c r="Y61" s="1"/>
      <c r="Z61" s="1"/>
      <c r="AA61" s="1"/>
      <c r="AB61" s="1"/>
      <c r="AI61" s="1"/>
      <c r="AK61" s="1"/>
      <c r="AU61" s="1"/>
      <c r="AV61" s="1"/>
      <c r="AW61" s="1"/>
      <c r="AX61" s="1"/>
      <c r="AY61" s="1"/>
      <c r="BA61" s="1"/>
      <c r="BM61" s="1"/>
      <c r="BN61" s="1"/>
      <c r="CX61" s="1"/>
      <c r="CZ61" s="1"/>
      <c r="DC61" s="1"/>
    </row>
    <row r="62" spans="1:107" ht="15.75" customHeight="1" x14ac:dyDescent="0.25">
      <c r="A62" s="1"/>
      <c r="B62" s="3"/>
      <c r="C62" s="1"/>
      <c r="D62" s="1"/>
      <c r="N62" s="1"/>
      <c r="W62" s="1"/>
      <c r="X62" s="1"/>
      <c r="Y62" s="1"/>
      <c r="Z62" s="1"/>
      <c r="AA62" s="1"/>
      <c r="AB62" s="1"/>
      <c r="AI62" s="1"/>
      <c r="AK62" s="1"/>
      <c r="AU62" s="1"/>
      <c r="AV62" s="1"/>
      <c r="AW62" s="1"/>
      <c r="AX62" s="1"/>
      <c r="AY62" s="1"/>
      <c r="BA62" s="1"/>
      <c r="BM62" s="1"/>
      <c r="BN62" s="1"/>
      <c r="CX62" s="1"/>
      <c r="CZ62" s="1"/>
      <c r="DC62" s="1"/>
    </row>
    <row r="63" spans="1:107" ht="15.75" customHeight="1" x14ac:dyDescent="0.25">
      <c r="A63" s="1"/>
      <c r="B63" s="3"/>
      <c r="C63" s="1"/>
      <c r="D63" s="1"/>
      <c r="N63" s="1"/>
      <c r="V63" s="1"/>
      <c r="W63" s="1"/>
      <c r="X63" s="1"/>
      <c r="Y63" s="1"/>
      <c r="Z63" s="1"/>
      <c r="AA63" s="1"/>
      <c r="AB63" s="1"/>
      <c r="AI63" s="1"/>
      <c r="AK63" s="1"/>
      <c r="AU63" s="1"/>
      <c r="AV63" s="1"/>
      <c r="AW63" s="1"/>
      <c r="AX63" s="1"/>
      <c r="AY63" s="1"/>
      <c r="BA63" s="1"/>
      <c r="BM63" s="1"/>
      <c r="BN63" s="1"/>
      <c r="BW63" s="1"/>
      <c r="BZ63" s="1"/>
      <c r="CM63" s="1"/>
      <c r="CQ63" s="1"/>
      <c r="CX63" s="1"/>
      <c r="CZ63" s="1"/>
      <c r="DC63" s="1"/>
    </row>
    <row r="64" spans="1:107" ht="15.75" customHeight="1" x14ac:dyDescent="0.25">
      <c r="A64" s="1"/>
      <c r="B64" s="3"/>
      <c r="C64" s="1"/>
      <c r="D64" s="1"/>
      <c r="N64" s="1"/>
      <c r="W64" s="1"/>
      <c r="X64" s="1"/>
      <c r="Y64" s="1"/>
      <c r="Z64" s="1"/>
      <c r="AA64" s="1"/>
      <c r="AB64" s="1"/>
      <c r="AI64" s="1"/>
      <c r="AK64" s="1"/>
      <c r="AT64" s="1"/>
      <c r="AU64" s="1"/>
      <c r="AV64" s="1"/>
      <c r="AW64" s="1"/>
      <c r="AX64" s="1"/>
      <c r="AY64" s="1"/>
      <c r="BA64" s="1"/>
      <c r="BL64" s="1"/>
      <c r="BM64" s="1"/>
      <c r="BN64" s="1"/>
      <c r="BV64" s="1"/>
    </row>
    <row r="65" spans="1:107" ht="15.75" customHeight="1" x14ac:dyDescent="0.25">
      <c r="A65" s="1"/>
      <c r="B65" s="3"/>
      <c r="C65" s="1"/>
      <c r="D65" s="1"/>
      <c r="N65" s="1"/>
      <c r="W65" s="1"/>
      <c r="X65" s="1"/>
      <c r="Y65" s="1"/>
      <c r="Z65" s="1"/>
      <c r="AA65" s="1"/>
      <c r="AB65" s="1"/>
      <c r="AI65" s="1"/>
      <c r="AK65" s="1"/>
      <c r="AU65" s="1"/>
      <c r="AV65" s="1"/>
      <c r="AW65" s="1"/>
      <c r="AX65" s="1"/>
      <c r="AY65" s="1"/>
      <c r="AZ65" s="1"/>
      <c r="BA65" s="1"/>
    </row>
    <row r="66" spans="1:107" ht="15.75" customHeight="1" x14ac:dyDescent="0.25">
      <c r="A66" s="1"/>
      <c r="B66" s="3"/>
      <c r="C66" s="1"/>
      <c r="D66" s="1"/>
      <c r="N66" s="1"/>
      <c r="V66" s="1"/>
      <c r="W66" s="1"/>
      <c r="X66" s="1"/>
      <c r="Y66" s="1"/>
      <c r="Z66" s="1"/>
      <c r="AA66" s="1"/>
      <c r="AB66" s="1"/>
      <c r="AI66" s="1"/>
      <c r="AK66" s="1"/>
      <c r="AU66" s="1"/>
      <c r="AV66" s="1"/>
      <c r="AW66" s="1"/>
      <c r="AX66" s="1"/>
      <c r="AY66" s="1"/>
      <c r="BA66" s="1"/>
      <c r="BM66" s="1"/>
      <c r="BN66" s="1"/>
      <c r="BW66" s="1"/>
      <c r="BZ66" s="1"/>
      <c r="CR66" s="1"/>
      <c r="CT66" s="1"/>
      <c r="CU66" s="1"/>
      <c r="CX66" s="1"/>
      <c r="CY66" s="1"/>
      <c r="CZ66" s="1"/>
      <c r="DC66" s="1"/>
    </row>
    <row r="67" spans="1:107" ht="15.75" customHeight="1" x14ac:dyDescent="0.25">
      <c r="A67" s="1"/>
      <c r="B67" s="3"/>
      <c r="C67" s="1"/>
      <c r="D67" s="1"/>
      <c r="N67" s="1"/>
      <c r="V67" s="1"/>
      <c r="W67" s="1"/>
      <c r="X67" s="1"/>
      <c r="Y67" s="1"/>
      <c r="Z67" s="1"/>
      <c r="AA67" s="1"/>
      <c r="AB67" s="1"/>
      <c r="AI67" s="1"/>
      <c r="AK67" s="1"/>
      <c r="AU67" s="1"/>
      <c r="AV67" s="1"/>
      <c r="AW67" s="1"/>
      <c r="AX67" s="1"/>
      <c r="AY67" s="1"/>
      <c r="BA67" s="1"/>
      <c r="BM67" s="1"/>
      <c r="BN67" s="1"/>
      <c r="BW67" s="1"/>
      <c r="BZ67" s="1"/>
      <c r="CX67" s="1"/>
      <c r="CZ67" s="1"/>
      <c r="DA67" s="1"/>
      <c r="DB67" s="1"/>
      <c r="DC67" s="1"/>
    </row>
    <row r="68" spans="1:107" ht="15.75" customHeight="1" x14ac:dyDescent="0.25">
      <c r="A68" s="1"/>
      <c r="B68" s="3"/>
      <c r="C68" s="1"/>
      <c r="D68" s="1"/>
      <c r="N68" s="1"/>
      <c r="V68" s="1"/>
      <c r="W68" s="1"/>
      <c r="X68" s="1"/>
      <c r="Y68" s="1"/>
      <c r="Z68" s="1"/>
      <c r="AA68" s="1"/>
      <c r="AB68" s="1"/>
      <c r="AI68" s="1"/>
      <c r="AK68" s="1"/>
      <c r="AU68" s="1"/>
      <c r="AV68" s="1"/>
      <c r="AW68" s="1"/>
      <c r="AX68" s="1"/>
      <c r="AY68" s="1"/>
      <c r="BA68" s="1"/>
      <c r="BM68" s="1"/>
      <c r="BN68" s="1"/>
      <c r="BW68" s="1"/>
      <c r="BZ68" s="1"/>
      <c r="CX68" s="1"/>
      <c r="CZ68" s="1"/>
      <c r="DC68" s="1"/>
    </row>
    <row r="69" spans="1:107" ht="15.75" customHeight="1" x14ac:dyDescent="0.25">
      <c r="A69" s="1"/>
      <c r="B69" s="3"/>
      <c r="C69" s="1"/>
      <c r="D69" s="1"/>
      <c r="N69" s="1"/>
      <c r="U69" s="1"/>
      <c r="V69" s="1"/>
      <c r="W69" s="1"/>
      <c r="X69" s="1"/>
      <c r="Y69" s="1"/>
      <c r="Z69" s="1"/>
      <c r="AA69" s="1"/>
      <c r="AB69" s="1"/>
      <c r="AI69" s="1"/>
      <c r="AK69" s="1"/>
      <c r="AT69" s="1"/>
      <c r="AU69" s="1"/>
      <c r="AV69" s="1"/>
      <c r="AW69" s="1"/>
      <c r="AX69" s="1"/>
      <c r="AY69" s="1"/>
      <c r="BA69" s="1"/>
      <c r="BM69" s="1"/>
      <c r="BN69" s="1"/>
      <c r="CX69" s="1"/>
      <c r="CZ69" s="1"/>
      <c r="DB69" s="1"/>
      <c r="DC69" s="1"/>
    </row>
    <row r="70" spans="1:107" ht="15.75" customHeight="1" x14ac:dyDescent="0.25">
      <c r="A70" s="1"/>
      <c r="B70" s="3"/>
      <c r="C70" s="1"/>
      <c r="D70" s="1"/>
      <c r="N70" s="1"/>
      <c r="W70" s="1"/>
      <c r="X70" s="1"/>
      <c r="Y70" s="1"/>
      <c r="Z70" s="1"/>
      <c r="AA70" s="1"/>
      <c r="AB70" s="1"/>
      <c r="AI70" s="1"/>
      <c r="AJ70" s="1"/>
      <c r="AK70" s="1"/>
      <c r="AU70" s="1"/>
      <c r="AV70" s="1"/>
      <c r="AW70" s="1"/>
      <c r="AX70" s="1"/>
      <c r="AY70" s="1"/>
      <c r="BA70" s="1"/>
      <c r="BM70" s="1"/>
      <c r="BN70" s="1"/>
      <c r="CX70" s="1"/>
      <c r="CZ70" s="1"/>
      <c r="DC70" s="1"/>
    </row>
    <row r="71" spans="1:107" ht="15.75" customHeight="1" x14ac:dyDescent="0.25">
      <c r="A71" s="1"/>
      <c r="B71" s="3"/>
      <c r="C71" s="1"/>
      <c r="D71" s="1"/>
      <c r="N71" s="1"/>
      <c r="V71" s="1"/>
      <c r="W71" s="1"/>
      <c r="X71" s="1"/>
      <c r="Y71" s="1"/>
      <c r="Z71" s="1"/>
      <c r="AA71" s="1"/>
      <c r="AB71" s="1"/>
      <c r="AI71" s="1"/>
      <c r="AK71" s="1"/>
      <c r="AU71" s="1"/>
      <c r="AV71" s="1"/>
      <c r="AW71" s="1"/>
      <c r="AX71" s="1"/>
      <c r="AY71" s="1"/>
      <c r="BA71" s="1"/>
      <c r="BM71" s="1"/>
      <c r="BN71" s="1"/>
      <c r="CX71" s="1"/>
      <c r="CZ71" s="1"/>
      <c r="DC71" s="1"/>
    </row>
    <row r="72" spans="1:107" ht="15.75" customHeight="1" x14ac:dyDescent="0.25">
      <c r="A72" s="1"/>
      <c r="B72" s="3"/>
      <c r="C72" s="1"/>
      <c r="D72" s="1"/>
      <c r="N72" s="1"/>
      <c r="V72" s="1"/>
      <c r="W72" s="1"/>
      <c r="X72" s="1"/>
      <c r="Y72" s="1"/>
      <c r="Z72" s="1"/>
      <c r="AA72" s="1"/>
      <c r="AB72" s="1"/>
      <c r="AI72" s="1"/>
      <c r="AK72" s="1"/>
      <c r="AU72" s="1"/>
      <c r="AV72" s="1"/>
      <c r="AW72" s="1"/>
      <c r="AX72" s="1"/>
      <c r="AY72" s="1"/>
      <c r="BA72" s="1"/>
      <c r="BM72" s="1"/>
      <c r="BN72" s="1"/>
      <c r="BV72" s="1"/>
      <c r="BW72" s="1"/>
      <c r="CX72" s="1"/>
      <c r="CY72" s="1"/>
      <c r="CZ72" s="1"/>
      <c r="DB72" s="1"/>
      <c r="DC72" s="1"/>
    </row>
    <row r="73" spans="1:107" ht="15.75" customHeight="1" x14ac:dyDescent="0.25">
      <c r="A73" s="1"/>
      <c r="B73" s="3"/>
      <c r="C73" s="1"/>
      <c r="D73" s="1"/>
      <c r="N73" s="1"/>
      <c r="W73" s="1"/>
      <c r="X73" s="1"/>
      <c r="Y73" s="1"/>
      <c r="Z73" s="1"/>
      <c r="AA73" s="1"/>
      <c r="AI73" s="1"/>
      <c r="AV73" s="1"/>
      <c r="AW73" s="1"/>
      <c r="AX73" s="1"/>
    </row>
    <row r="74" spans="1:107" ht="15.75" customHeight="1" x14ac:dyDescent="0.25">
      <c r="A74" s="1"/>
      <c r="B74" s="3"/>
      <c r="C74" s="1"/>
      <c r="D74" s="1"/>
      <c r="N74" s="1"/>
      <c r="V74" s="1"/>
      <c r="W74" s="1"/>
      <c r="X74" s="1"/>
      <c r="Y74" s="1"/>
      <c r="Z74" s="1"/>
      <c r="AA74" s="1"/>
      <c r="AB74" s="1"/>
      <c r="AI74" s="1"/>
      <c r="AK74" s="1"/>
      <c r="AU74" s="1"/>
      <c r="AV74" s="1"/>
      <c r="AW74" s="1"/>
      <c r="AX74" s="1"/>
      <c r="AY74" s="1"/>
      <c r="BA74" s="1"/>
      <c r="BM74" s="1"/>
      <c r="BN74" s="1"/>
      <c r="CM74" s="1"/>
      <c r="CU74" s="1"/>
      <c r="DC74" s="1"/>
    </row>
    <row r="75" spans="1:107" ht="15.75" customHeight="1" x14ac:dyDescent="0.25">
      <c r="A75" s="1"/>
      <c r="B75" s="3"/>
      <c r="C75" s="1"/>
      <c r="D75" s="1"/>
      <c r="N75" s="1"/>
      <c r="W75" s="1"/>
      <c r="X75" s="1"/>
      <c r="Y75" s="1"/>
      <c r="Z75" s="1"/>
      <c r="AA75" s="1"/>
      <c r="AI75" s="1"/>
      <c r="AV75" s="1"/>
      <c r="AW75" s="1"/>
      <c r="AX75" s="1"/>
    </row>
    <row r="76" spans="1:107" ht="15.75" customHeight="1" x14ac:dyDescent="0.25">
      <c r="A76" s="1"/>
      <c r="B76" s="3"/>
      <c r="C76" s="1"/>
      <c r="D76" s="1"/>
      <c r="N76" s="1"/>
      <c r="W76" s="1"/>
      <c r="X76" s="1"/>
      <c r="Y76" s="1"/>
      <c r="Z76" s="1"/>
      <c r="AA76" s="1"/>
      <c r="AI76" s="1"/>
      <c r="AV76" s="1"/>
      <c r="AW76" s="1"/>
      <c r="AX76" s="1"/>
    </row>
    <row r="77" spans="1:107" ht="15.75" customHeight="1" x14ac:dyDescent="0.25">
      <c r="A77" s="1"/>
      <c r="B77" s="3"/>
      <c r="C77" s="1"/>
      <c r="D77" s="1"/>
      <c r="N77" s="1"/>
      <c r="V77" s="1"/>
      <c r="W77" s="1"/>
      <c r="X77" s="1"/>
      <c r="Y77" s="1"/>
      <c r="Z77" s="1"/>
      <c r="AA77" s="1"/>
      <c r="AB77" s="1"/>
      <c r="AI77" s="1"/>
      <c r="AK77" s="1"/>
      <c r="AU77" s="1"/>
      <c r="AV77" s="1"/>
      <c r="AW77" s="1"/>
      <c r="AX77" s="1"/>
      <c r="AY77" s="1"/>
      <c r="BA77" s="1"/>
      <c r="BM77" s="1"/>
      <c r="BN77" s="1"/>
      <c r="BW77" s="1"/>
      <c r="CB77" s="1"/>
      <c r="CF77" s="1"/>
      <c r="CG77" s="1"/>
      <c r="CU77" s="1"/>
    </row>
    <row r="78" spans="1:107" ht="15.75" customHeight="1" x14ac:dyDescent="0.25">
      <c r="A78" s="1"/>
      <c r="B78" s="3"/>
      <c r="C78" s="1"/>
      <c r="D78" s="1"/>
      <c r="N78" s="1"/>
      <c r="V78" s="1"/>
      <c r="W78" s="1"/>
      <c r="X78" s="1"/>
      <c r="Y78" s="1"/>
      <c r="Z78" s="1"/>
      <c r="AA78" s="1"/>
      <c r="AI78" s="1"/>
      <c r="AK78" s="1"/>
      <c r="AU78" s="1"/>
      <c r="AV78" s="1"/>
      <c r="AW78" s="1"/>
      <c r="AX78" s="1"/>
      <c r="AY78" s="1"/>
      <c r="BA78" s="1"/>
      <c r="BM78" s="1"/>
      <c r="BN78" s="1"/>
      <c r="BV78" s="1"/>
      <c r="DC78" s="1"/>
    </row>
    <row r="79" spans="1:107" ht="15.75" customHeight="1" x14ac:dyDescent="0.25">
      <c r="A79" s="1"/>
      <c r="B79" s="3"/>
      <c r="C79" s="1"/>
      <c r="D79" s="1"/>
      <c r="N79" s="1"/>
      <c r="V79" s="1"/>
      <c r="W79" s="1"/>
      <c r="X79" s="1"/>
      <c r="Y79" s="1"/>
      <c r="Z79" s="1"/>
      <c r="AA79" s="1"/>
      <c r="AB79" s="1"/>
      <c r="AI79" s="1"/>
      <c r="AJ79" s="1"/>
      <c r="AK79" s="1"/>
      <c r="AU79" s="1"/>
      <c r="AV79" s="1"/>
      <c r="AW79" s="1"/>
      <c r="AX79" s="1"/>
      <c r="AY79" s="1"/>
      <c r="BA79" s="1"/>
      <c r="BM79" s="1"/>
      <c r="BN79" s="1"/>
      <c r="DC79" s="1"/>
    </row>
    <row r="80" spans="1:107" ht="15.75" customHeight="1" x14ac:dyDescent="0.25">
      <c r="A80" s="1"/>
      <c r="B80" s="3"/>
      <c r="C80" s="1"/>
      <c r="D80" s="1"/>
      <c r="N80" s="1"/>
      <c r="V80" s="1"/>
      <c r="W80" s="1"/>
      <c r="X80" s="1"/>
      <c r="Y80" s="1"/>
      <c r="Z80" s="1"/>
      <c r="AA80" s="1"/>
      <c r="AB80" s="1"/>
      <c r="AI80" s="1"/>
      <c r="AK80" s="1"/>
      <c r="AU80" s="1"/>
      <c r="AV80" s="1"/>
      <c r="AW80" s="1"/>
      <c r="AX80" s="1"/>
      <c r="AY80" s="1"/>
      <c r="BA80" s="1"/>
      <c r="BM80" s="1"/>
      <c r="BN80" s="1"/>
      <c r="BW80" s="1"/>
      <c r="BZ80" s="1"/>
      <c r="DC80" s="1"/>
    </row>
    <row r="81" spans="1:107" ht="15.75" customHeight="1" x14ac:dyDescent="0.25">
      <c r="A81" s="1"/>
      <c r="B81" s="3"/>
      <c r="C81" s="1"/>
      <c r="D81" s="1"/>
      <c r="N81" s="1"/>
      <c r="V81" s="1"/>
      <c r="W81" s="1"/>
      <c r="X81" s="1"/>
      <c r="Y81" s="1"/>
      <c r="Z81" s="1"/>
      <c r="AA81" s="1"/>
      <c r="AB81" s="1"/>
      <c r="AI81" s="1"/>
      <c r="AK81" s="1"/>
      <c r="AU81" s="1"/>
      <c r="AV81" s="1"/>
      <c r="AW81" s="1"/>
      <c r="AX81" s="1"/>
      <c r="AY81" s="1"/>
      <c r="BA81" s="1"/>
      <c r="BM81" s="1"/>
      <c r="BN81" s="1"/>
      <c r="DC81" s="1"/>
    </row>
    <row r="82" spans="1:107" ht="15.75" customHeight="1" x14ac:dyDescent="0.25">
      <c r="A82" s="1"/>
      <c r="B82" s="3"/>
      <c r="C82" s="1"/>
      <c r="D82" s="1"/>
      <c r="N82" s="1"/>
      <c r="V82" s="1"/>
      <c r="W82" s="1"/>
      <c r="X82" s="1"/>
      <c r="Y82" s="1"/>
      <c r="Z82" s="1"/>
      <c r="AA82" s="1"/>
      <c r="AB82" s="1"/>
      <c r="AI82" s="1"/>
      <c r="AK82" s="1"/>
      <c r="AU82" s="1"/>
      <c r="AV82" s="1"/>
      <c r="AW82" s="1"/>
      <c r="AX82" s="1"/>
      <c r="AY82" s="1"/>
      <c r="BA82" s="1"/>
      <c r="BM82" s="1"/>
      <c r="BN82" s="1"/>
      <c r="BV82" s="1"/>
      <c r="DC82" s="1"/>
    </row>
    <row r="83" spans="1:107" ht="15.75" customHeight="1" x14ac:dyDescent="0.25">
      <c r="A83" s="1"/>
      <c r="B83" s="3"/>
      <c r="C83" s="1"/>
      <c r="D83" s="1"/>
      <c r="N83" s="1"/>
      <c r="V83" s="1"/>
      <c r="W83" s="1"/>
      <c r="X83" s="1"/>
      <c r="Y83" s="1"/>
      <c r="Z83" s="1"/>
      <c r="AA83" s="1"/>
      <c r="AB83" s="1"/>
      <c r="AI83" s="1"/>
      <c r="AJ83" s="1"/>
      <c r="AK83" s="1"/>
      <c r="AU83" s="1"/>
      <c r="AV83" s="1"/>
      <c r="AW83" s="1"/>
      <c r="AX83" s="1"/>
      <c r="AY83" s="1"/>
      <c r="AZ83" s="1"/>
      <c r="BA83" s="1"/>
      <c r="BW83" s="1"/>
      <c r="BY83" s="1"/>
      <c r="BZ83" s="1"/>
      <c r="CB83" s="1"/>
      <c r="CF83" s="1"/>
      <c r="CG83" s="1"/>
      <c r="DC83" s="1"/>
    </row>
    <row r="84" spans="1:107" ht="15.75" customHeight="1" x14ac:dyDescent="0.25">
      <c r="A84" s="1"/>
      <c r="B84" s="3"/>
      <c r="C84" s="1"/>
      <c r="D84" s="1"/>
      <c r="N84" s="1"/>
      <c r="V84" s="1"/>
      <c r="W84" s="1"/>
      <c r="X84" s="1"/>
      <c r="Y84" s="1"/>
      <c r="Z84" s="1"/>
      <c r="AA84" s="1"/>
      <c r="AB84" s="1"/>
      <c r="AI84" s="1"/>
      <c r="AK84" s="1"/>
      <c r="AU84" s="1"/>
      <c r="AV84" s="1"/>
      <c r="AW84" s="1"/>
      <c r="AX84" s="1"/>
      <c r="AY84" s="1"/>
      <c r="BA84" s="1"/>
      <c r="DC84" s="1"/>
    </row>
    <row r="85" spans="1:107" ht="15.75" customHeight="1" x14ac:dyDescent="0.25">
      <c r="A85" s="1"/>
      <c r="B85" s="3"/>
      <c r="C85" s="1"/>
      <c r="D85" s="1"/>
      <c r="N85" s="1"/>
      <c r="V85" s="1"/>
      <c r="W85" s="1"/>
      <c r="X85" s="1"/>
      <c r="Y85" s="1"/>
      <c r="Z85" s="1"/>
      <c r="AA85" s="1"/>
      <c r="AB85" s="1"/>
      <c r="AI85" s="1"/>
      <c r="AK85" s="1"/>
      <c r="AU85" s="1"/>
      <c r="AV85" s="1"/>
      <c r="AW85" s="1"/>
      <c r="AX85" s="1"/>
      <c r="AY85" s="1"/>
      <c r="AZ85" s="1"/>
      <c r="BA85" s="1"/>
      <c r="BW85" s="1"/>
      <c r="DC85" s="1"/>
    </row>
    <row r="86" spans="1:107" ht="15.75" customHeight="1" x14ac:dyDescent="0.25">
      <c r="A86" s="1"/>
      <c r="B86" s="3"/>
      <c r="C86" s="1"/>
      <c r="D86" s="1"/>
      <c r="N86" s="1"/>
      <c r="V86" s="1"/>
      <c r="W86" s="1"/>
      <c r="X86" s="1"/>
      <c r="Y86" s="1"/>
      <c r="Z86" s="1"/>
      <c r="AA86" s="1"/>
      <c r="AB86" s="1"/>
      <c r="AI86" s="1"/>
      <c r="AK86" s="1"/>
      <c r="AU86" s="1"/>
      <c r="AV86" s="1"/>
      <c r="AW86" s="1"/>
      <c r="AX86" s="1"/>
      <c r="AY86" s="1"/>
      <c r="BA86" s="1"/>
      <c r="BM86" s="1"/>
      <c r="BN86" s="1"/>
      <c r="DC86" s="1"/>
    </row>
    <row r="87" spans="1:107" ht="15.75" customHeight="1" x14ac:dyDescent="0.25">
      <c r="A87" s="1"/>
      <c r="B87" s="3"/>
      <c r="C87" s="1"/>
      <c r="D87" s="1"/>
      <c r="N87" s="1"/>
      <c r="V87" s="1"/>
      <c r="W87" s="1"/>
      <c r="X87" s="1"/>
      <c r="Y87" s="1"/>
      <c r="Z87" s="1"/>
      <c r="AA87" s="1"/>
      <c r="AB87" s="1"/>
      <c r="AI87" s="1"/>
      <c r="AJ87" s="1"/>
      <c r="AK87" s="1"/>
      <c r="AU87" s="1"/>
      <c r="AV87" s="1"/>
      <c r="AW87" s="1"/>
      <c r="AX87" s="1"/>
      <c r="AY87" s="1"/>
      <c r="AZ87" s="1"/>
      <c r="BA87" s="1"/>
      <c r="BW87" s="1"/>
      <c r="BZ87" s="1"/>
      <c r="DC87" s="1"/>
    </row>
    <row r="88" spans="1:107" ht="15.75" customHeight="1" x14ac:dyDescent="0.25">
      <c r="A88" s="1"/>
      <c r="B88" s="3"/>
      <c r="C88" s="1"/>
      <c r="D88" s="1"/>
      <c r="N88" s="1"/>
      <c r="V88" s="1"/>
      <c r="W88" s="1"/>
      <c r="X88" s="1"/>
      <c r="Y88" s="1"/>
      <c r="Z88" s="1"/>
      <c r="AA88" s="1"/>
      <c r="AB88" s="1"/>
      <c r="AI88" s="1"/>
      <c r="AJ88" s="1"/>
      <c r="AK88" s="1"/>
      <c r="AU88" s="1"/>
      <c r="AV88" s="1"/>
      <c r="AW88" s="1"/>
      <c r="AX88" s="1"/>
      <c r="AY88" s="1"/>
      <c r="BA88" s="1"/>
      <c r="BM88" s="1"/>
      <c r="BN88" s="1"/>
      <c r="BW88" s="1"/>
      <c r="BZ88" s="1"/>
      <c r="DC88" s="1"/>
    </row>
    <row r="89" spans="1:107" ht="15.75" customHeight="1" x14ac:dyDescent="0.25">
      <c r="A89" s="1"/>
      <c r="B89" s="3"/>
      <c r="C89" s="1"/>
      <c r="D89" s="1"/>
      <c r="N89" s="1"/>
      <c r="W89" s="1"/>
      <c r="X89" s="1"/>
      <c r="Y89" s="1"/>
      <c r="Z89" s="1"/>
      <c r="AA89" s="1"/>
      <c r="AB89" s="1"/>
      <c r="AI89" s="1"/>
      <c r="AK89" s="1"/>
      <c r="AU89" s="1"/>
      <c r="AV89" s="1"/>
      <c r="AW89" s="1"/>
      <c r="AX89" s="1"/>
      <c r="AY89" s="1"/>
      <c r="BA89" s="1"/>
      <c r="BM89" s="1"/>
      <c r="BN89" s="1"/>
      <c r="DC89" s="1"/>
    </row>
    <row r="90" spans="1:107" ht="15.75" customHeight="1" x14ac:dyDescent="0.25">
      <c r="A90" s="1"/>
      <c r="B90" s="3"/>
      <c r="C90" s="1"/>
      <c r="D90" s="1"/>
      <c r="N90" s="1"/>
      <c r="V90" s="1"/>
      <c r="W90" s="1"/>
      <c r="X90" s="1"/>
      <c r="Y90" s="1"/>
      <c r="Z90" s="1"/>
      <c r="AA90" s="1"/>
      <c r="AB90" s="1"/>
      <c r="AI90" s="1"/>
      <c r="AJ90" s="1"/>
      <c r="AK90" s="1"/>
      <c r="AU90" s="1"/>
      <c r="AV90" s="1"/>
      <c r="AW90" s="1"/>
      <c r="AX90" s="1"/>
      <c r="AY90" s="1"/>
      <c r="BA90" s="1"/>
      <c r="BM90" s="1"/>
      <c r="BN90" s="1"/>
      <c r="BW90" s="1"/>
      <c r="BZ90" s="1"/>
      <c r="DC90" s="1"/>
    </row>
    <row r="91" spans="1:107" ht="15.75" customHeight="1" x14ac:dyDescent="0.25">
      <c r="A91" s="1"/>
      <c r="B91" s="3"/>
      <c r="C91" s="1"/>
      <c r="D91" s="1"/>
      <c r="N91" s="1"/>
      <c r="V91" s="1"/>
      <c r="W91" s="1"/>
      <c r="X91" s="1"/>
      <c r="Y91" s="1"/>
      <c r="Z91" s="1"/>
      <c r="AA91" s="1"/>
      <c r="AB91" s="1"/>
      <c r="AI91" s="1"/>
      <c r="AJ91" s="1"/>
      <c r="AK91" s="1"/>
      <c r="AU91" s="1"/>
      <c r="AV91" s="1"/>
      <c r="AW91" s="1"/>
      <c r="AX91" s="1"/>
      <c r="AY91" s="1"/>
      <c r="BA91" s="1"/>
      <c r="DC91" s="1"/>
    </row>
    <row r="92" spans="1:107" ht="15.75" customHeight="1" x14ac:dyDescent="0.25">
      <c r="A92" s="1"/>
      <c r="B92" s="3"/>
      <c r="C92" s="1"/>
      <c r="D92" s="1"/>
      <c r="N92" s="1"/>
      <c r="V92" s="1"/>
      <c r="W92" s="1"/>
      <c r="X92" s="1"/>
      <c r="Y92" s="1"/>
      <c r="Z92" s="1"/>
      <c r="AA92" s="1"/>
      <c r="AB92" s="1"/>
      <c r="AI92" s="1"/>
      <c r="AJ92" s="1"/>
      <c r="AK92" s="1"/>
      <c r="AU92" s="1"/>
      <c r="AV92" s="1"/>
      <c r="AW92" s="1"/>
      <c r="AX92" s="1"/>
      <c r="AY92" s="1"/>
      <c r="BA92" s="1"/>
      <c r="BM92" s="1"/>
      <c r="BN92" s="1"/>
      <c r="DC92" s="1"/>
    </row>
    <row r="93" spans="1:107" ht="15.75" customHeight="1" x14ac:dyDescent="0.25">
      <c r="A93" s="1"/>
      <c r="B93" s="3"/>
      <c r="C93" s="1"/>
      <c r="D93" s="1"/>
      <c r="N93" s="1"/>
      <c r="W93" s="1"/>
      <c r="X93" s="1"/>
      <c r="Y93" s="1"/>
      <c r="Z93" s="1"/>
      <c r="AA93" s="1"/>
      <c r="AB93" s="1"/>
      <c r="AI93" s="1"/>
      <c r="AJ93" s="1"/>
      <c r="AK93" s="1"/>
      <c r="AU93" s="1"/>
      <c r="AV93" s="1"/>
      <c r="AW93" s="1"/>
      <c r="AX93" s="1"/>
      <c r="AY93" s="1"/>
      <c r="BA93" s="1"/>
      <c r="BM93" s="1"/>
      <c r="BN93" s="1"/>
      <c r="BW93" s="1"/>
      <c r="BY93" s="1"/>
      <c r="BZ93" s="1"/>
      <c r="DC93" s="1"/>
    </row>
    <row r="94" spans="1:107" ht="15.75" customHeight="1" x14ac:dyDescent="0.25">
      <c r="A94" s="1"/>
      <c r="B94" s="3"/>
      <c r="C94" s="1"/>
      <c r="D94" s="1"/>
      <c r="N94" s="1"/>
      <c r="W94" s="1"/>
      <c r="X94" s="1"/>
      <c r="Y94" s="1"/>
      <c r="Z94" s="1"/>
      <c r="AA94" s="1"/>
      <c r="AB94" s="1"/>
      <c r="AI94" s="1"/>
      <c r="AK94" s="1"/>
      <c r="AU94" s="1"/>
      <c r="AV94" s="1"/>
      <c r="AW94" s="1"/>
      <c r="AX94" s="1"/>
      <c r="AY94" s="1"/>
      <c r="BA94" s="1"/>
      <c r="BM94" s="1"/>
      <c r="BN94" s="1"/>
      <c r="DC94" s="1"/>
    </row>
    <row r="95" spans="1:107" ht="15.75" customHeight="1" x14ac:dyDescent="0.25">
      <c r="A95" s="1"/>
      <c r="B95" s="3"/>
      <c r="C95" s="1"/>
      <c r="D95" s="1"/>
      <c r="N95" s="1"/>
      <c r="W95" s="1"/>
      <c r="X95" s="1"/>
      <c r="Y95" s="1"/>
      <c r="Z95" s="1"/>
      <c r="AA95" s="1"/>
      <c r="AB95" s="1"/>
      <c r="AI95" s="1"/>
      <c r="AK95" s="1"/>
      <c r="AU95" s="1"/>
      <c r="AV95" s="1"/>
      <c r="AW95" s="1"/>
      <c r="AX95" s="1"/>
      <c r="AY95" s="1"/>
      <c r="BA95" s="1"/>
      <c r="BM95" s="1"/>
      <c r="BN95" s="1"/>
      <c r="DC95" s="1"/>
    </row>
    <row r="96" spans="1:107" ht="15.75" customHeight="1" x14ac:dyDescent="0.25">
      <c r="A96" s="1"/>
      <c r="B96" s="3"/>
      <c r="C96" s="1"/>
      <c r="D96" s="1"/>
      <c r="N96" s="1"/>
      <c r="W96" s="1"/>
      <c r="X96" s="1"/>
      <c r="Y96" s="1"/>
      <c r="Z96" s="1"/>
      <c r="AA96" s="1"/>
      <c r="AB96" s="1"/>
      <c r="AI96" s="1"/>
      <c r="AK96" s="1"/>
      <c r="AU96" s="1"/>
      <c r="AV96" s="1"/>
      <c r="AW96" s="1"/>
      <c r="AX96" s="1"/>
      <c r="AY96" s="1"/>
      <c r="BA96" s="1"/>
      <c r="BM96" s="1"/>
      <c r="BN96" s="1"/>
      <c r="DC96" s="1"/>
    </row>
    <row r="97" spans="1:107" ht="15.75" customHeight="1" x14ac:dyDescent="0.25">
      <c r="A97" s="1"/>
      <c r="B97" s="3"/>
      <c r="C97" s="1"/>
      <c r="D97" s="1"/>
      <c r="N97" s="1"/>
      <c r="V97" s="1"/>
      <c r="W97" s="1"/>
      <c r="X97" s="1"/>
      <c r="Y97" s="1"/>
      <c r="Z97" s="1"/>
      <c r="AA97" s="1"/>
      <c r="AB97" s="1"/>
      <c r="AI97" s="1"/>
      <c r="AK97" s="1"/>
      <c r="AU97" s="1"/>
      <c r="AV97" s="1"/>
      <c r="AW97" s="1"/>
      <c r="AX97" s="1"/>
      <c r="AY97" s="1"/>
      <c r="AZ97" s="1"/>
      <c r="DC97" s="1"/>
    </row>
    <row r="98" spans="1:107" ht="15.75" customHeight="1" x14ac:dyDescent="0.25">
      <c r="A98" s="1"/>
      <c r="B98" s="3"/>
      <c r="C98" s="1"/>
      <c r="D98" s="1"/>
      <c r="N98" s="1"/>
      <c r="V98" s="1"/>
      <c r="W98" s="1"/>
      <c r="X98" s="1"/>
      <c r="Y98" s="1"/>
      <c r="Z98" s="1"/>
      <c r="AA98" s="1"/>
      <c r="AB98" s="1"/>
      <c r="AI98" s="1"/>
      <c r="AK98" s="1"/>
      <c r="AU98" s="1"/>
      <c r="AV98" s="1"/>
      <c r="AW98" s="1"/>
      <c r="AX98" s="1"/>
      <c r="AY98" s="1"/>
      <c r="BA98" s="1"/>
      <c r="BM98" s="1"/>
      <c r="BN98" s="1"/>
      <c r="DC98" s="1"/>
    </row>
    <row r="99" spans="1:107" ht="15.75" customHeight="1" x14ac:dyDescent="0.25">
      <c r="A99" s="1"/>
      <c r="B99" s="3"/>
      <c r="C99" s="1"/>
      <c r="D99" s="1"/>
      <c r="N99" s="1"/>
      <c r="V99" s="1"/>
      <c r="W99" s="1"/>
      <c r="X99" s="1"/>
      <c r="Y99" s="1"/>
      <c r="Z99" s="1"/>
      <c r="AA99" s="1"/>
      <c r="AB99" s="1"/>
      <c r="AI99" s="1"/>
      <c r="AK99" s="1"/>
      <c r="AU99" s="1"/>
      <c r="AV99" s="1"/>
      <c r="AW99" s="1"/>
      <c r="AX99" s="1"/>
      <c r="AY99" s="1"/>
      <c r="BA99" s="1"/>
      <c r="BM99" s="1"/>
      <c r="BN99" s="1"/>
      <c r="DC99" s="1"/>
    </row>
    <row r="100" spans="1:107" ht="15.75" customHeight="1" x14ac:dyDescent="0.25">
      <c r="A100" s="1"/>
      <c r="B100" s="3"/>
      <c r="C100" s="1"/>
      <c r="D100" s="1"/>
      <c r="N100" s="1"/>
      <c r="W100" s="1"/>
      <c r="X100" s="1"/>
      <c r="Y100" s="1"/>
      <c r="Z100" s="1"/>
      <c r="AA100" s="1"/>
      <c r="AB100" s="1"/>
      <c r="AI100" s="1"/>
      <c r="AK100" s="1"/>
      <c r="AU100" s="1"/>
      <c r="AV100" s="1"/>
      <c r="AW100" s="1"/>
      <c r="AX100" s="1"/>
      <c r="AY100" s="1"/>
      <c r="BA100" s="1"/>
      <c r="BM100" s="1"/>
      <c r="BN100" s="1"/>
      <c r="DC100" s="1"/>
    </row>
    <row r="101" spans="1:107" ht="15.75" customHeight="1" x14ac:dyDescent="0.25">
      <c r="A101" s="1"/>
      <c r="B101" s="3"/>
      <c r="C101" s="1"/>
      <c r="D101" s="1"/>
      <c r="N101" s="1"/>
      <c r="W101" s="1"/>
      <c r="X101" s="1"/>
      <c r="Y101" s="1"/>
      <c r="Z101" s="1"/>
      <c r="AA101" s="1"/>
      <c r="AB101" s="1"/>
      <c r="AI101" s="1"/>
      <c r="AK101" s="1"/>
      <c r="AU101" s="1"/>
      <c r="AV101" s="1"/>
      <c r="AW101" s="1"/>
      <c r="AX101" s="1"/>
      <c r="AY101" s="1"/>
      <c r="BA101" s="1"/>
      <c r="BM101" s="1"/>
      <c r="BN101" s="1"/>
      <c r="DC101" s="1"/>
    </row>
    <row r="102" spans="1:107" ht="15.75" customHeight="1" x14ac:dyDescent="0.25">
      <c r="A102" s="1"/>
      <c r="B102" s="3"/>
      <c r="C102" s="1"/>
      <c r="D102" s="1"/>
      <c r="N102" s="1"/>
      <c r="V102" s="1"/>
      <c r="W102" s="1"/>
      <c r="X102" s="1"/>
      <c r="Y102" s="1"/>
      <c r="Z102" s="1"/>
      <c r="AA102" s="1"/>
      <c r="AB102" s="1"/>
      <c r="AI102" s="1"/>
      <c r="AK102" s="1"/>
      <c r="AU102" s="1"/>
      <c r="AV102" s="1"/>
      <c r="AW102" s="1"/>
      <c r="AX102" s="1"/>
      <c r="AY102" s="1"/>
      <c r="BA102" s="1"/>
      <c r="BM102" s="1"/>
      <c r="BN102" s="1"/>
      <c r="DC102" s="1"/>
    </row>
    <row r="103" spans="1:107" ht="15.75" customHeight="1" x14ac:dyDescent="0.25">
      <c r="A103" s="1"/>
      <c r="B103" s="3"/>
      <c r="C103" s="1"/>
      <c r="D103" s="1"/>
      <c r="N103" s="1"/>
      <c r="V103" s="1"/>
      <c r="W103" s="1"/>
      <c r="X103" s="1"/>
      <c r="Y103" s="1"/>
      <c r="Z103" s="1"/>
      <c r="AA103" s="1"/>
      <c r="AB103" s="1"/>
      <c r="AI103" s="1"/>
      <c r="AK103" s="1"/>
      <c r="AU103" s="1"/>
      <c r="AV103" s="1"/>
      <c r="AW103" s="1"/>
      <c r="AX103" s="1"/>
      <c r="AY103" s="1"/>
      <c r="BA103" s="1"/>
      <c r="BM103" s="1"/>
      <c r="BN103" s="1"/>
      <c r="DC103" s="1"/>
    </row>
    <row r="104" spans="1:107" ht="15.75" customHeight="1" x14ac:dyDescent="0.25">
      <c r="A104" s="1"/>
      <c r="B104" s="3"/>
      <c r="C104" s="1"/>
      <c r="D104" s="1"/>
      <c r="N104" s="1"/>
      <c r="W104" s="1"/>
      <c r="X104" s="1"/>
      <c r="Y104" s="1"/>
      <c r="Z104" s="1"/>
      <c r="AA104" s="1"/>
      <c r="AB104" s="1"/>
      <c r="AI104" s="1"/>
      <c r="AK104" s="1"/>
      <c r="AU104" s="1"/>
      <c r="AV104" s="1"/>
      <c r="AW104" s="1"/>
      <c r="AX104" s="1"/>
      <c r="AY104" s="1"/>
      <c r="BA104" s="1"/>
      <c r="BM104" s="1"/>
      <c r="BN104" s="1"/>
      <c r="DC104" s="1"/>
    </row>
    <row r="105" spans="1:107" ht="15.75" customHeight="1" x14ac:dyDescent="0.25">
      <c r="A105" s="1"/>
      <c r="B105" s="3"/>
      <c r="C105" s="1"/>
      <c r="D105" s="1"/>
      <c r="N105" s="1"/>
      <c r="V105" s="1"/>
      <c r="W105" s="1"/>
      <c r="X105" s="1"/>
      <c r="Y105" s="1"/>
      <c r="Z105" s="1"/>
      <c r="AA105" s="1"/>
      <c r="AB105" s="1"/>
      <c r="AI105" s="1"/>
      <c r="AK105" s="1"/>
      <c r="AU105" s="1"/>
      <c r="AV105" s="1"/>
      <c r="AW105" s="1"/>
      <c r="AX105" s="1"/>
      <c r="AY105" s="1"/>
      <c r="BA105" s="1"/>
      <c r="BM105" s="1"/>
      <c r="BN105" s="1"/>
      <c r="BW105" s="1"/>
      <c r="DC105" s="1"/>
    </row>
    <row r="106" spans="1:107" ht="15.75" customHeight="1" x14ac:dyDescent="0.25">
      <c r="A106" s="1"/>
      <c r="B106" s="3"/>
      <c r="C106" s="1"/>
      <c r="D106" s="1"/>
      <c r="N106" s="1"/>
      <c r="V106" s="1"/>
      <c r="W106" s="1"/>
      <c r="X106" s="1"/>
      <c r="Y106" s="1"/>
      <c r="Z106" s="1"/>
      <c r="AA106" s="1"/>
      <c r="AB106" s="1"/>
      <c r="AI106" s="1"/>
      <c r="AK106" s="1"/>
      <c r="AU106" s="1"/>
      <c r="AV106" s="1"/>
      <c r="AW106" s="1"/>
      <c r="AX106" s="1"/>
      <c r="AY106" s="1"/>
      <c r="BA106" s="1"/>
      <c r="BM106" s="1"/>
      <c r="BN106" s="1"/>
      <c r="BW106" s="1"/>
      <c r="BY106" s="1"/>
      <c r="BZ106" s="1"/>
      <c r="CA106" s="1"/>
      <c r="DC106" s="1"/>
    </row>
    <row r="107" spans="1:107" ht="15.75" customHeight="1" x14ac:dyDescent="0.25">
      <c r="A107" s="1"/>
      <c r="B107" s="3"/>
      <c r="C107" s="1"/>
      <c r="D107" s="1"/>
      <c r="N107" s="1"/>
      <c r="W107" s="1"/>
      <c r="X107" s="1"/>
      <c r="Y107" s="1"/>
      <c r="Z107" s="1"/>
      <c r="AA107" s="1"/>
      <c r="AB107" s="1"/>
      <c r="AI107" s="1"/>
      <c r="AJ107" s="1"/>
      <c r="AK107" s="1"/>
      <c r="AU107" s="1"/>
      <c r="AV107" s="1"/>
      <c r="AW107" s="1"/>
      <c r="AX107" s="1"/>
      <c r="AY107" s="1"/>
      <c r="AZ107" s="1"/>
      <c r="BA107" s="1"/>
      <c r="DC107" s="1"/>
    </row>
    <row r="108" spans="1:107" ht="15.75" customHeight="1" x14ac:dyDescent="0.25">
      <c r="A108" s="1"/>
      <c r="B108" s="3"/>
      <c r="C108" s="1"/>
      <c r="D108" s="1"/>
      <c r="N108" s="1"/>
      <c r="V108" s="1"/>
      <c r="W108" s="1"/>
      <c r="X108" s="1"/>
      <c r="Y108" s="1"/>
      <c r="Z108" s="1"/>
      <c r="AA108" s="1"/>
      <c r="AB108" s="1"/>
      <c r="AI108" s="1"/>
      <c r="AK108" s="1"/>
      <c r="AU108" s="1"/>
      <c r="AV108" s="1"/>
      <c r="AW108" s="1"/>
      <c r="AX108" s="1"/>
      <c r="AY108" s="1"/>
      <c r="BA108" s="1"/>
      <c r="BM108" s="1"/>
      <c r="BN108" s="1"/>
      <c r="DC108" s="1"/>
    </row>
    <row r="109" spans="1:107" ht="15.75" customHeight="1" x14ac:dyDescent="0.25">
      <c r="A109" s="1"/>
      <c r="B109" s="3"/>
      <c r="C109" s="1"/>
      <c r="D109" s="1"/>
      <c r="N109" s="1"/>
      <c r="V109" s="1"/>
      <c r="W109" s="1"/>
      <c r="X109" s="1"/>
      <c r="Y109" s="1"/>
      <c r="Z109" s="1"/>
      <c r="AA109" s="1"/>
      <c r="AB109" s="1"/>
      <c r="AI109" s="1"/>
      <c r="AK109" s="1"/>
      <c r="AU109" s="1"/>
      <c r="AV109" s="1"/>
      <c r="AW109" s="1"/>
      <c r="AX109" s="1"/>
      <c r="AY109" s="1"/>
      <c r="BA109" s="1"/>
      <c r="BM109" s="1"/>
      <c r="BN109" s="1"/>
      <c r="BW109" s="1"/>
      <c r="BY109" s="1"/>
      <c r="BZ109" s="1"/>
      <c r="DC109" s="1"/>
    </row>
    <row r="110" spans="1:107" ht="15.75" customHeight="1" x14ac:dyDescent="0.25">
      <c r="A110" s="1"/>
      <c r="B110" s="3"/>
      <c r="C110" s="1"/>
      <c r="D110" s="1"/>
      <c r="N110" s="1"/>
      <c r="V110" s="1"/>
      <c r="W110" s="1"/>
      <c r="X110" s="1"/>
      <c r="Y110" s="1"/>
      <c r="Z110" s="1"/>
      <c r="AA110" s="1"/>
      <c r="AB110" s="1"/>
      <c r="AI110" s="1"/>
      <c r="AJ110" s="1"/>
      <c r="AK110" s="1"/>
      <c r="AU110" s="1"/>
      <c r="AV110" s="1"/>
      <c r="AW110" s="1"/>
      <c r="AX110" s="1"/>
      <c r="AY110" s="1"/>
      <c r="AZ110" s="1"/>
      <c r="BA110" s="1"/>
      <c r="DC110" s="1"/>
    </row>
    <row r="111" spans="1:107" ht="15.75" customHeight="1" x14ac:dyDescent="0.25">
      <c r="A111" s="1"/>
      <c r="B111" s="3"/>
      <c r="C111" s="1"/>
      <c r="D111" s="1"/>
      <c r="N111" s="1"/>
      <c r="V111" s="1"/>
      <c r="W111" s="1"/>
      <c r="X111" s="1"/>
      <c r="Y111" s="1"/>
      <c r="Z111" s="1"/>
      <c r="AA111" s="1"/>
      <c r="AB111" s="1"/>
      <c r="AI111" s="1"/>
      <c r="AK111" s="1"/>
      <c r="AU111" s="1"/>
      <c r="AV111" s="1"/>
      <c r="AW111" s="1"/>
      <c r="AX111" s="1"/>
      <c r="AY111" s="1"/>
      <c r="AZ111" s="1"/>
      <c r="BA111" s="1"/>
      <c r="DC111" s="1"/>
    </row>
    <row r="112" spans="1:107" ht="15.75" customHeight="1" x14ac:dyDescent="0.25">
      <c r="A112" s="1"/>
      <c r="B112" s="3"/>
      <c r="C112" s="1"/>
      <c r="D112" s="1"/>
      <c r="N112" s="1"/>
      <c r="W112" s="1"/>
      <c r="X112" s="1"/>
      <c r="Y112" s="1"/>
      <c r="Z112" s="1"/>
      <c r="AA112" s="1"/>
      <c r="AB112" s="1"/>
      <c r="AI112" s="1"/>
      <c r="AK112" s="1"/>
      <c r="AU112" s="1"/>
      <c r="AV112" s="1"/>
      <c r="AW112" s="1"/>
      <c r="AX112" s="1"/>
      <c r="AY112" s="1"/>
      <c r="BA112" s="1"/>
      <c r="BM112" s="1"/>
      <c r="BN112" s="1"/>
      <c r="DC112" s="1"/>
    </row>
    <row r="113" spans="1:107" ht="15.75" customHeight="1" x14ac:dyDescent="0.25">
      <c r="A113" s="1"/>
      <c r="B113" s="3"/>
      <c r="C113" s="1"/>
      <c r="D113" s="1"/>
      <c r="N113" s="1"/>
      <c r="W113" s="1"/>
      <c r="X113" s="1"/>
      <c r="Y113" s="1"/>
      <c r="Z113" s="1"/>
      <c r="AA113" s="1"/>
      <c r="AB113" s="1"/>
      <c r="AI113" s="1"/>
      <c r="AK113" s="1"/>
      <c r="AU113" s="1"/>
      <c r="AV113" s="1"/>
      <c r="AW113" s="1"/>
      <c r="AX113" s="1"/>
      <c r="AY113" s="1"/>
      <c r="BA113" s="1"/>
      <c r="BM113" s="1"/>
      <c r="BN113" s="1"/>
      <c r="DC113" s="1"/>
    </row>
    <row r="114" spans="1:107" ht="15.75" customHeight="1" x14ac:dyDescent="0.25">
      <c r="A114" s="1"/>
      <c r="B114" s="3"/>
      <c r="C114" s="1"/>
      <c r="D114" s="1"/>
      <c r="N114" s="1"/>
      <c r="V114" s="1"/>
      <c r="W114" s="1"/>
      <c r="X114" s="1"/>
      <c r="Y114" s="1"/>
      <c r="Z114" s="1"/>
      <c r="AA114" s="1"/>
      <c r="AB114" s="1"/>
      <c r="AI114" s="1"/>
      <c r="AK114" s="1"/>
      <c r="AU114" s="1"/>
      <c r="AV114" s="1"/>
      <c r="AW114" s="1"/>
      <c r="AX114" s="1"/>
      <c r="AY114" s="1"/>
      <c r="BA114" s="1"/>
      <c r="BM114" s="1"/>
      <c r="BN114" s="1"/>
      <c r="DC114" s="1"/>
    </row>
    <row r="115" spans="1:107" ht="15.75" customHeight="1" x14ac:dyDescent="0.25">
      <c r="A115" s="1"/>
      <c r="B115" s="3"/>
      <c r="C115" s="1"/>
      <c r="D115" s="1"/>
      <c r="N115" s="1"/>
      <c r="W115" s="1"/>
      <c r="X115" s="1"/>
      <c r="Y115" s="1"/>
      <c r="Z115" s="1"/>
      <c r="AA115" s="1"/>
      <c r="AB115" s="1"/>
      <c r="AI115" s="1"/>
      <c r="AK115" s="1"/>
      <c r="AU115" s="1"/>
      <c r="AV115" s="1"/>
      <c r="AW115" s="1"/>
      <c r="AX115" s="1"/>
      <c r="AY115" s="1"/>
      <c r="BA115" s="1"/>
      <c r="BM115" s="1"/>
      <c r="BN115" s="1"/>
      <c r="DC115" s="1"/>
    </row>
    <row r="116" spans="1:107" ht="15.75" customHeight="1" x14ac:dyDescent="0.25">
      <c r="A116" s="1"/>
      <c r="B116" s="3"/>
      <c r="C116" s="1"/>
      <c r="D116" s="1"/>
      <c r="N116" s="1"/>
      <c r="W116" s="1"/>
      <c r="X116" s="1"/>
      <c r="Y116" s="1"/>
      <c r="Z116" s="1"/>
      <c r="AA116" s="1"/>
      <c r="AB116" s="1"/>
      <c r="AI116" s="1"/>
      <c r="AK116" s="1"/>
      <c r="AU116" s="1"/>
      <c r="AV116" s="1"/>
      <c r="AW116" s="1"/>
      <c r="AX116" s="1"/>
      <c r="AY116" s="1"/>
      <c r="BA116" s="1"/>
      <c r="BM116" s="1"/>
      <c r="BN116" s="1"/>
    </row>
    <row r="117" spans="1:107" ht="15.75" customHeight="1" x14ac:dyDescent="0.25">
      <c r="A117" s="1"/>
      <c r="B117" s="3"/>
      <c r="C117" s="1"/>
      <c r="D117" s="1"/>
      <c r="N117" s="1"/>
      <c r="V117" s="1"/>
      <c r="W117" s="1"/>
      <c r="X117" s="1"/>
      <c r="Y117" s="1"/>
      <c r="Z117" s="1"/>
      <c r="AA117" s="1"/>
      <c r="AB117" s="1"/>
      <c r="AI117" s="1"/>
      <c r="AK117" s="1"/>
      <c r="AU117" s="1"/>
      <c r="AV117" s="1"/>
      <c r="AW117" s="1"/>
      <c r="AX117" s="1"/>
      <c r="AY117" s="1"/>
      <c r="BA117" s="1"/>
      <c r="BM117" s="1"/>
      <c r="BN117" s="1"/>
      <c r="DC117" s="1"/>
    </row>
    <row r="118" spans="1:107" ht="15.75" customHeight="1" x14ac:dyDescent="0.25">
      <c r="A118" s="1"/>
      <c r="B118" s="3"/>
      <c r="C118" s="1"/>
      <c r="D118" s="1"/>
      <c r="N118" s="1"/>
      <c r="V118" s="1"/>
      <c r="W118" s="1"/>
      <c r="X118" s="1"/>
      <c r="Y118" s="1"/>
      <c r="Z118" s="1"/>
      <c r="AA118" s="1"/>
      <c r="AB118" s="1"/>
      <c r="AI118" s="1"/>
      <c r="AK118" s="1"/>
      <c r="AU118" s="1"/>
      <c r="AV118" s="1"/>
      <c r="AW118" s="1"/>
      <c r="AX118" s="1"/>
      <c r="AY118" s="1"/>
      <c r="BA118" s="1"/>
      <c r="BM118" s="1"/>
      <c r="BN118" s="1"/>
      <c r="DC118" s="1"/>
    </row>
    <row r="119" spans="1:107" ht="15.75" customHeight="1" x14ac:dyDescent="0.25">
      <c r="A119" s="1"/>
      <c r="B119" s="3"/>
      <c r="C119" s="1"/>
      <c r="D119" s="1"/>
      <c r="N119" s="1"/>
      <c r="W119" s="1"/>
      <c r="X119" s="1"/>
      <c r="Y119" s="1"/>
      <c r="Z119" s="1"/>
      <c r="AA119" s="1"/>
      <c r="AB119" s="1"/>
      <c r="AI119" s="1"/>
      <c r="AK119" s="1"/>
      <c r="AU119" s="1"/>
      <c r="AV119" s="1"/>
      <c r="AW119" s="1"/>
      <c r="AX119" s="1"/>
      <c r="AY119" s="1"/>
      <c r="BA119" s="1"/>
      <c r="BM119" s="1"/>
      <c r="BN119" s="1"/>
      <c r="DC119" s="1"/>
    </row>
    <row r="120" spans="1:107" ht="15.75" customHeight="1" x14ac:dyDescent="0.25">
      <c r="A120" s="1"/>
      <c r="B120" s="3"/>
      <c r="C120" s="1"/>
      <c r="D120" s="1"/>
      <c r="N120" s="1"/>
      <c r="W120" s="1"/>
      <c r="X120" s="1"/>
      <c r="Y120" s="1"/>
      <c r="Z120" s="1"/>
      <c r="AA120" s="1"/>
      <c r="AB120" s="1"/>
      <c r="AI120" s="1"/>
      <c r="AK120" s="1"/>
      <c r="AU120" s="1"/>
      <c r="AV120" s="1"/>
      <c r="AW120" s="1"/>
      <c r="AX120" s="1"/>
      <c r="AY120" s="1"/>
      <c r="BA120" s="1"/>
      <c r="BM120" s="1"/>
      <c r="BN120" s="1"/>
      <c r="DC120" s="1"/>
    </row>
    <row r="121" spans="1:107" ht="15.75" customHeight="1" x14ac:dyDescent="0.25">
      <c r="A121" s="1"/>
      <c r="B121" s="3"/>
      <c r="C121" s="1"/>
      <c r="D121" s="1"/>
      <c r="N121" s="1"/>
      <c r="V121" s="1"/>
      <c r="W121" s="1"/>
      <c r="X121" s="1"/>
      <c r="Y121" s="1"/>
      <c r="Z121" s="1"/>
      <c r="AA121" s="1"/>
      <c r="AB121" s="1"/>
      <c r="AI121" s="1"/>
      <c r="AJ121" s="1"/>
      <c r="AK121" s="1"/>
      <c r="AU121" s="1"/>
      <c r="AV121" s="1"/>
      <c r="AW121" s="1"/>
      <c r="AX121" s="1"/>
      <c r="AY121" s="1"/>
      <c r="BA121" s="1"/>
      <c r="BM121" s="1"/>
      <c r="BN121" s="1"/>
      <c r="DC121" s="1"/>
    </row>
    <row r="122" spans="1:107" ht="15.75" customHeight="1" x14ac:dyDescent="0.25">
      <c r="A122" s="1"/>
      <c r="B122" s="3"/>
      <c r="C122" s="1"/>
      <c r="D122" s="1"/>
      <c r="N122" s="1"/>
      <c r="V122" s="1"/>
      <c r="W122" s="1"/>
      <c r="X122" s="1"/>
      <c r="Y122" s="1"/>
      <c r="Z122" s="1"/>
      <c r="AA122" s="1"/>
      <c r="AI122" s="1"/>
      <c r="AK122" s="1"/>
      <c r="AU122" s="1"/>
      <c r="AV122" s="1"/>
      <c r="AW122" s="1"/>
      <c r="AX122" s="1"/>
      <c r="AY122" s="1"/>
      <c r="AZ122" s="1"/>
      <c r="BA122" s="1"/>
    </row>
    <row r="123" spans="1:107" ht="15.75" customHeight="1" x14ac:dyDescent="0.25">
      <c r="A123" s="1"/>
      <c r="B123" s="3"/>
      <c r="C123" s="1"/>
      <c r="D123" s="1"/>
      <c r="N123" s="1"/>
      <c r="V123" s="1"/>
      <c r="W123" s="1"/>
      <c r="X123" s="1"/>
      <c r="Y123" s="1"/>
      <c r="Z123" s="1"/>
      <c r="AA123" s="1"/>
      <c r="AB123" s="1"/>
      <c r="AI123" s="1"/>
      <c r="AJ123" s="1"/>
      <c r="AK123" s="1"/>
      <c r="AU123" s="1"/>
      <c r="AV123" s="1"/>
      <c r="AW123" s="1"/>
      <c r="AX123" s="1"/>
      <c r="AY123" s="1"/>
      <c r="BA123" s="1"/>
      <c r="BM123" s="1"/>
      <c r="BN123" s="1"/>
      <c r="DC123" s="1"/>
    </row>
    <row r="124" spans="1:107" ht="15.75" customHeight="1" x14ac:dyDescent="0.25">
      <c r="A124" s="1"/>
      <c r="B124" s="3"/>
      <c r="C124" s="1"/>
      <c r="D124" s="1"/>
      <c r="N124" s="1"/>
      <c r="W124" s="1"/>
      <c r="X124" s="1"/>
      <c r="Y124" s="1"/>
      <c r="Z124" s="1"/>
      <c r="AA124" s="1"/>
      <c r="AB124" s="1"/>
      <c r="AI124" s="1"/>
      <c r="AK124" s="1"/>
      <c r="AU124" s="1"/>
      <c r="AV124" s="1"/>
      <c r="AW124" s="1"/>
      <c r="AX124" s="1"/>
      <c r="AY124" s="1"/>
      <c r="BA124" s="1"/>
      <c r="BM124" s="1"/>
      <c r="BN124" s="1"/>
      <c r="DC124" s="1"/>
    </row>
    <row r="125" spans="1:107" ht="15.75" customHeight="1" x14ac:dyDescent="0.25">
      <c r="A125" s="1"/>
      <c r="B125" s="3"/>
      <c r="C125" s="1"/>
      <c r="D125" s="1"/>
      <c r="N125" s="1"/>
      <c r="W125" s="1"/>
      <c r="X125" s="1"/>
      <c r="Y125" s="1"/>
      <c r="Z125" s="1"/>
      <c r="AA125" s="1"/>
      <c r="AB125" s="1"/>
      <c r="AI125" s="1"/>
      <c r="AJ125" s="1"/>
      <c r="AK125" s="1"/>
      <c r="AU125" s="1"/>
      <c r="AV125" s="1"/>
      <c r="AW125" s="1"/>
      <c r="AX125" s="1"/>
      <c r="AY125" s="1"/>
      <c r="BA125" s="1"/>
      <c r="BM125" s="1"/>
      <c r="BN125" s="1"/>
      <c r="BV125" s="1"/>
      <c r="DC125" s="1"/>
    </row>
    <row r="126" spans="1:107" ht="15.75" customHeight="1" x14ac:dyDescent="0.25">
      <c r="A126" s="1"/>
      <c r="B126" s="3"/>
      <c r="C126" s="1"/>
      <c r="D126" s="1"/>
      <c r="N126" s="1"/>
      <c r="V126" s="1"/>
      <c r="W126" s="1"/>
      <c r="X126" s="1"/>
      <c r="Y126" s="1"/>
      <c r="Z126" s="1"/>
      <c r="AA126" s="1"/>
      <c r="AB126" s="1"/>
      <c r="AI126" s="1"/>
      <c r="AK126" s="1"/>
      <c r="AU126" s="1"/>
      <c r="AV126" s="1"/>
      <c r="AW126" s="1"/>
      <c r="AX126" s="1"/>
      <c r="AY126" s="1"/>
      <c r="BA126" s="1"/>
      <c r="BM126" s="1"/>
      <c r="BN126" s="1"/>
      <c r="DC126" s="1"/>
    </row>
    <row r="127" spans="1:107" ht="15.75" customHeight="1" x14ac:dyDescent="0.25">
      <c r="A127" s="1"/>
      <c r="B127" s="3"/>
      <c r="C127" s="1"/>
      <c r="D127" s="1"/>
      <c r="N127" s="1"/>
      <c r="W127" s="1"/>
      <c r="X127" s="1"/>
      <c r="Y127" s="1"/>
      <c r="Z127" s="1"/>
      <c r="AA127" s="1"/>
      <c r="AB127" s="1"/>
      <c r="AI127" s="1"/>
      <c r="AK127" s="1"/>
      <c r="AU127" s="1"/>
      <c r="AV127" s="1"/>
      <c r="AW127" s="1"/>
      <c r="AX127" s="1"/>
      <c r="AY127" s="1"/>
      <c r="BA127" s="1"/>
      <c r="BM127" s="1"/>
      <c r="BN127" s="1"/>
      <c r="DC127" s="1"/>
    </row>
    <row r="128" spans="1:107" ht="15.75" customHeight="1" x14ac:dyDescent="0.25">
      <c r="A128" s="1"/>
      <c r="B128" s="3"/>
      <c r="C128" s="1"/>
      <c r="D128" s="1"/>
      <c r="N128" s="1"/>
      <c r="W128" s="1"/>
      <c r="X128" s="1"/>
      <c r="Y128" s="1"/>
      <c r="Z128" s="1"/>
      <c r="AA128" s="1"/>
      <c r="AB128" s="1"/>
      <c r="AI128" s="1"/>
      <c r="AK128" s="1"/>
      <c r="AU128" s="1"/>
      <c r="AV128" s="1"/>
      <c r="AW128" s="1"/>
      <c r="AX128" s="1"/>
      <c r="AY128" s="1"/>
      <c r="BA128" s="1"/>
      <c r="BM128" s="1"/>
      <c r="BN128" s="1"/>
      <c r="DC128" s="1"/>
    </row>
    <row r="129" spans="1:107" ht="15.75" customHeight="1" x14ac:dyDescent="0.25">
      <c r="A129" s="1"/>
      <c r="B129" s="3"/>
      <c r="C129" s="1"/>
      <c r="D129" s="1"/>
      <c r="N129" s="1"/>
      <c r="V129" s="1"/>
      <c r="W129" s="1"/>
      <c r="X129" s="1"/>
      <c r="Y129" s="1"/>
      <c r="Z129" s="1"/>
      <c r="AA129" s="1"/>
      <c r="AB129" s="1"/>
      <c r="AI129" s="1"/>
      <c r="AJ129" s="1"/>
      <c r="AK129" s="1"/>
      <c r="AU129" s="1"/>
      <c r="AV129" s="1"/>
      <c r="AW129" s="1"/>
      <c r="AX129" s="1"/>
      <c r="AY129" s="1"/>
      <c r="AZ129" s="1"/>
      <c r="BA129" s="1"/>
      <c r="DC129" s="1"/>
    </row>
    <row r="130" spans="1:107" ht="15.75" customHeight="1" x14ac:dyDescent="0.25">
      <c r="A130" s="1"/>
      <c r="B130" s="3"/>
      <c r="C130" s="1"/>
      <c r="D130" s="1"/>
      <c r="N130" s="1"/>
      <c r="W130" s="1"/>
      <c r="X130" s="1"/>
      <c r="Y130" s="1"/>
      <c r="Z130" s="1"/>
      <c r="AA130" s="1"/>
      <c r="AI130" s="1"/>
      <c r="AV130" s="1"/>
      <c r="AW130" s="1"/>
      <c r="AX130" s="1"/>
    </row>
    <row r="131" spans="1:107" ht="15.75" customHeight="1" x14ac:dyDescent="0.25">
      <c r="A131" s="1"/>
      <c r="B131" s="3"/>
      <c r="C131" s="1"/>
      <c r="D131" s="1"/>
      <c r="N131" s="1"/>
      <c r="V131" s="1"/>
      <c r="W131" s="1"/>
      <c r="X131" s="1"/>
      <c r="Y131" s="1"/>
      <c r="Z131" s="1"/>
      <c r="AA131" s="1"/>
      <c r="AB131" s="1"/>
      <c r="AI131" s="1"/>
      <c r="AK131" s="1"/>
      <c r="AU131" s="1"/>
      <c r="AV131" s="1"/>
      <c r="AW131" s="1"/>
      <c r="AX131" s="1"/>
      <c r="AY131" s="1"/>
      <c r="BA131" s="1"/>
      <c r="BM131" s="1"/>
      <c r="BN131" s="1"/>
      <c r="BY131" s="1"/>
      <c r="BZ131" s="1"/>
      <c r="CM131" s="1"/>
      <c r="CQ131" s="1"/>
      <c r="DC131" s="1"/>
    </row>
    <row r="132" spans="1:107" ht="15.75" customHeight="1" x14ac:dyDescent="0.25">
      <c r="A132" s="1"/>
      <c r="B132" s="3"/>
      <c r="C132" s="1"/>
      <c r="D132" s="1"/>
      <c r="N132" s="1"/>
      <c r="V132" s="1"/>
      <c r="W132" s="1"/>
      <c r="X132" s="1"/>
      <c r="Y132" s="1"/>
      <c r="Z132" s="1"/>
      <c r="AA132" s="1"/>
      <c r="AB132" s="1"/>
      <c r="AI132" s="1"/>
      <c r="AK132" s="1"/>
      <c r="AU132" s="1"/>
      <c r="AV132" s="1"/>
      <c r="AW132" s="1"/>
      <c r="AX132" s="1"/>
      <c r="AY132" s="1"/>
      <c r="BA132" s="1"/>
      <c r="BM132" s="1"/>
      <c r="BN132" s="1"/>
      <c r="BW132" s="1"/>
      <c r="BY132" s="1"/>
      <c r="BZ132" s="1"/>
      <c r="CM132" s="1"/>
      <c r="CQ132" s="1"/>
      <c r="CR132" s="1"/>
      <c r="CT132" s="1"/>
      <c r="DC132" s="1"/>
    </row>
    <row r="133" spans="1:107" ht="15.75" customHeight="1" x14ac:dyDescent="0.25">
      <c r="A133" s="1"/>
      <c r="B133" s="3"/>
      <c r="C133" s="1"/>
      <c r="D133" s="1"/>
      <c r="N133" s="1"/>
      <c r="W133" s="1"/>
      <c r="X133" s="1"/>
      <c r="Y133" s="1"/>
      <c r="Z133" s="1"/>
      <c r="AA133" s="1"/>
      <c r="AB133" s="1"/>
      <c r="AI133" s="1"/>
      <c r="AK133" s="1"/>
      <c r="AU133" s="1"/>
      <c r="AV133" s="1"/>
      <c r="AW133" s="1"/>
      <c r="AX133" s="1"/>
      <c r="AY133" s="1"/>
      <c r="AZ133" s="1"/>
      <c r="BA133" s="1"/>
      <c r="CR133" s="1"/>
      <c r="CT133" s="1"/>
      <c r="DC133" s="1"/>
    </row>
    <row r="134" spans="1:107" ht="15.75" customHeight="1" x14ac:dyDescent="0.25">
      <c r="A134" s="1"/>
      <c r="B134" s="3"/>
      <c r="C134" s="1"/>
      <c r="D134" s="1"/>
      <c r="M134" s="1"/>
      <c r="N134" s="1"/>
      <c r="V134" s="1"/>
      <c r="W134" s="1"/>
      <c r="X134" s="1"/>
      <c r="Y134" s="1"/>
      <c r="Z134" s="1"/>
      <c r="AA134" s="1"/>
      <c r="AB134" s="1"/>
      <c r="AI134" s="1"/>
      <c r="AK134" s="1"/>
      <c r="AU134" s="1"/>
      <c r="AV134" s="1"/>
      <c r="AW134" s="1"/>
      <c r="AX134" s="1"/>
      <c r="AY134" s="1"/>
      <c r="BA134" s="1"/>
      <c r="BM134" s="1"/>
      <c r="BN134" s="1"/>
      <c r="DC134" s="1"/>
    </row>
    <row r="135" spans="1:107" ht="15.75" customHeight="1" x14ac:dyDescent="0.25">
      <c r="A135" s="1"/>
      <c r="B135" s="3"/>
      <c r="C135" s="1"/>
      <c r="D135" s="1"/>
      <c r="N135" s="1"/>
      <c r="V135" s="1"/>
      <c r="W135" s="1"/>
      <c r="X135" s="1"/>
      <c r="Y135" s="1"/>
      <c r="Z135" s="1"/>
      <c r="AA135" s="1"/>
      <c r="AB135" s="1"/>
      <c r="AI135" s="1"/>
      <c r="AK135" s="1"/>
      <c r="AU135" s="1"/>
      <c r="AV135" s="1"/>
      <c r="AW135" s="1"/>
      <c r="AX135" s="1"/>
      <c r="AY135" s="1"/>
      <c r="BA135" s="1"/>
      <c r="BM135" s="1"/>
      <c r="BN135" s="1"/>
      <c r="BW135" s="1"/>
      <c r="CM135" s="1"/>
      <c r="CQ135" s="1"/>
      <c r="DC135" s="1"/>
    </row>
    <row r="136" spans="1:107" ht="15.75" customHeight="1" x14ac:dyDescent="0.25">
      <c r="A136" s="1"/>
      <c r="B136" s="3"/>
      <c r="C136" s="1"/>
      <c r="D136" s="1"/>
      <c r="N136" s="1"/>
      <c r="O136" s="1"/>
      <c r="P136" s="1"/>
      <c r="Q136" s="1"/>
      <c r="R136" s="1"/>
      <c r="S136" s="1"/>
      <c r="T136" s="1"/>
      <c r="W136" s="1"/>
      <c r="X136" s="1"/>
      <c r="Y136" s="1"/>
      <c r="Z136" s="1"/>
      <c r="AA136" s="1"/>
      <c r="AI136" s="1"/>
      <c r="AV136" s="1"/>
      <c r="AW136" s="1"/>
      <c r="AX136" s="1"/>
    </row>
    <row r="137" spans="1:107" ht="15.75" customHeight="1" x14ac:dyDescent="0.25">
      <c r="A137" s="1"/>
      <c r="B137" s="3"/>
      <c r="C137" s="1"/>
      <c r="D137" s="1"/>
      <c r="N137" s="1"/>
      <c r="O137" s="1"/>
      <c r="P137" s="1"/>
      <c r="Q137" s="1"/>
      <c r="R137" s="1"/>
      <c r="S137" s="1"/>
      <c r="T137" s="1"/>
      <c r="W137" s="1"/>
      <c r="X137" s="1"/>
      <c r="Y137" s="1"/>
      <c r="Z137" s="1"/>
      <c r="AA137" s="1"/>
      <c r="AI137" s="1"/>
      <c r="AV137" s="1"/>
      <c r="AW137" s="1"/>
      <c r="AX137" s="1"/>
    </row>
    <row r="138" spans="1:107" ht="15.75" customHeight="1" x14ac:dyDescent="0.25">
      <c r="A138" s="1"/>
      <c r="B138" s="3"/>
      <c r="C138" s="1"/>
      <c r="D138" s="1"/>
      <c r="N138" s="1"/>
      <c r="O138" s="1"/>
      <c r="P138" s="1"/>
      <c r="Q138" s="1"/>
      <c r="R138" s="1"/>
      <c r="S138" s="1"/>
      <c r="T138" s="1"/>
      <c r="W138" s="1"/>
      <c r="X138" s="1"/>
      <c r="Y138" s="1"/>
      <c r="Z138" s="1"/>
      <c r="AA138" s="1"/>
      <c r="AI138" s="1"/>
      <c r="AV138" s="1"/>
      <c r="AW138" s="1"/>
      <c r="AX138" s="1"/>
    </row>
    <row r="139" spans="1:107" ht="15.75" customHeight="1" x14ac:dyDescent="0.25">
      <c r="A139" s="1"/>
      <c r="B139" s="3"/>
      <c r="C139" s="1"/>
      <c r="D139" s="1"/>
      <c r="N139" s="1"/>
      <c r="O139" s="1"/>
      <c r="P139" s="1"/>
      <c r="Q139" s="1"/>
      <c r="R139" s="1"/>
      <c r="S139" s="1"/>
      <c r="T139" s="1"/>
      <c r="W139" s="1"/>
      <c r="X139" s="1"/>
      <c r="Y139" s="1"/>
      <c r="Z139" s="1"/>
      <c r="AA139" s="1"/>
      <c r="AI139" s="1"/>
      <c r="AV139" s="1"/>
      <c r="AW139" s="1"/>
      <c r="AX139" s="1"/>
    </row>
    <row r="140" spans="1:107" ht="15.75" customHeight="1" x14ac:dyDescent="0.25">
      <c r="A140" s="1"/>
      <c r="B140" s="3"/>
      <c r="C140" s="1"/>
      <c r="D140" s="1"/>
      <c r="N140" s="1"/>
      <c r="O140" s="1"/>
      <c r="P140" s="1"/>
      <c r="Q140" s="1"/>
      <c r="R140" s="1"/>
      <c r="S140" s="1"/>
      <c r="T140" s="1"/>
      <c r="W140" s="1"/>
      <c r="X140" s="1"/>
      <c r="Y140" s="1"/>
      <c r="Z140" s="1"/>
      <c r="AA140" s="1"/>
      <c r="AI140" s="1"/>
      <c r="AV140" s="1"/>
      <c r="AW140" s="1"/>
      <c r="AX140" s="1"/>
    </row>
    <row r="141" spans="1:107" ht="15.75" customHeight="1" x14ac:dyDescent="0.25">
      <c r="A141" s="1"/>
      <c r="B141" s="3"/>
      <c r="C141" s="1"/>
      <c r="D141" s="1"/>
      <c r="N141" s="1"/>
      <c r="O141" s="1"/>
      <c r="P141" s="1"/>
      <c r="Q141" s="1"/>
      <c r="R141" s="1"/>
      <c r="S141" s="1"/>
      <c r="T141" s="1"/>
      <c r="W141" s="1"/>
      <c r="X141" s="1"/>
      <c r="Y141" s="1"/>
      <c r="Z141" s="1"/>
      <c r="AA141" s="1"/>
      <c r="AI141" s="1"/>
      <c r="AV141" s="1"/>
      <c r="AW141" s="1"/>
      <c r="AX141" s="1"/>
    </row>
    <row r="142" spans="1:107" ht="15.75" customHeight="1" x14ac:dyDescent="0.25">
      <c r="A142" s="1"/>
      <c r="B142" s="3"/>
      <c r="C142" s="1"/>
      <c r="D142" s="1"/>
      <c r="N142" s="1"/>
      <c r="O142" s="1"/>
      <c r="P142" s="1"/>
      <c r="Q142" s="1"/>
      <c r="R142" s="1"/>
      <c r="S142" s="1"/>
      <c r="T142" s="1"/>
      <c r="W142" s="1"/>
      <c r="X142" s="1"/>
      <c r="Y142" s="1"/>
      <c r="Z142" s="1"/>
      <c r="AA142" s="1"/>
      <c r="AI142" s="1"/>
      <c r="AV142" s="1"/>
      <c r="AW142" s="1"/>
      <c r="AX142" s="1"/>
    </row>
    <row r="143" spans="1:107" ht="15.75" customHeight="1" x14ac:dyDescent="0.25">
      <c r="A143" s="1"/>
      <c r="B143" s="3"/>
      <c r="C143" s="1"/>
      <c r="D143" s="1"/>
      <c r="M143" s="1"/>
      <c r="N143" s="1"/>
      <c r="O143" s="1"/>
      <c r="P143" s="1"/>
      <c r="Q143" s="1"/>
      <c r="R143" s="1"/>
      <c r="S143" s="1"/>
      <c r="T143" s="1"/>
      <c r="U143" s="1"/>
      <c r="W143" s="1"/>
      <c r="X143" s="1"/>
      <c r="Y143" s="1"/>
      <c r="Z143" s="1"/>
      <c r="AA143" s="1"/>
      <c r="AB143" s="1"/>
      <c r="AI143" s="1"/>
      <c r="AJ143" s="1"/>
      <c r="AV143" s="1"/>
      <c r="AW143" s="1"/>
      <c r="AX143" s="1"/>
      <c r="BA143" s="1"/>
      <c r="BL143" s="1"/>
      <c r="DC143" s="1"/>
    </row>
    <row r="144" spans="1:107" ht="15.75" customHeight="1" x14ac:dyDescent="0.25">
      <c r="A144" s="1"/>
      <c r="B144" s="3"/>
      <c r="C144" s="1"/>
      <c r="D144" s="1"/>
      <c r="N144" s="1"/>
      <c r="O144" s="1"/>
      <c r="P144" s="1"/>
      <c r="Q144" s="1"/>
      <c r="R144" s="1"/>
      <c r="S144" s="1"/>
      <c r="T144" s="1"/>
      <c r="V144" s="1"/>
      <c r="W144" s="1"/>
      <c r="X144" s="1"/>
      <c r="Y144" s="1"/>
      <c r="Z144" s="1"/>
      <c r="AA144" s="1"/>
      <c r="AI144" s="1"/>
      <c r="AK144" s="1"/>
      <c r="AU144" s="1"/>
      <c r="AV144" s="1"/>
      <c r="AW144" s="1"/>
      <c r="AX144" s="1"/>
      <c r="AY144" s="1"/>
      <c r="BM144" s="1"/>
      <c r="CH144" s="1"/>
      <c r="CJ144" s="1"/>
      <c r="CL144" s="1"/>
    </row>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3:A144">
    <cfRule type="cellIs" dxfId="23" priority="1" operator="equal">
      <formula>"FALSE"</formula>
    </cfRule>
    <cfRule type="expression" dxfId="22" priority="2">
      <formula>D1:D146="Game Enthusiast or Collector"</formula>
    </cfRule>
  </conditionalFormatting>
  <conditionalFormatting sqref="W3:AA144">
    <cfRule type="cellIs" dxfId="21" priority="3" operator="equal">
      <formula>"False"</formula>
    </cfRule>
    <cfRule type="cellIs" dxfId="20" priority="4" operator="equal">
      <formula>"True"</formula>
    </cfRule>
  </conditionalFormatting>
  <pageMargins left="0.7" right="0.7" top="0.75" bottom="0.75" header="0" footer="0"/>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C1000"/>
  <sheetViews>
    <sheetView tabSelected="1" workbookViewId="0">
      <pane ySplit="2" topLeftCell="A3" activePane="bottomLeft" state="frozen"/>
      <selection pane="bottomLeft" activeCell="BK4" sqref="BK4"/>
    </sheetView>
  </sheetViews>
  <sheetFormatPr defaultColWidth="12.6640625" defaultRowHeight="15" customHeight="1" x14ac:dyDescent="0.25"/>
  <cols>
    <col min="1" max="4" width="12.6640625" customWidth="1"/>
    <col min="5" max="12" width="3.6640625" customWidth="1"/>
  </cols>
  <sheetData>
    <row r="1" spans="1:107" ht="15.75" customHeight="1" x14ac:dyDescent="0.2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ht="15.75" customHeight="1" x14ac:dyDescent="0.25">
      <c r="A2" s="1" t="s">
        <v>0</v>
      </c>
      <c r="B2" s="1" t="s">
        <v>107</v>
      </c>
      <c r="C2" s="1" t="s">
        <v>108</v>
      </c>
      <c r="D2" s="1" t="s">
        <v>109</v>
      </c>
      <c r="E2" s="1"/>
      <c r="F2" s="1"/>
      <c r="G2" s="1"/>
      <c r="H2" s="1"/>
      <c r="I2" s="1"/>
      <c r="J2" s="1"/>
      <c r="K2" s="1"/>
      <c r="L2" s="1"/>
      <c r="M2" s="1" t="s">
        <v>110</v>
      </c>
      <c r="N2" s="1" t="s">
        <v>111</v>
      </c>
      <c r="O2" s="1"/>
      <c r="P2" s="1"/>
      <c r="Q2" s="1"/>
      <c r="R2" s="1"/>
      <c r="S2" s="1"/>
      <c r="T2" s="1"/>
      <c r="U2" s="1" t="s">
        <v>112</v>
      </c>
      <c r="V2" s="1" t="s">
        <v>113</v>
      </c>
      <c r="W2" s="1"/>
      <c r="X2" s="1"/>
      <c r="Y2" s="1"/>
      <c r="Z2" s="1"/>
      <c r="AA2" s="1"/>
      <c r="AB2" s="1" t="s">
        <v>114</v>
      </c>
      <c r="AC2" s="1"/>
      <c r="AD2" s="1"/>
      <c r="AE2" s="1"/>
      <c r="AF2" s="1"/>
      <c r="AG2" s="1"/>
      <c r="AH2" s="1"/>
      <c r="AI2" s="1"/>
      <c r="AJ2" s="1" t="s">
        <v>115</v>
      </c>
      <c r="AK2" s="1" t="s">
        <v>116</v>
      </c>
      <c r="AL2" s="1"/>
      <c r="AM2" s="1"/>
      <c r="AN2" s="1"/>
      <c r="AO2" s="1"/>
      <c r="AP2" s="1"/>
      <c r="AQ2" s="1"/>
      <c r="AR2" s="1"/>
      <c r="AS2" s="1"/>
      <c r="AT2" s="1" t="s">
        <v>117</v>
      </c>
      <c r="AU2" s="1" t="s">
        <v>118</v>
      </c>
      <c r="AV2" s="1"/>
      <c r="AW2" s="1"/>
      <c r="AX2" s="1"/>
      <c r="AY2" s="1" t="s">
        <v>119</v>
      </c>
      <c r="AZ2" s="1" t="s">
        <v>120</v>
      </c>
      <c r="BA2" s="1" t="s">
        <v>121</v>
      </c>
      <c r="BB2" s="1"/>
      <c r="BC2" s="1"/>
      <c r="BD2" s="1"/>
      <c r="BE2" s="1"/>
      <c r="BF2" s="1"/>
      <c r="BG2" s="1"/>
      <c r="BH2" s="1"/>
      <c r="BI2" s="1"/>
      <c r="BJ2" s="1"/>
      <c r="BK2" s="1"/>
      <c r="BL2" s="1" t="s">
        <v>122</v>
      </c>
      <c r="BM2" s="1" t="s">
        <v>123</v>
      </c>
      <c r="BN2" s="1" t="s">
        <v>124</v>
      </c>
      <c r="BO2" s="1"/>
      <c r="BP2" s="1"/>
      <c r="BQ2" s="1"/>
      <c r="BR2" s="1"/>
      <c r="BS2" s="1"/>
      <c r="BT2" s="1"/>
      <c r="BU2" s="1"/>
      <c r="BV2" s="1" t="s">
        <v>125</v>
      </c>
      <c r="BW2" s="1" t="s">
        <v>126</v>
      </c>
      <c r="BX2" s="1" t="s">
        <v>127</v>
      </c>
      <c r="BY2" s="1" t="s">
        <v>128</v>
      </c>
      <c r="BZ2" s="1" t="s">
        <v>129</v>
      </c>
      <c r="CA2" s="1" t="s">
        <v>130</v>
      </c>
      <c r="CB2" s="1" t="s">
        <v>131</v>
      </c>
      <c r="CC2" s="1" t="s">
        <v>132</v>
      </c>
      <c r="CD2" s="1" t="s">
        <v>133</v>
      </c>
      <c r="CE2" s="1" t="s">
        <v>134</v>
      </c>
      <c r="CF2" s="1" t="s">
        <v>135</v>
      </c>
      <c r="CG2" s="1" t="s">
        <v>136</v>
      </c>
      <c r="CH2" s="1" t="s">
        <v>137</v>
      </c>
      <c r="CI2" s="1" t="s">
        <v>138</v>
      </c>
      <c r="CJ2" s="1" t="s">
        <v>139</v>
      </c>
      <c r="CK2" s="1" t="s">
        <v>140</v>
      </c>
      <c r="CL2" s="1" t="s">
        <v>141</v>
      </c>
      <c r="CM2" s="1" t="s">
        <v>142</v>
      </c>
      <c r="CN2" s="1" t="s">
        <v>143</v>
      </c>
      <c r="CO2" s="1" t="s">
        <v>144</v>
      </c>
      <c r="CP2" s="1" t="s">
        <v>145</v>
      </c>
      <c r="CQ2" s="1" t="s">
        <v>146</v>
      </c>
      <c r="CR2" s="1" t="s">
        <v>147</v>
      </c>
      <c r="CS2" s="1" t="s">
        <v>148</v>
      </c>
      <c r="CT2" s="1" t="s">
        <v>149</v>
      </c>
      <c r="CU2" s="1" t="s">
        <v>150</v>
      </c>
      <c r="CV2" s="1" t="s">
        <v>151</v>
      </c>
      <c r="CW2" s="1" t="s">
        <v>152</v>
      </c>
      <c r="CX2" s="1" t="s">
        <v>153</v>
      </c>
      <c r="CY2" s="1" t="s">
        <v>154</v>
      </c>
      <c r="CZ2" s="1" t="s">
        <v>155</v>
      </c>
      <c r="DA2" s="1" t="s">
        <v>156</v>
      </c>
      <c r="DB2" s="1" t="s">
        <v>152</v>
      </c>
      <c r="DC2" s="1" t="s">
        <v>157</v>
      </c>
    </row>
    <row r="3" spans="1:107" ht="15.75" customHeight="1" x14ac:dyDescent="0.25">
      <c r="A3" s="1" t="b">
        <v>1</v>
      </c>
      <c r="B3" s="3">
        <v>46165.302349537036</v>
      </c>
      <c r="C3" s="1" t="s">
        <v>602</v>
      </c>
      <c r="D3" s="1" t="s">
        <v>391</v>
      </c>
      <c r="E3" s="4">
        <f t="shared" ref="E3:K3" si="0">IF(ISNUMBER(SEARCH(E$1,$D3)), SEARCH(E$1,$D3), 0)</f>
        <v>1</v>
      </c>
      <c r="F3" s="4">
        <f t="shared" si="0"/>
        <v>30</v>
      </c>
      <c r="G3" s="4">
        <f t="shared" si="0"/>
        <v>105</v>
      </c>
      <c r="H3" s="4">
        <f t="shared" si="0"/>
        <v>161</v>
      </c>
      <c r="I3" s="4">
        <f t="shared" si="0"/>
        <v>199</v>
      </c>
      <c r="J3" s="4">
        <f t="shared" si="0"/>
        <v>231</v>
      </c>
      <c r="K3" s="4">
        <f t="shared" si="0"/>
        <v>268</v>
      </c>
      <c r="L3" s="4">
        <f t="shared" ref="L3:L16" si="1">(MAX(E3:K3))</f>
        <v>268</v>
      </c>
      <c r="N3" s="1" t="s">
        <v>505</v>
      </c>
      <c r="O3" s="4">
        <f t="shared" ref="O3:T3" si="2">IF(ISNUMBER(SEARCH(O$1,$N3)), 1, 0)</f>
        <v>1</v>
      </c>
      <c r="P3" s="4">
        <f t="shared" si="2"/>
        <v>1</v>
      </c>
      <c r="Q3" s="4">
        <f t="shared" si="2"/>
        <v>0</v>
      </c>
      <c r="R3" s="4">
        <f t="shared" si="2"/>
        <v>1</v>
      </c>
      <c r="S3" s="4">
        <f t="shared" si="2"/>
        <v>1</v>
      </c>
      <c r="T3" s="4">
        <f t="shared" si="2"/>
        <v>1</v>
      </c>
      <c r="W3" s="1" t="str">
        <f t="shared" ref="W3:AA16" si="3">IF(W$1=$V3, "True", "False")</f>
        <v>False</v>
      </c>
      <c r="X3" s="1" t="str">
        <f t="shared" si="3"/>
        <v>False</v>
      </c>
      <c r="Y3" s="1" t="str">
        <f t="shared" si="3"/>
        <v>False</v>
      </c>
      <c r="Z3" s="1" t="str">
        <f t="shared" si="3"/>
        <v>False</v>
      </c>
      <c r="AA3" s="1" t="str">
        <f t="shared" si="3"/>
        <v>False</v>
      </c>
      <c r="AB3" s="1" t="s">
        <v>603</v>
      </c>
      <c r="AC3" s="4">
        <f t="shared" ref="AC3:AH3" si="4">IF(ISNUMBER(SEARCH(AC$1,$AB3)), 1, 0)</f>
        <v>1</v>
      </c>
      <c r="AD3" s="4">
        <f t="shared" si="4"/>
        <v>1</v>
      </c>
      <c r="AE3" s="4">
        <f t="shared" si="4"/>
        <v>1</v>
      </c>
      <c r="AF3" s="4">
        <f t="shared" si="4"/>
        <v>1</v>
      </c>
      <c r="AG3" s="4">
        <f t="shared" si="4"/>
        <v>0</v>
      </c>
      <c r="AH3" s="4">
        <f t="shared" si="4"/>
        <v>1</v>
      </c>
      <c r="AI3" s="1">
        <f t="shared" ref="AI3:AI16" si="5">SUM(AC3:AH3)</f>
        <v>5</v>
      </c>
      <c r="AK3" s="1" t="s">
        <v>604</v>
      </c>
      <c r="AL3" s="4">
        <f t="shared" ref="AL3:AS3" si="6">IF(ISNUMBER(SEARCH(AL$1,$AK3)), 1, 0)</f>
        <v>1</v>
      </c>
      <c r="AM3" s="4">
        <f t="shared" si="6"/>
        <v>1</v>
      </c>
      <c r="AN3" s="4">
        <f t="shared" si="6"/>
        <v>1</v>
      </c>
      <c r="AO3" s="4">
        <f t="shared" si="6"/>
        <v>1</v>
      </c>
      <c r="AP3" s="4">
        <f t="shared" si="6"/>
        <v>1</v>
      </c>
      <c r="AQ3" s="4">
        <f t="shared" si="6"/>
        <v>1</v>
      </c>
      <c r="AR3" s="4">
        <f t="shared" si="6"/>
        <v>1</v>
      </c>
      <c r="AS3" s="4">
        <f t="shared" si="6"/>
        <v>1</v>
      </c>
      <c r="AU3" s="1" t="s">
        <v>48</v>
      </c>
      <c r="AV3" s="1">
        <f t="shared" ref="AV3:AV16" si="7">IF($AU3="No",1,0)</f>
        <v>0</v>
      </c>
      <c r="AW3" s="1">
        <f t="shared" ref="AW3:AW16" si="8">IF($AU3="Yes",1,0)</f>
        <v>1</v>
      </c>
      <c r="AX3" s="1">
        <f t="shared" ref="AX3:AX16" si="9">IF($AU3="Unsure",1,0)</f>
        <v>0</v>
      </c>
      <c r="AY3" s="1" t="s">
        <v>48</v>
      </c>
      <c r="BA3" s="1" t="s">
        <v>605</v>
      </c>
      <c r="BB3" s="4">
        <f t="shared" ref="BB3:BJ3" si="10">IF(ISNUMBER(SEARCH(BB$1,$BA3)), 1, 0)</f>
        <v>1</v>
      </c>
      <c r="BC3" s="4">
        <f t="shared" si="10"/>
        <v>1</v>
      </c>
      <c r="BD3" s="4">
        <f t="shared" si="10"/>
        <v>1</v>
      </c>
      <c r="BE3" s="4">
        <f t="shared" si="10"/>
        <v>1</v>
      </c>
      <c r="BF3" s="4">
        <f t="shared" si="10"/>
        <v>1</v>
      </c>
      <c r="BG3" s="4">
        <f t="shared" si="10"/>
        <v>1</v>
      </c>
      <c r="BH3" s="4">
        <f t="shared" si="10"/>
        <v>1</v>
      </c>
      <c r="BI3" s="4">
        <f t="shared" si="10"/>
        <v>1</v>
      </c>
      <c r="BJ3" s="4">
        <f t="shared" si="10"/>
        <v>1</v>
      </c>
      <c r="BK3" s="4">
        <f t="shared" ref="BK3:BK16" si="11">SUM(BB3:BJ3)</f>
        <v>9</v>
      </c>
      <c r="BO3" s="4">
        <f t="shared" ref="BO3:BU3" si="12">IF(ISNUMBER(SEARCH(BO$1,$BN3)), 1, 0)</f>
        <v>0</v>
      </c>
      <c r="BP3" s="4">
        <f t="shared" si="12"/>
        <v>0</v>
      </c>
      <c r="BQ3" s="4">
        <f t="shared" si="12"/>
        <v>0</v>
      </c>
      <c r="BR3" s="4">
        <f t="shared" si="12"/>
        <v>0</v>
      </c>
      <c r="BS3" s="4">
        <f t="shared" si="12"/>
        <v>0</v>
      </c>
      <c r="BT3" s="4">
        <f t="shared" si="12"/>
        <v>0</v>
      </c>
      <c r="BU3" s="4">
        <f t="shared" si="12"/>
        <v>0</v>
      </c>
      <c r="BZ3" s="1" t="s">
        <v>171</v>
      </c>
      <c r="CB3" s="1" t="s">
        <v>48</v>
      </c>
      <c r="CC3" s="1" t="s">
        <v>48</v>
      </c>
      <c r="CD3" s="1" t="s">
        <v>444</v>
      </c>
      <c r="CF3" s="1" t="s">
        <v>606</v>
      </c>
      <c r="CG3" s="1" t="s">
        <v>607</v>
      </c>
      <c r="CH3" s="1" t="s">
        <v>173</v>
      </c>
      <c r="CJ3" s="1" t="s">
        <v>608</v>
      </c>
      <c r="CL3" s="1" t="s">
        <v>352</v>
      </c>
      <c r="CM3" s="1" t="s">
        <v>48</v>
      </c>
      <c r="CN3" s="1" t="s">
        <v>609</v>
      </c>
      <c r="CU3" s="1" t="s">
        <v>178</v>
      </c>
      <c r="DC3" s="1" t="s">
        <v>238</v>
      </c>
    </row>
    <row r="4" spans="1:107" ht="15.75" customHeight="1" x14ac:dyDescent="0.25">
      <c r="A4" s="1" t="b">
        <v>1</v>
      </c>
      <c r="B4" s="3">
        <v>46161.275833333333</v>
      </c>
      <c r="C4" s="1" t="s">
        <v>424</v>
      </c>
      <c r="D4" s="1" t="s">
        <v>425</v>
      </c>
      <c r="E4" s="4">
        <f t="shared" ref="E4:K4" si="13">IF(ISNUMBER(SEARCH(E$1,$D4)), SEARCH(E$1,$D4), 0)</f>
        <v>1</v>
      </c>
      <c r="F4" s="4">
        <f t="shared" si="13"/>
        <v>30</v>
      </c>
      <c r="G4" s="4">
        <f t="shared" si="13"/>
        <v>105</v>
      </c>
      <c r="H4" s="4">
        <f t="shared" si="13"/>
        <v>161</v>
      </c>
      <c r="I4" s="4">
        <f t="shared" si="13"/>
        <v>199</v>
      </c>
      <c r="J4" s="4">
        <f t="shared" si="13"/>
        <v>231</v>
      </c>
      <c r="K4" s="4">
        <f t="shared" si="13"/>
        <v>268</v>
      </c>
      <c r="L4" s="4">
        <f t="shared" si="1"/>
        <v>268</v>
      </c>
      <c r="N4" s="1" t="s">
        <v>323</v>
      </c>
      <c r="O4" s="4">
        <f t="shared" ref="O4:T4" si="14">IF(ISNUMBER(SEARCH(O$1,$N4)), 1, 0)</f>
        <v>1</v>
      </c>
      <c r="P4" s="4">
        <f t="shared" si="14"/>
        <v>1</v>
      </c>
      <c r="Q4" s="4">
        <f t="shared" si="14"/>
        <v>1</v>
      </c>
      <c r="R4" s="4">
        <f t="shared" si="14"/>
        <v>1</v>
      </c>
      <c r="S4" s="4">
        <f t="shared" si="14"/>
        <v>0</v>
      </c>
      <c r="T4" s="4">
        <f t="shared" si="14"/>
        <v>1</v>
      </c>
      <c r="V4" s="1" t="s">
        <v>22</v>
      </c>
      <c r="W4" s="1" t="str">
        <f t="shared" si="3"/>
        <v>True</v>
      </c>
      <c r="X4" s="1" t="str">
        <f t="shared" si="3"/>
        <v>False</v>
      </c>
      <c r="Y4" s="1" t="str">
        <f t="shared" si="3"/>
        <v>False</v>
      </c>
      <c r="Z4" s="1" t="str">
        <f t="shared" si="3"/>
        <v>False</v>
      </c>
      <c r="AA4" s="1" t="str">
        <f t="shared" si="3"/>
        <v>False</v>
      </c>
      <c r="AB4" s="1" t="s">
        <v>183</v>
      </c>
      <c r="AC4" s="4">
        <f t="shared" ref="AC4:AH4" si="15">IF(ISNUMBER(SEARCH(AC$1,$AB4)), 1, 0)</f>
        <v>0</v>
      </c>
      <c r="AD4" s="4">
        <f t="shared" si="15"/>
        <v>0</v>
      </c>
      <c r="AE4" s="4">
        <f t="shared" si="15"/>
        <v>0</v>
      </c>
      <c r="AF4" s="4">
        <f t="shared" si="15"/>
        <v>0</v>
      </c>
      <c r="AG4" s="4">
        <f t="shared" si="15"/>
        <v>0</v>
      </c>
      <c r="AH4" s="4">
        <f t="shared" si="15"/>
        <v>0</v>
      </c>
      <c r="AI4" s="1">
        <f t="shared" si="5"/>
        <v>0</v>
      </c>
      <c r="AJ4" s="1" t="s">
        <v>426</v>
      </c>
      <c r="AK4" s="1" t="s">
        <v>427</v>
      </c>
      <c r="AL4" s="4">
        <f t="shared" ref="AL4:AS4" si="16">IF(ISNUMBER(SEARCH(AL$1,$AK4)), 1, 0)</f>
        <v>0</v>
      </c>
      <c r="AM4" s="4">
        <f t="shared" si="16"/>
        <v>1</v>
      </c>
      <c r="AN4" s="4">
        <f t="shared" si="16"/>
        <v>1</v>
      </c>
      <c r="AO4" s="4">
        <f t="shared" si="16"/>
        <v>1</v>
      </c>
      <c r="AP4" s="4">
        <f t="shared" si="16"/>
        <v>0</v>
      </c>
      <c r="AQ4" s="4">
        <f t="shared" si="16"/>
        <v>1</v>
      </c>
      <c r="AR4" s="4">
        <f t="shared" si="16"/>
        <v>1</v>
      </c>
      <c r="AS4" s="4">
        <f t="shared" si="16"/>
        <v>1</v>
      </c>
      <c r="AU4" s="1" t="s">
        <v>48</v>
      </c>
      <c r="AV4" s="1">
        <f t="shared" si="7"/>
        <v>0</v>
      </c>
      <c r="AW4" s="1">
        <f t="shared" si="8"/>
        <v>1</v>
      </c>
      <c r="AX4" s="1">
        <f t="shared" si="9"/>
        <v>0</v>
      </c>
      <c r="AY4" s="1" t="s">
        <v>47</v>
      </c>
      <c r="AZ4" s="1" t="s">
        <v>47</v>
      </c>
      <c r="BA4" s="1" t="s">
        <v>428</v>
      </c>
      <c r="BB4" s="4">
        <f t="shared" ref="BB4:BJ4" si="17">IF(ISNUMBER(SEARCH(BB$1,$BA4)), 1, 0)</f>
        <v>0</v>
      </c>
      <c r="BC4" s="4">
        <f t="shared" si="17"/>
        <v>0</v>
      </c>
      <c r="BD4" s="4">
        <f t="shared" si="17"/>
        <v>0</v>
      </c>
      <c r="BE4" s="4">
        <f t="shared" si="17"/>
        <v>0</v>
      </c>
      <c r="BF4" s="4">
        <f t="shared" si="17"/>
        <v>0</v>
      </c>
      <c r="BG4" s="4">
        <f t="shared" si="17"/>
        <v>0</v>
      </c>
      <c r="BH4" s="4">
        <f t="shared" si="17"/>
        <v>1</v>
      </c>
      <c r="BI4" s="4">
        <f t="shared" si="17"/>
        <v>1</v>
      </c>
      <c r="BJ4" s="4">
        <f t="shared" si="17"/>
        <v>1</v>
      </c>
      <c r="BK4" s="4">
        <f t="shared" si="11"/>
        <v>3</v>
      </c>
      <c r="BO4" s="4">
        <f t="shared" ref="BO4:BU4" si="18">IF(ISNUMBER(SEARCH(BO$1,$BN4)), 1, 0)</f>
        <v>0</v>
      </c>
      <c r="BP4" s="4">
        <f t="shared" si="18"/>
        <v>0</v>
      </c>
      <c r="BQ4" s="4">
        <f t="shared" si="18"/>
        <v>0</v>
      </c>
      <c r="BR4" s="4">
        <f t="shared" si="18"/>
        <v>0</v>
      </c>
      <c r="BS4" s="4">
        <f t="shared" si="18"/>
        <v>0</v>
      </c>
      <c r="BT4" s="4">
        <f t="shared" si="18"/>
        <v>0</v>
      </c>
      <c r="BU4" s="4">
        <f t="shared" si="18"/>
        <v>0</v>
      </c>
      <c r="BY4" s="1" t="s">
        <v>429</v>
      </c>
      <c r="BZ4" s="1" t="s">
        <v>183</v>
      </c>
      <c r="CA4" s="1" t="s">
        <v>430</v>
      </c>
      <c r="CB4" s="1" t="s">
        <v>48</v>
      </c>
      <c r="CC4" s="1" t="s">
        <v>47</v>
      </c>
      <c r="CD4" s="1" t="s">
        <v>431</v>
      </c>
      <c r="CF4" s="1" t="s">
        <v>412</v>
      </c>
      <c r="CG4" s="1" t="s">
        <v>432</v>
      </c>
      <c r="CI4" s="1" t="s">
        <v>433</v>
      </c>
      <c r="CJ4" s="1" t="s">
        <v>434</v>
      </c>
      <c r="CR4" s="1" t="s">
        <v>435</v>
      </c>
      <c r="CT4" s="1" t="s">
        <v>436</v>
      </c>
      <c r="CU4" s="1" t="s">
        <v>214</v>
      </c>
      <c r="CW4" s="1" t="s">
        <v>437</v>
      </c>
    </row>
    <row r="5" spans="1:107" ht="15.75" customHeight="1" x14ac:dyDescent="0.25">
      <c r="A5" s="1" t="b">
        <v>0</v>
      </c>
      <c r="B5" s="3">
        <v>46152.652453703704</v>
      </c>
      <c r="C5" s="1" t="s">
        <v>295</v>
      </c>
      <c r="D5" s="1" t="s">
        <v>296</v>
      </c>
      <c r="E5" s="4">
        <f t="shared" ref="E5:K5" si="19">IF(ISNUMBER(SEARCH(E$1,$D5)), SEARCH(E$1,$D5), 0)</f>
        <v>1</v>
      </c>
      <c r="F5" s="4">
        <f t="shared" si="19"/>
        <v>30</v>
      </c>
      <c r="G5" s="4">
        <f t="shared" si="19"/>
        <v>105</v>
      </c>
      <c r="H5" s="4">
        <f t="shared" si="19"/>
        <v>161</v>
      </c>
      <c r="I5" s="4">
        <f t="shared" si="19"/>
        <v>199</v>
      </c>
      <c r="J5" s="4">
        <f t="shared" si="19"/>
        <v>231</v>
      </c>
      <c r="K5" s="4">
        <f t="shared" si="19"/>
        <v>0</v>
      </c>
      <c r="L5" s="4">
        <f t="shared" si="1"/>
        <v>231</v>
      </c>
      <c r="N5" s="1" t="s">
        <v>240</v>
      </c>
      <c r="O5" s="4">
        <f t="shared" ref="O5:T5" si="20">IF(ISNUMBER(SEARCH(O$1,$N5)), 1, 0)</f>
        <v>1</v>
      </c>
      <c r="P5" s="4">
        <f t="shared" si="20"/>
        <v>1</v>
      </c>
      <c r="Q5" s="4">
        <f t="shared" si="20"/>
        <v>1</v>
      </c>
      <c r="R5" s="4">
        <f t="shared" si="20"/>
        <v>1</v>
      </c>
      <c r="S5" s="4">
        <f t="shared" si="20"/>
        <v>0</v>
      </c>
      <c r="T5" s="4">
        <f t="shared" si="20"/>
        <v>0</v>
      </c>
      <c r="V5" s="1" t="s">
        <v>24</v>
      </c>
      <c r="W5" s="1" t="str">
        <f t="shared" si="3"/>
        <v>False</v>
      </c>
      <c r="X5" s="1" t="str">
        <f t="shared" si="3"/>
        <v>False</v>
      </c>
      <c r="Y5" s="1" t="str">
        <f t="shared" si="3"/>
        <v>True</v>
      </c>
      <c r="Z5" s="1" t="str">
        <f t="shared" si="3"/>
        <v>False</v>
      </c>
      <c r="AA5" s="1" t="str">
        <f t="shared" si="3"/>
        <v>False</v>
      </c>
      <c r="AB5" s="1" t="s">
        <v>33</v>
      </c>
      <c r="AC5" s="4">
        <f t="shared" ref="AC5:AH5" si="21">IF(ISNUMBER(SEARCH(AC$1,$AB5)), 1, 0)</f>
        <v>0</v>
      </c>
      <c r="AD5" s="4">
        <f t="shared" si="21"/>
        <v>0</v>
      </c>
      <c r="AE5" s="4">
        <f t="shared" si="21"/>
        <v>0</v>
      </c>
      <c r="AF5" s="4">
        <f t="shared" si="21"/>
        <v>0</v>
      </c>
      <c r="AG5" s="4">
        <f t="shared" si="21"/>
        <v>0</v>
      </c>
      <c r="AH5" s="4">
        <f t="shared" si="21"/>
        <v>1</v>
      </c>
      <c r="AI5" s="1">
        <f t="shared" si="5"/>
        <v>1</v>
      </c>
      <c r="AJ5" s="1"/>
      <c r="AK5" s="1" t="s">
        <v>38</v>
      </c>
      <c r="AL5" s="4">
        <f t="shared" ref="AL5:AS5" si="22">IF(ISNUMBER(SEARCH(AL$1,$AK5)), 1, 0)</f>
        <v>0</v>
      </c>
      <c r="AM5" s="4">
        <f t="shared" si="22"/>
        <v>1</v>
      </c>
      <c r="AN5" s="4">
        <f t="shared" si="22"/>
        <v>0</v>
      </c>
      <c r="AO5" s="4">
        <f t="shared" si="22"/>
        <v>0</v>
      </c>
      <c r="AP5" s="4">
        <f t="shared" si="22"/>
        <v>0</v>
      </c>
      <c r="AQ5" s="4">
        <f t="shared" si="22"/>
        <v>0</v>
      </c>
      <c r="AR5" s="4">
        <f t="shared" si="22"/>
        <v>0</v>
      </c>
      <c r="AS5" s="4">
        <f t="shared" si="22"/>
        <v>0</v>
      </c>
      <c r="AU5" s="1" t="s">
        <v>48</v>
      </c>
      <c r="AV5" s="1">
        <f t="shared" si="7"/>
        <v>0</v>
      </c>
      <c r="AW5" s="1">
        <f t="shared" si="8"/>
        <v>1</v>
      </c>
      <c r="AX5" s="1">
        <f t="shared" si="9"/>
        <v>0</v>
      </c>
      <c r="AY5" s="1" t="s">
        <v>48</v>
      </c>
      <c r="BA5" s="1" t="s">
        <v>297</v>
      </c>
      <c r="BB5" s="4">
        <f t="shared" ref="BB5:BJ5" si="23">IF(ISNUMBER(SEARCH(BB$1,$BA5)), 1, 0)</f>
        <v>1</v>
      </c>
      <c r="BC5" s="4">
        <f t="shared" si="23"/>
        <v>0</v>
      </c>
      <c r="BD5" s="4">
        <f t="shared" si="23"/>
        <v>1</v>
      </c>
      <c r="BE5" s="4">
        <f t="shared" si="23"/>
        <v>0</v>
      </c>
      <c r="BF5" s="4">
        <f t="shared" si="23"/>
        <v>1</v>
      </c>
      <c r="BG5" s="4">
        <f t="shared" si="23"/>
        <v>1</v>
      </c>
      <c r="BH5" s="4">
        <f t="shared" si="23"/>
        <v>0</v>
      </c>
      <c r="BI5" s="4">
        <f t="shared" si="23"/>
        <v>0</v>
      </c>
      <c r="BJ5" s="4">
        <f t="shared" si="23"/>
        <v>1</v>
      </c>
      <c r="BK5" s="4">
        <f t="shared" si="11"/>
        <v>5</v>
      </c>
      <c r="BM5" s="1" t="s">
        <v>190</v>
      </c>
      <c r="BN5" s="1" t="s">
        <v>298</v>
      </c>
      <c r="BO5" s="4">
        <f t="shared" ref="BO5:BU5" si="24">IF(ISNUMBER(SEARCH(BO$1,$BN5)), 1, 0)</f>
        <v>0</v>
      </c>
      <c r="BP5" s="4">
        <f t="shared" si="24"/>
        <v>0</v>
      </c>
      <c r="BQ5" s="4">
        <f t="shared" si="24"/>
        <v>0</v>
      </c>
      <c r="BR5" s="4">
        <f t="shared" si="24"/>
        <v>1</v>
      </c>
      <c r="BS5" s="4">
        <f t="shared" si="24"/>
        <v>1</v>
      </c>
      <c r="BT5" s="4">
        <f t="shared" si="24"/>
        <v>0</v>
      </c>
      <c r="BU5" s="4">
        <f t="shared" si="24"/>
        <v>1</v>
      </c>
      <c r="BV5" s="1" t="s">
        <v>299</v>
      </c>
      <c r="BY5" s="1" t="s">
        <v>300</v>
      </c>
    </row>
    <row r="6" spans="1:107" ht="15.75" customHeight="1" x14ac:dyDescent="0.25">
      <c r="A6" s="1" t="b">
        <v>1</v>
      </c>
      <c r="B6" s="3">
        <v>46161.533495370371</v>
      </c>
      <c r="C6" s="1" t="s">
        <v>442</v>
      </c>
      <c r="D6" s="1" t="s">
        <v>425</v>
      </c>
      <c r="E6" s="4">
        <f t="shared" ref="E6:K6" si="25">IF(ISNUMBER(SEARCH(E$1,$D6)), SEARCH(E$1,$D6), 0)</f>
        <v>1</v>
      </c>
      <c r="F6" s="4">
        <f t="shared" si="25"/>
        <v>30</v>
      </c>
      <c r="G6" s="4">
        <f t="shared" si="25"/>
        <v>105</v>
      </c>
      <c r="H6" s="4">
        <f t="shared" si="25"/>
        <v>161</v>
      </c>
      <c r="I6" s="4">
        <f t="shared" si="25"/>
        <v>199</v>
      </c>
      <c r="J6" s="4">
        <f t="shared" si="25"/>
        <v>231</v>
      </c>
      <c r="K6" s="4">
        <f t="shared" si="25"/>
        <v>268</v>
      </c>
      <c r="L6" s="4">
        <f t="shared" si="1"/>
        <v>268</v>
      </c>
      <c r="O6" s="4">
        <f t="shared" ref="O6:T6" si="26">IF(ISNUMBER(SEARCH(O$1,$N6)), 1, 0)</f>
        <v>0</v>
      </c>
      <c r="P6" s="4">
        <f t="shared" si="26"/>
        <v>0</v>
      </c>
      <c r="Q6" s="4">
        <f t="shared" si="26"/>
        <v>0</v>
      </c>
      <c r="R6" s="4">
        <f t="shared" si="26"/>
        <v>0</v>
      </c>
      <c r="S6" s="4">
        <f t="shared" si="26"/>
        <v>0</v>
      </c>
      <c r="T6" s="4">
        <f t="shared" si="26"/>
        <v>0</v>
      </c>
      <c r="W6" s="1" t="str">
        <f t="shared" si="3"/>
        <v>False</v>
      </c>
      <c r="X6" s="1" t="str">
        <f t="shared" si="3"/>
        <v>False</v>
      </c>
      <c r="Y6" s="1" t="str">
        <f t="shared" si="3"/>
        <v>False</v>
      </c>
      <c r="Z6" s="1" t="str">
        <f t="shared" si="3"/>
        <v>False</v>
      </c>
      <c r="AA6" s="1" t="str">
        <f t="shared" si="3"/>
        <v>False</v>
      </c>
      <c r="AB6" s="1" t="s">
        <v>443</v>
      </c>
      <c r="AC6" s="4">
        <f t="shared" ref="AC6:AH6" si="27">IF(ISNUMBER(SEARCH(AC$1,$AB6)), 1, 0)</f>
        <v>0</v>
      </c>
      <c r="AD6" s="4">
        <f t="shared" si="27"/>
        <v>1</v>
      </c>
      <c r="AE6" s="4">
        <f t="shared" si="27"/>
        <v>1</v>
      </c>
      <c r="AF6" s="4">
        <f t="shared" si="27"/>
        <v>1</v>
      </c>
      <c r="AG6" s="4">
        <f t="shared" si="27"/>
        <v>0</v>
      </c>
      <c r="AH6" s="4">
        <f t="shared" si="27"/>
        <v>1</v>
      </c>
      <c r="AI6" s="1">
        <f t="shared" si="5"/>
        <v>4</v>
      </c>
      <c r="AL6" s="4">
        <f t="shared" ref="AL6:AS6" si="28">IF(ISNUMBER(SEARCH(AL$1,$AK6)), 1, 0)</f>
        <v>0</v>
      </c>
      <c r="AM6" s="4">
        <f t="shared" si="28"/>
        <v>0</v>
      </c>
      <c r="AN6" s="4">
        <f t="shared" si="28"/>
        <v>0</v>
      </c>
      <c r="AO6" s="4">
        <f t="shared" si="28"/>
        <v>0</v>
      </c>
      <c r="AP6" s="4">
        <f t="shared" si="28"/>
        <v>0</v>
      </c>
      <c r="AQ6" s="4">
        <f t="shared" si="28"/>
        <v>0</v>
      </c>
      <c r="AR6" s="4">
        <f t="shared" si="28"/>
        <v>0</v>
      </c>
      <c r="AS6" s="4">
        <f t="shared" si="28"/>
        <v>0</v>
      </c>
      <c r="AV6" s="1">
        <f t="shared" si="7"/>
        <v>0</v>
      </c>
      <c r="AW6" s="1">
        <f t="shared" si="8"/>
        <v>0</v>
      </c>
      <c r="AX6" s="1">
        <f t="shared" si="9"/>
        <v>0</v>
      </c>
      <c r="BB6" s="4">
        <f t="shared" ref="BB6:BJ6" si="29">IF(ISNUMBER(SEARCH(BB$1,$BA6)), 1, 0)</f>
        <v>0</v>
      </c>
      <c r="BC6" s="4">
        <f t="shared" si="29"/>
        <v>0</v>
      </c>
      <c r="BD6" s="4">
        <f t="shared" si="29"/>
        <v>0</v>
      </c>
      <c r="BE6" s="4">
        <f t="shared" si="29"/>
        <v>0</v>
      </c>
      <c r="BF6" s="4">
        <f t="shared" si="29"/>
        <v>0</v>
      </c>
      <c r="BG6" s="4">
        <f t="shared" si="29"/>
        <v>0</v>
      </c>
      <c r="BH6" s="4">
        <f t="shared" si="29"/>
        <v>0</v>
      </c>
      <c r="BI6" s="4">
        <f t="shared" si="29"/>
        <v>0</v>
      </c>
      <c r="BJ6" s="4">
        <f t="shared" si="29"/>
        <v>0</v>
      </c>
      <c r="BK6" s="4">
        <f t="shared" si="11"/>
        <v>0</v>
      </c>
      <c r="BO6" s="4">
        <f t="shared" ref="BO6:BU6" si="30">IF(ISNUMBER(SEARCH(BO$1,$BN6)), 1, 0)</f>
        <v>0</v>
      </c>
      <c r="BP6" s="4">
        <f t="shared" si="30"/>
        <v>0</v>
      </c>
      <c r="BQ6" s="4">
        <f t="shared" si="30"/>
        <v>0</v>
      </c>
      <c r="BR6" s="4">
        <f t="shared" si="30"/>
        <v>0</v>
      </c>
      <c r="BS6" s="4">
        <f t="shared" si="30"/>
        <v>0</v>
      </c>
      <c r="BT6" s="4">
        <f t="shared" si="30"/>
        <v>0</v>
      </c>
      <c r="BU6" s="4">
        <f t="shared" si="30"/>
        <v>0</v>
      </c>
      <c r="CB6" s="1" t="s">
        <v>48</v>
      </c>
      <c r="CC6" s="1" t="s">
        <v>48</v>
      </c>
      <c r="CD6" s="1" t="s">
        <v>444</v>
      </c>
      <c r="CF6" s="1" t="s">
        <v>387</v>
      </c>
      <c r="CG6" s="1" t="s">
        <v>388</v>
      </c>
      <c r="CH6" s="1" t="s">
        <v>445</v>
      </c>
      <c r="CJ6" s="1" t="s">
        <v>446</v>
      </c>
      <c r="CL6" s="1" t="s">
        <v>447</v>
      </c>
      <c r="CM6" s="1" t="s">
        <v>48</v>
      </c>
      <c r="CN6" s="1" t="s">
        <v>448</v>
      </c>
      <c r="CR6" s="1" t="s">
        <v>449</v>
      </c>
      <c r="CU6" s="1" t="s">
        <v>449</v>
      </c>
      <c r="CX6" s="1" t="s">
        <v>450</v>
      </c>
      <c r="CZ6" s="1" t="s">
        <v>451</v>
      </c>
      <c r="DC6" s="1" t="s">
        <v>238</v>
      </c>
    </row>
    <row r="7" spans="1:107" ht="15.75" customHeight="1" x14ac:dyDescent="0.25">
      <c r="A7" s="1" t="b">
        <v>1</v>
      </c>
      <c r="B7" s="3">
        <v>46158.708622685182</v>
      </c>
      <c r="C7" s="1" t="s">
        <v>390</v>
      </c>
      <c r="D7" s="1" t="s">
        <v>391</v>
      </c>
      <c r="E7" s="4">
        <f t="shared" ref="E7:K7" si="31">IF(ISNUMBER(SEARCH(E$1,$D7)), SEARCH(E$1,$D7), 0)</f>
        <v>1</v>
      </c>
      <c r="F7" s="4">
        <f t="shared" si="31"/>
        <v>30</v>
      </c>
      <c r="G7" s="4">
        <f t="shared" si="31"/>
        <v>105</v>
      </c>
      <c r="H7" s="4">
        <f t="shared" si="31"/>
        <v>161</v>
      </c>
      <c r="I7" s="4">
        <f t="shared" si="31"/>
        <v>199</v>
      </c>
      <c r="J7" s="4">
        <f t="shared" si="31"/>
        <v>231</v>
      </c>
      <c r="K7" s="4">
        <f t="shared" si="31"/>
        <v>268</v>
      </c>
      <c r="L7" s="4">
        <f t="shared" si="1"/>
        <v>268</v>
      </c>
      <c r="N7" s="1" t="s">
        <v>160</v>
      </c>
      <c r="O7" s="4">
        <f t="shared" ref="O7:T7" si="32">IF(ISNUMBER(SEARCH(O$1,$N7)), 1, 0)</f>
        <v>1</v>
      </c>
      <c r="P7" s="4">
        <f t="shared" si="32"/>
        <v>1</v>
      </c>
      <c r="Q7" s="4">
        <f t="shared" si="32"/>
        <v>1</v>
      </c>
      <c r="R7" s="4">
        <f t="shared" si="32"/>
        <v>1</v>
      </c>
      <c r="S7" s="4">
        <f t="shared" si="32"/>
        <v>1</v>
      </c>
      <c r="T7" s="4">
        <f t="shared" si="32"/>
        <v>1</v>
      </c>
      <c r="W7" s="1" t="str">
        <f t="shared" si="3"/>
        <v>False</v>
      </c>
      <c r="X7" s="1" t="str">
        <f t="shared" si="3"/>
        <v>False</v>
      </c>
      <c r="Y7" s="1" t="str">
        <f t="shared" si="3"/>
        <v>False</v>
      </c>
      <c r="Z7" s="1" t="str">
        <f t="shared" si="3"/>
        <v>False</v>
      </c>
      <c r="AA7" s="1" t="str">
        <f t="shared" si="3"/>
        <v>False</v>
      </c>
      <c r="AB7" s="1" t="s">
        <v>392</v>
      </c>
      <c r="AC7" s="4">
        <f t="shared" ref="AC7:AH7" si="33">IF(ISNUMBER(SEARCH(AC$1,$AB7)), 1, 0)</f>
        <v>0</v>
      </c>
      <c r="AD7" s="4">
        <f t="shared" si="33"/>
        <v>1</v>
      </c>
      <c r="AE7" s="4">
        <f t="shared" si="33"/>
        <v>1</v>
      </c>
      <c r="AF7" s="4">
        <f t="shared" si="33"/>
        <v>0</v>
      </c>
      <c r="AG7" s="4">
        <f t="shared" si="33"/>
        <v>0</v>
      </c>
      <c r="AH7" s="4">
        <f t="shared" si="33"/>
        <v>0</v>
      </c>
      <c r="AI7" s="1">
        <f t="shared" si="5"/>
        <v>2</v>
      </c>
      <c r="AL7" s="4">
        <f t="shared" ref="AL7:AS7" si="34">IF(ISNUMBER(SEARCH(AL$1,$AK7)), 1, 0)</f>
        <v>0</v>
      </c>
      <c r="AM7" s="4">
        <f t="shared" si="34"/>
        <v>0</v>
      </c>
      <c r="AN7" s="4">
        <f t="shared" si="34"/>
        <v>0</v>
      </c>
      <c r="AO7" s="4">
        <f t="shared" si="34"/>
        <v>0</v>
      </c>
      <c r="AP7" s="4">
        <f t="shared" si="34"/>
        <v>0</v>
      </c>
      <c r="AQ7" s="4">
        <f t="shared" si="34"/>
        <v>0</v>
      </c>
      <c r="AR7" s="4">
        <f t="shared" si="34"/>
        <v>0</v>
      </c>
      <c r="AS7" s="4">
        <f t="shared" si="34"/>
        <v>0</v>
      </c>
      <c r="AV7" s="1">
        <f t="shared" si="7"/>
        <v>0</v>
      </c>
      <c r="AW7" s="1">
        <f t="shared" si="8"/>
        <v>0</v>
      </c>
      <c r="AX7" s="1">
        <f t="shared" si="9"/>
        <v>0</v>
      </c>
      <c r="BB7" s="4">
        <f t="shared" ref="BB7:BJ7" si="35">IF(ISNUMBER(SEARCH(BB$1,$BA7)), 1, 0)</f>
        <v>0</v>
      </c>
      <c r="BC7" s="4">
        <f t="shared" si="35"/>
        <v>0</v>
      </c>
      <c r="BD7" s="4">
        <f t="shared" si="35"/>
        <v>0</v>
      </c>
      <c r="BE7" s="4">
        <f t="shared" si="35"/>
        <v>0</v>
      </c>
      <c r="BF7" s="4">
        <f t="shared" si="35"/>
        <v>0</v>
      </c>
      <c r="BG7" s="4">
        <f t="shared" si="35"/>
        <v>0</v>
      </c>
      <c r="BH7" s="4">
        <f t="shared" si="35"/>
        <v>0</v>
      </c>
      <c r="BI7" s="4">
        <f t="shared" si="35"/>
        <v>0</v>
      </c>
      <c r="BJ7" s="4">
        <f t="shared" si="35"/>
        <v>0</v>
      </c>
      <c r="BK7" s="4">
        <f t="shared" si="11"/>
        <v>0</v>
      </c>
      <c r="BO7" s="4">
        <f t="shared" ref="BO7:BU7" si="36">IF(ISNUMBER(SEARCH(BO$1,$BN7)), 1, 0)</f>
        <v>0</v>
      </c>
      <c r="BP7" s="4">
        <f t="shared" si="36"/>
        <v>0</v>
      </c>
      <c r="BQ7" s="4">
        <f t="shared" si="36"/>
        <v>0</v>
      </c>
      <c r="BR7" s="4">
        <f t="shared" si="36"/>
        <v>0</v>
      </c>
      <c r="BS7" s="4">
        <f t="shared" si="36"/>
        <v>0</v>
      </c>
      <c r="BT7" s="4">
        <f t="shared" si="36"/>
        <v>0</v>
      </c>
      <c r="BU7" s="4">
        <f t="shared" si="36"/>
        <v>0</v>
      </c>
      <c r="CB7" s="1" t="s">
        <v>48</v>
      </c>
      <c r="CC7" s="1" t="s">
        <v>48</v>
      </c>
    </row>
    <row r="8" spans="1:107" ht="15.75" customHeight="1" x14ac:dyDescent="0.25">
      <c r="A8" s="1" t="b">
        <v>1</v>
      </c>
      <c r="B8" s="3">
        <v>46151.902384259258</v>
      </c>
      <c r="C8" s="1" t="s">
        <v>270</v>
      </c>
      <c r="D8" s="1" t="s">
        <v>271</v>
      </c>
      <c r="E8" s="4">
        <f t="shared" ref="E8:K8" si="37">IF(ISNUMBER(SEARCH(E$1,$D8)), SEARCH(E$1,$D8), 0)</f>
        <v>1</v>
      </c>
      <c r="F8" s="4">
        <f t="shared" si="37"/>
        <v>30</v>
      </c>
      <c r="G8" s="4">
        <f t="shared" si="37"/>
        <v>105</v>
      </c>
      <c r="H8" s="4">
        <f t="shared" si="37"/>
        <v>0</v>
      </c>
      <c r="I8" s="4">
        <f t="shared" si="37"/>
        <v>0</v>
      </c>
      <c r="J8" s="4">
        <f t="shared" si="37"/>
        <v>161</v>
      </c>
      <c r="K8" s="4">
        <f t="shared" si="37"/>
        <v>0</v>
      </c>
      <c r="L8" s="4">
        <f t="shared" si="1"/>
        <v>161</v>
      </c>
      <c r="N8" s="1" t="s">
        <v>272</v>
      </c>
      <c r="O8" s="4">
        <f t="shared" ref="O8:T8" si="38">IF(ISNUMBER(SEARCH(O$1,$N8)), 1, 0)</f>
        <v>1</v>
      </c>
      <c r="P8" s="4">
        <f t="shared" si="38"/>
        <v>1</v>
      </c>
      <c r="Q8" s="4">
        <f t="shared" si="38"/>
        <v>1</v>
      </c>
      <c r="R8" s="4">
        <f t="shared" si="38"/>
        <v>1</v>
      </c>
      <c r="S8" s="4">
        <f t="shared" si="38"/>
        <v>1</v>
      </c>
      <c r="T8" s="4">
        <f t="shared" si="38"/>
        <v>0</v>
      </c>
      <c r="V8" s="1" t="s">
        <v>24</v>
      </c>
      <c r="W8" s="1" t="str">
        <f t="shared" si="3"/>
        <v>False</v>
      </c>
      <c r="X8" s="1" t="str">
        <f t="shared" si="3"/>
        <v>False</v>
      </c>
      <c r="Y8" s="1" t="str">
        <f t="shared" si="3"/>
        <v>True</v>
      </c>
      <c r="Z8" s="1" t="str">
        <f t="shared" si="3"/>
        <v>False</v>
      </c>
      <c r="AA8" s="1" t="str">
        <f t="shared" si="3"/>
        <v>False</v>
      </c>
      <c r="AB8" s="1" t="s">
        <v>273</v>
      </c>
      <c r="AC8" s="4">
        <f t="shared" ref="AC8:AH8" si="39">IF(ISNUMBER(SEARCH(AC$1,$AB8)), 1, 0)</f>
        <v>0</v>
      </c>
      <c r="AD8" s="4">
        <f t="shared" si="39"/>
        <v>0</v>
      </c>
      <c r="AE8" s="4">
        <f t="shared" si="39"/>
        <v>0</v>
      </c>
      <c r="AF8" s="4">
        <f t="shared" si="39"/>
        <v>0</v>
      </c>
      <c r="AG8" s="4">
        <f t="shared" si="39"/>
        <v>1</v>
      </c>
      <c r="AH8" s="4">
        <f t="shared" si="39"/>
        <v>0</v>
      </c>
      <c r="AI8" s="1">
        <f t="shared" si="5"/>
        <v>1</v>
      </c>
      <c r="AJ8" s="1" t="s">
        <v>274</v>
      </c>
      <c r="AK8" s="1" t="s">
        <v>259</v>
      </c>
      <c r="AL8" s="4">
        <f t="shared" ref="AL8:AS8" si="40">IF(ISNUMBER(SEARCH(AL$1,$AK8)), 1, 0)</f>
        <v>1</v>
      </c>
      <c r="AM8" s="4">
        <f t="shared" si="40"/>
        <v>1</v>
      </c>
      <c r="AN8" s="4">
        <f t="shared" si="40"/>
        <v>0</v>
      </c>
      <c r="AO8" s="4">
        <f t="shared" si="40"/>
        <v>1</v>
      </c>
      <c r="AP8" s="4">
        <f t="shared" si="40"/>
        <v>0</v>
      </c>
      <c r="AQ8" s="4">
        <f t="shared" si="40"/>
        <v>0</v>
      </c>
      <c r="AR8" s="4">
        <f t="shared" si="40"/>
        <v>0</v>
      </c>
      <c r="AS8" s="4">
        <f t="shared" si="40"/>
        <v>0</v>
      </c>
      <c r="AU8" s="1" t="s">
        <v>48</v>
      </c>
      <c r="AV8" s="1">
        <f t="shared" si="7"/>
        <v>0</v>
      </c>
      <c r="AW8" s="1">
        <f t="shared" si="8"/>
        <v>1</v>
      </c>
      <c r="AX8" s="1">
        <f t="shared" si="9"/>
        <v>0</v>
      </c>
      <c r="AY8" s="1" t="s">
        <v>48</v>
      </c>
      <c r="BA8" s="1" t="s">
        <v>275</v>
      </c>
      <c r="BB8" s="4">
        <f t="shared" ref="BB8:BJ8" si="41">IF(ISNUMBER(SEARCH(BB$1,$BA8)), 1, 0)</f>
        <v>0</v>
      </c>
      <c r="BC8" s="4">
        <f t="shared" si="41"/>
        <v>1</v>
      </c>
      <c r="BD8" s="4">
        <f t="shared" si="41"/>
        <v>1</v>
      </c>
      <c r="BE8" s="4">
        <f t="shared" si="41"/>
        <v>1</v>
      </c>
      <c r="BF8" s="4">
        <f t="shared" si="41"/>
        <v>0</v>
      </c>
      <c r="BG8" s="4">
        <f t="shared" si="41"/>
        <v>0</v>
      </c>
      <c r="BH8" s="4">
        <f t="shared" si="41"/>
        <v>1</v>
      </c>
      <c r="BI8" s="4">
        <f t="shared" si="41"/>
        <v>1</v>
      </c>
      <c r="BJ8" s="4">
        <f t="shared" si="41"/>
        <v>1</v>
      </c>
      <c r="BK8" s="4">
        <f t="shared" si="11"/>
        <v>6</v>
      </c>
      <c r="BM8" s="1" t="s">
        <v>166</v>
      </c>
      <c r="BN8" s="1" t="s">
        <v>276</v>
      </c>
      <c r="BO8" s="4">
        <f t="shared" ref="BO8:BU8" si="42">IF(ISNUMBER(SEARCH(BO$1,$BN8)), 1, 0)</f>
        <v>1</v>
      </c>
      <c r="BP8" s="4">
        <f t="shared" si="42"/>
        <v>0</v>
      </c>
      <c r="BQ8" s="4">
        <f t="shared" si="42"/>
        <v>0</v>
      </c>
      <c r="BR8" s="4">
        <f t="shared" si="42"/>
        <v>1</v>
      </c>
      <c r="BS8" s="4">
        <f t="shared" si="42"/>
        <v>1</v>
      </c>
      <c r="BT8" s="4">
        <f t="shared" si="42"/>
        <v>0</v>
      </c>
      <c r="BU8" s="4">
        <f t="shared" si="42"/>
        <v>0</v>
      </c>
      <c r="BW8" s="1" t="s">
        <v>277</v>
      </c>
      <c r="BZ8" s="1" t="s">
        <v>278</v>
      </c>
      <c r="CR8" s="1" t="s">
        <v>178</v>
      </c>
      <c r="CT8" s="1" t="s">
        <v>279</v>
      </c>
      <c r="CU8" s="1" t="s">
        <v>280</v>
      </c>
      <c r="CW8" s="1" t="s">
        <v>281</v>
      </c>
      <c r="CX8" s="1" t="s">
        <v>282</v>
      </c>
      <c r="CZ8" s="1" t="s">
        <v>283</v>
      </c>
      <c r="DB8" s="1" t="s">
        <v>284</v>
      </c>
      <c r="DC8" s="1" t="s">
        <v>180</v>
      </c>
    </row>
    <row r="9" spans="1:107" ht="15.75" customHeight="1" x14ac:dyDescent="0.25">
      <c r="A9" s="1" t="b">
        <v>1</v>
      </c>
      <c r="B9" s="3">
        <v>46154.916574074072</v>
      </c>
      <c r="C9" s="1" t="s">
        <v>343</v>
      </c>
      <c r="D9" s="1" t="s">
        <v>344</v>
      </c>
      <c r="E9" s="4">
        <f t="shared" ref="E9:K9" si="43">IF(ISNUMBER(SEARCH(E$1,$D9)), SEARCH(E$1,$D9), 0)</f>
        <v>1</v>
      </c>
      <c r="F9" s="4">
        <f t="shared" si="43"/>
        <v>30</v>
      </c>
      <c r="G9" s="4">
        <f t="shared" si="43"/>
        <v>0</v>
      </c>
      <c r="H9" s="4">
        <f t="shared" si="43"/>
        <v>0</v>
      </c>
      <c r="I9" s="4">
        <f t="shared" si="43"/>
        <v>105</v>
      </c>
      <c r="J9" s="4">
        <f t="shared" si="43"/>
        <v>137</v>
      </c>
      <c r="K9" s="4">
        <f t="shared" si="43"/>
        <v>0</v>
      </c>
      <c r="L9" s="4">
        <f t="shared" si="1"/>
        <v>137</v>
      </c>
      <c r="N9" s="1" t="s">
        <v>328</v>
      </c>
      <c r="O9" s="4">
        <f t="shared" ref="O9:T9" si="44">IF(ISNUMBER(SEARCH(O$1,$N9)), 1, 0)</f>
        <v>1</v>
      </c>
      <c r="P9" s="4">
        <f t="shared" si="44"/>
        <v>1</v>
      </c>
      <c r="Q9" s="4">
        <f t="shared" si="44"/>
        <v>1</v>
      </c>
      <c r="R9" s="4">
        <f t="shared" si="44"/>
        <v>0</v>
      </c>
      <c r="S9" s="4">
        <f t="shared" si="44"/>
        <v>0</v>
      </c>
      <c r="T9" s="4">
        <f t="shared" si="44"/>
        <v>0</v>
      </c>
      <c r="V9" s="1" t="s">
        <v>23</v>
      </c>
      <c r="W9" s="1" t="str">
        <f t="shared" si="3"/>
        <v>False</v>
      </c>
      <c r="X9" s="1" t="str">
        <f t="shared" si="3"/>
        <v>True</v>
      </c>
      <c r="Y9" s="1" t="str">
        <f t="shared" si="3"/>
        <v>False</v>
      </c>
      <c r="Z9" s="1" t="str">
        <f t="shared" si="3"/>
        <v>False</v>
      </c>
      <c r="AA9" s="1" t="str">
        <f t="shared" si="3"/>
        <v>False</v>
      </c>
      <c r="AB9" s="1" t="s">
        <v>183</v>
      </c>
      <c r="AC9" s="4">
        <f t="shared" ref="AC9:AH9" si="45">IF(ISNUMBER(SEARCH(AC$1,$AB9)), 1, 0)</f>
        <v>0</v>
      </c>
      <c r="AD9" s="4">
        <f t="shared" si="45"/>
        <v>0</v>
      </c>
      <c r="AE9" s="4">
        <f t="shared" si="45"/>
        <v>0</v>
      </c>
      <c r="AF9" s="4">
        <f t="shared" si="45"/>
        <v>0</v>
      </c>
      <c r="AG9" s="4">
        <f t="shared" si="45"/>
        <v>0</v>
      </c>
      <c r="AH9" s="4">
        <f t="shared" si="45"/>
        <v>0</v>
      </c>
      <c r="AI9" s="1">
        <f t="shared" si="5"/>
        <v>0</v>
      </c>
      <c r="AJ9" s="1" t="s">
        <v>345</v>
      </c>
      <c r="AK9" s="1" t="s">
        <v>346</v>
      </c>
      <c r="AL9" s="4">
        <f t="shared" ref="AL9:AS9" si="46">IF(ISNUMBER(SEARCH(AL$1,$AK9)), 1, 0)</f>
        <v>0</v>
      </c>
      <c r="AM9" s="4">
        <f t="shared" si="46"/>
        <v>1</v>
      </c>
      <c r="AN9" s="4">
        <f t="shared" si="46"/>
        <v>1</v>
      </c>
      <c r="AO9" s="4">
        <f t="shared" si="46"/>
        <v>1</v>
      </c>
      <c r="AP9" s="4">
        <f t="shared" si="46"/>
        <v>0</v>
      </c>
      <c r="AQ9" s="4">
        <f t="shared" si="46"/>
        <v>0</v>
      </c>
      <c r="AR9" s="4">
        <f t="shared" si="46"/>
        <v>0</v>
      </c>
      <c r="AS9" s="4">
        <f t="shared" si="46"/>
        <v>0</v>
      </c>
      <c r="AU9" s="1" t="s">
        <v>47</v>
      </c>
      <c r="AV9" s="1">
        <f t="shared" si="7"/>
        <v>1</v>
      </c>
      <c r="AW9" s="1">
        <f t="shared" si="8"/>
        <v>0</v>
      </c>
      <c r="AX9" s="1">
        <f t="shared" si="9"/>
        <v>0</v>
      </c>
      <c r="AY9" s="1" t="s">
        <v>48</v>
      </c>
      <c r="BA9" s="1" t="s">
        <v>347</v>
      </c>
      <c r="BB9" s="4">
        <f t="shared" ref="BB9:BJ9" si="47">IF(ISNUMBER(SEARCH(BB$1,$BA9)), 1, 0)</f>
        <v>1</v>
      </c>
      <c r="BC9" s="4">
        <f t="shared" si="47"/>
        <v>0</v>
      </c>
      <c r="BD9" s="4">
        <f t="shared" si="47"/>
        <v>0</v>
      </c>
      <c r="BE9" s="4">
        <f t="shared" si="47"/>
        <v>0</v>
      </c>
      <c r="BF9" s="4">
        <f t="shared" si="47"/>
        <v>1</v>
      </c>
      <c r="BG9" s="4">
        <f t="shared" si="47"/>
        <v>0</v>
      </c>
      <c r="BH9" s="4">
        <f t="shared" si="47"/>
        <v>0</v>
      </c>
      <c r="BI9" s="4">
        <f t="shared" si="47"/>
        <v>0</v>
      </c>
      <c r="BJ9" s="4">
        <f t="shared" si="47"/>
        <v>1</v>
      </c>
      <c r="BK9" s="4">
        <f t="shared" si="11"/>
        <v>3</v>
      </c>
      <c r="BM9" s="1" t="s">
        <v>166</v>
      </c>
      <c r="BN9" s="1" t="s">
        <v>348</v>
      </c>
      <c r="BO9" s="4">
        <f t="shared" ref="BO9:BU9" si="48">IF(ISNUMBER(SEARCH(BO$1,$BN9)), 1, 0)</f>
        <v>0</v>
      </c>
      <c r="BP9" s="4">
        <f t="shared" si="48"/>
        <v>0</v>
      </c>
      <c r="BQ9" s="4">
        <f t="shared" si="48"/>
        <v>0</v>
      </c>
      <c r="BR9" s="4">
        <f t="shared" si="48"/>
        <v>0</v>
      </c>
      <c r="BS9" s="4">
        <f t="shared" si="48"/>
        <v>0</v>
      </c>
      <c r="BT9" s="4">
        <f t="shared" si="48"/>
        <v>1</v>
      </c>
      <c r="BU9" s="4">
        <f t="shared" si="48"/>
        <v>0</v>
      </c>
      <c r="BV9" s="1" t="s">
        <v>349</v>
      </c>
      <c r="CH9" s="1" t="s">
        <v>350</v>
      </c>
      <c r="CI9" s="1" t="s">
        <v>351</v>
      </c>
      <c r="CL9" s="1" t="s">
        <v>352</v>
      </c>
      <c r="CX9" s="1" t="s">
        <v>353</v>
      </c>
      <c r="CZ9" s="1" t="s">
        <v>354</v>
      </c>
      <c r="DB9" s="1" t="s">
        <v>355</v>
      </c>
      <c r="DC9" s="1" t="s">
        <v>180</v>
      </c>
    </row>
    <row r="10" spans="1:107" ht="15.75" customHeight="1" x14ac:dyDescent="0.25">
      <c r="A10" s="1" t="b">
        <v>1</v>
      </c>
      <c r="B10" s="3">
        <v>46171.379513888889</v>
      </c>
      <c r="C10" s="1" t="s">
        <v>775</v>
      </c>
      <c r="D10" s="1" t="s">
        <v>776</v>
      </c>
      <c r="E10" s="4">
        <f t="shared" ref="E10:K10" si="49">IF(ISNUMBER(SEARCH(E$1,$D10)), SEARCH(E$1,$D10), 0)</f>
        <v>0</v>
      </c>
      <c r="F10" s="4">
        <f t="shared" si="49"/>
        <v>1</v>
      </c>
      <c r="G10" s="4">
        <f t="shared" si="49"/>
        <v>76</v>
      </c>
      <c r="H10" s="4">
        <f t="shared" si="49"/>
        <v>0</v>
      </c>
      <c r="I10" s="4">
        <f t="shared" si="49"/>
        <v>0</v>
      </c>
      <c r="J10" s="4">
        <f t="shared" si="49"/>
        <v>132</v>
      </c>
      <c r="K10" s="4">
        <f t="shared" si="49"/>
        <v>0</v>
      </c>
      <c r="L10" s="4">
        <f t="shared" si="1"/>
        <v>132</v>
      </c>
      <c r="N10" s="1" t="s">
        <v>244</v>
      </c>
      <c r="O10" s="4">
        <f t="shared" ref="O10:T10" si="50">IF(ISNUMBER(SEARCH(O$1,$N10)), 1, 0)</f>
        <v>1</v>
      </c>
      <c r="P10" s="4">
        <f t="shared" si="50"/>
        <v>0</v>
      </c>
      <c r="Q10" s="4">
        <f t="shared" si="50"/>
        <v>1</v>
      </c>
      <c r="R10" s="4">
        <f t="shared" si="50"/>
        <v>1</v>
      </c>
      <c r="S10" s="4">
        <f t="shared" si="50"/>
        <v>0</v>
      </c>
      <c r="T10" s="4">
        <f t="shared" si="50"/>
        <v>0</v>
      </c>
      <c r="V10" s="1" t="s">
        <v>24</v>
      </c>
      <c r="W10" s="1" t="str">
        <f t="shared" si="3"/>
        <v>False</v>
      </c>
      <c r="X10" s="1" t="str">
        <f t="shared" si="3"/>
        <v>False</v>
      </c>
      <c r="Y10" s="1" t="str">
        <f t="shared" si="3"/>
        <v>True</v>
      </c>
      <c r="Z10" s="1" t="str">
        <f t="shared" si="3"/>
        <v>False</v>
      </c>
      <c r="AA10" s="1" t="str">
        <f t="shared" si="3"/>
        <v>False</v>
      </c>
      <c r="AB10" s="1" t="s">
        <v>28</v>
      </c>
      <c r="AC10" s="4">
        <f t="shared" ref="AC10:AH10" si="51">IF(ISNUMBER(SEARCH(AC$1,$AB10)), 1, 0)</f>
        <v>1</v>
      </c>
      <c r="AD10" s="4">
        <f t="shared" si="51"/>
        <v>0</v>
      </c>
      <c r="AE10" s="4">
        <f t="shared" si="51"/>
        <v>0</v>
      </c>
      <c r="AF10" s="4">
        <f t="shared" si="51"/>
        <v>0</v>
      </c>
      <c r="AG10" s="4">
        <f t="shared" si="51"/>
        <v>0</v>
      </c>
      <c r="AH10" s="4">
        <f t="shared" si="51"/>
        <v>0</v>
      </c>
      <c r="AI10" s="1">
        <f t="shared" si="5"/>
        <v>1</v>
      </c>
      <c r="AK10" s="1" t="s">
        <v>470</v>
      </c>
      <c r="AL10" s="4">
        <f t="shared" ref="AL10:AS10" si="52">IF(ISNUMBER(SEARCH(AL$1,$AK10)), 1, 0)</f>
        <v>0</v>
      </c>
      <c r="AM10" s="4">
        <f t="shared" si="52"/>
        <v>1</v>
      </c>
      <c r="AN10" s="4">
        <f t="shared" si="52"/>
        <v>0</v>
      </c>
      <c r="AO10" s="4">
        <f t="shared" si="52"/>
        <v>1</v>
      </c>
      <c r="AP10" s="4">
        <f t="shared" si="52"/>
        <v>0</v>
      </c>
      <c r="AQ10" s="4">
        <f t="shared" si="52"/>
        <v>1</v>
      </c>
      <c r="AR10" s="4">
        <f t="shared" si="52"/>
        <v>0</v>
      </c>
      <c r="AS10" s="4">
        <f t="shared" si="52"/>
        <v>0</v>
      </c>
      <c r="AU10" s="1" t="s">
        <v>48</v>
      </c>
      <c r="AV10" s="1">
        <f t="shared" si="7"/>
        <v>0</v>
      </c>
      <c r="AW10" s="1">
        <f t="shared" si="8"/>
        <v>1</v>
      </c>
      <c r="AX10" s="1">
        <f t="shared" si="9"/>
        <v>0</v>
      </c>
      <c r="AY10" s="1" t="s">
        <v>48</v>
      </c>
      <c r="BA10" s="1" t="s">
        <v>777</v>
      </c>
      <c r="BB10" s="4">
        <f t="shared" ref="BB10:BJ10" si="53">IF(ISNUMBER(SEARCH(BB$1,$BA10)), 1, 0)</f>
        <v>0</v>
      </c>
      <c r="BC10" s="4">
        <f t="shared" si="53"/>
        <v>0</v>
      </c>
      <c r="BD10" s="4">
        <f t="shared" si="53"/>
        <v>1</v>
      </c>
      <c r="BE10" s="4">
        <f t="shared" si="53"/>
        <v>1</v>
      </c>
      <c r="BF10" s="4">
        <f t="shared" si="53"/>
        <v>0</v>
      </c>
      <c r="BG10" s="4">
        <f t="shared" si="53"/>
        <v>0</v>
      </c>
      <c r="BH10" s="4">
        <f t="shared" si="53"/>
        <v>1</v>
      </c>
      <c r="BI10" s="4">
        <f t="shared" si="53"/>
        <v>0</v>
      </c>
      <c r="BJ10" s="4">
        <f t="shared" si="53"/>
        <v>0</v>
      </c>
      <c r="BK10" s="4">
        <f t="shared" si="11"/>
        <v>3</v>
      </c>
      <c r="BM10" s="1" t="s">
        <v>232</v>
      </c>
      <c r="BN10" s="1" t="s">
        <v>726</v>
      </c>
      <c r="BO10" s="4">
        <f t="shared" ref="BO10:BU10" si="54">IF(ISNUMBER(SEARCH(BO$1,$BN10)), 1, 0)</f>
        <v>0</v>
      </c>
      <c r="BP10" s="4">
        <f t="shared" si="54"/>
        <v>1</v>
      </c>
      <c r="BQ10" s="4">
        <f t="shared" si="54"/>
        <v>0</v>
      </c>
      <c r="BR10" s="4">
        <f t="shared" si="54"/>
        <v>1</v>
      </c>
      <c r="BS10" s="4">
        <f t="shared" si="54"/>
        <v>0</v>
      </c>
      <c r="BT10" s="4">
        <f t="shared" si="54"/>
        <v>0</v>
      </c>
      <c r="BU10" s="4">
        <f t="shared" si="54"/>
        <v>0</v>
      </c>
      <c r="BW10" s="1" t="s">
        <v>169</v>
      </c>
      <c r="BZ10" s="1" t="s">
        <v>465</v>
      </c>
      <c r="CR10" s="1" t="s">
        <v>250</v>
      </c>
      <c r="CT10" s="1" t="s">
        <v>778</v>
      </c>
      <c r="CU10" s="1" t="s">
        <v>250</v>
      </c>
      <c r="CX10" s="1" t="s">
        <v>779</v>
      </c>
      <c r="CY10" s="1" t="s">
        <v>780</v>
      </c>
      <c r="CZ10" s="1" t="s">
        <v>250</v>
      </c>
      <c r="DC10" s="1" t="s">
        <v>180</v>
      </c>
    </row>
    <row r="11" spans="1:107" ht="15.75" customHeight="1" x14ac:dyDescent="0.25">
      <c r="A11" s="1" t="b">
        <v>0</v>
      </c>
      <c r="B11" s="3">
        <v>46167.593252314815</v>
      </c>
      <c r="C11" s="1" t="s">
        <v>701</v>
      </c>
      <c r="D11" s="1" t="s">
        <v>702</v>
      </c>
      <c r="E11" s="4">
        <f t="shared" ref="E11:K11" si="55">IF(ISNUMBER(SEARCH(E$1,$D11)), SEARCH(E$1,$D11), 0)</f>
        <v>1</v>
      </c>
      <c r="F11" s="4">
        <f t="shared" si="55"/>
        <v>0</v>
      </c>
      <c r="G11" s="4">
        <f t="shared" si="55"/>
        <v>30</v>
      </c>
      <c r="H11" s="4">
        <f t="shared" si="55"/>
        <v>0</v>
      </c>
      <c r="I11" s="4">
        <f t="shared" si="55"/>
        <v>0</v>
      </c>
      <c r="J11" s="4">
        <f t="shared" si="55"/>
        <v>86</v>
      </c>
      <c r="K11" s="4">
        <f t="shared" si="55"/>
        <v>0</v>
      </c>
      <c r="L11" s="4">
        <f t="shared" si="1"/>
        <v>86</v>
      </c>
      <c r="N11" s="1" t="s">
        <v>316</v>
      </c>
      <c r="O11" s="4">
        <f t="shared" ref="O11:T11" si="56">IF(ISNUMBER(SEARCH(O$1,$N11)), 1, 0)</f>
        <v>1</v>
      </c>
      <c r="P11" s="4">
        <f t="shared" si="56"/>
        <v>0</v>
      </c>
      <c r="Q11" s="4">
        <f t="shared" si="56"/>
        <v>1</v>
      </c>
      <c r="R11" s="4">
        <f t="shared" si="56"/>
        <v>0</v>
      </c>
      <c r="S11" s="4">
        <f t="shared" si="56"/>
        <v>0</v>
      </c>
      <c r="T11" s="4">
        <f t="shared" si="56"/>
        <v>0</v>
      </c>
      <c r="W11" s="1" t="str">
        <f t="shared" si="3"/>
        <v>False</v>
      </c>
      <c r="X11" s="1" t="str">
        <f t="shared" si="3"/>
        <v>False</v>
      </c>
      <c r="Y11" s="1" t="str">
        <f t="shared" si="3"/>
        <v>False</v>
      </c>
      <c r="Z11" s="1" t="str">
        <f t="shared" si="3"/>
        <v>False</v>
      </c>
      <c r="AA11" s="1" t="str">
        <f t="shared" si="3"/>
        <v>False</v>
      </c>
      <c r="AC11" s="4">
        <f t="shared" ref="AC11:AH11" si="57">IF(ISNUMBER(SEARCH(AC$1,$AB11)), 1, 0)</f>
        <v>0</v>
      </c>
      <c r="AD11" s="4">
        <f t="shared" si="57"/>
        <v>0</v>
      </c>
      <c r="AE11" s="4">
        <f t="shared" si="57"/>
        <v>0</v>
      </c>
      <c r="AF11" s="4">
        <f t="shared" si="57"/>
        <v>0</v>
      </c>
      <c r="AG11" s="4">
        <f t="shared" si="57"/>
        <v>0</v>
      </c>
      <c r="AH11" s="4">
        <f t="shared" si="57"/>
        <v>0</v>
      </c>
      <c r="AI11" s="1">
        <f t="shared" si="5"/>
        <v>0</v>
      </c>
      <c r="AL11" s="4">
        <f t="shared" ref="AL11:AS11" si="58">IF(ISNUMBER(SEARCH(AL$1,$AK11)), 1, 0)</f>
        <v>0</v>
      </c>
      <c r="AM11" s="4">
        <f t="shared" si="58"/>
        <v>0</v>
      </c>
      <c r="AN11" s="4">
        <f t="shared" si="58"/>
        <v>0</v>
      </c>
      <c r="AO11" s="4">
        <f t="shared" si="58"/>
        <v>0</v>
      </c>
      <c r="AP11" s="4">
        <f t="shared" si="58"/>
        <v>0</v>
      </c>
      <c r="AQ11" s="4">
        <f t="shared" si="58"/>
        <v>0</v>
      </c>
      <c r="AR11" s="4">
        <f t="shared" si="58"/>
        <v>0</v>
      </c>
      <c r="AS11" s="4">
        <f t="shared" si="58"/>
        <v>0</v>
      </c>
      <c r="AV11" s="1">
        <f t="shared" si="7"/>
        <v>0</v>
      </c>
      <c r="AW11" s="1">
        <f t="shared" si="8"/>
        <v>0</v>
      </c>
      <c r="AX11" s="1">
        <f t="shared" si="9"/>
        <v>0</v>
      </c>
      <c r="BB11" s="4">
        <f t="shared" ref="BB11:BJ11" si="59">IF(ISNUMBER(SEARCH(BB$1,$BA11)), 1, 0)</f>
        <v>0</v>
      </c>
      <c r="BC11" s="4">
        <f t="shared" si="59"/>
        <v>0</v>
      </c>
      <c r="BD11" s="4">
        <f t="shared" si="59"/>
        <v>0</v>
      </c>
      <c r="BE11" s="4">
        <f t="shared" si="59"/>
        <v>0</v>
      </c>
      <c r="BF11" s="4">
        <f t="shared" si="59"/>
        <v>0</v>
      </c>
      <c r="BG11" s="4">
        <f t="shared" si="59"/>
        <v>0</v>
      </c>
      <c r="BH11" s="4">
        <f t="shared" si="59"/>
        <v>0</v>
      </c>
      <c r="BI11" s="4">
        <f t="shared" si="59"/>
        <v>0</v>
      </c>
      <c r="BJ11" s="4">
        <f t="shared" si="59"/>
        <v>0</v>
      </c>
      <c r="BK11" s="4">
        <f t="shared" si="11"/>
        <v>0</v>
      </c>
      <c r="BO11" s="4">
        <f t="shared" ref="BO11:BU11" si="60">IF(ISNUMBER(SEARCH(BO$1,$BN11)), 1, 0)</f>
        <v>0</v>
      </c>
      <c r="BP11" s="4">
        <f t="shared" si="60"/>
        <v>0</v>
      </c>
      <c r="BQ11" s="4">
        <f t="shared" si="60"/>
        <v>0</v>
      </c>
      <c r="BR11" s="4">
        <f t="shared" si="60"/>
        <v>0</v>
      </c>
      <c r="BS11" s="4">
        <f t="shared" si="60"/>
        <v>0</v>
      </c>
      <c r="BT11" s="4">
        <f t="shared" si="60"/>
        <v>0</v>
      </c>
      <c r="BU11" s="4">
        <f t="shared" si="60"/>
        <v>0</v>
      </c>
    </row>
    <row r="12" spans="1:107" ht="15.75" customHeight="1" x14ac:dyDescent="0.25">
      <c r="A12" s="1" t="b">
        <v>1</v>
      </c>
      <c r="B12" s="3">
        <v>46149.201261574075</v>
      </c>
      <c r="C12" s="1" t="s">
        <v>158</v>
      </c>
      <c r="D12" s="1" t="s">
        <v>159</v>
      </c>
      <c r="E12" s="4">
        <f t="shared" ref="E12:K12" si="61">IF(ISNUMBER(SEARCH(E$1,$D12)), SEARCH(E$1,$D12), 0)</f>
        <v>1</v>
      </c>
      <c r="F12" s="4">
        <f t="shared" si="61"/>
        <v>0</v>
      </c>
      <c r="G12" s="4">
        <f t="shared" si="61"/>
        <v>0</v>
      </c>
      <c r="H12" s="4">
        <f t="shared" si="61"/>
        <v>0</v>
      </c>
      <c r="I12" s="4">
        <f t="shared" si="61"/>
        <v>30</v>
      </c>
      <c r="J12" s="4">
        <f t="shared" si="61"/>
        <v>62</v>
      </c>
      <c r="K12" s="4">
        <f t="shared" si="61"/>
        <v>0</v>
      </c>
      <c r="L12" s="4">
        <f t="shared" si="1"/>
        <v>62</v>
      </c>
      <c r="N12" s="1" t="s">
        <v>160</v>
      </c>
      <c r="O12" s="4">
        <f t="shared" ref="O12:T12" si="62">IF(ISNUMBER(SEARCH(O$1,$N12)), 1, 0)</f>
        <v>1</v>
      </c>
      <c r="P12" s="4">
        <f t="shared" si="62"/>
        <v>1</v>
      </c>
      <c r="Q12" s="4">
        <f t="shared" si="62"/>
        <v>1</v>
      </c>
      <c r="R12" s="4">
        <f t="shared" si="62"/>
        <v>1</v>
      </c>
      <c r="S12" s="4">
        <f t="shared" si="62"/>
        <v>1</v>
      </c>
      <c r="T12" s="4">
        <f t="shared" si="62"/>
        <v>1</v>
      </c>
      <c r="U12" s="1" t="s">
        <v>161</v>
      </c>
      <c r="W12" s="1" t="str">
        <f t="shared" si="3"/>
        <v>False</v>
      </c>
      <c r="X12" s="1" t="str">
        <f t="shared" si="3"/>
        <v>False</v>
      </c>
      <c r="Y12" s="1" t="str">
        <f t="shared" si="3"/>
        <v>False</v>
      </c>
      <c r="Z12" s="1" t="str">
        <f t="shared" si="3"/>
        <v>False</v>
      </c>
      <c r="AA12" s="1" t="str">
        <f t="shared" si="3"/>
        <v>False</v>
      </c>
      <c r="AB12" s="1" t="s">
        <v>162</v>
      </c>
      <c r="AC12" s="4">
        <f t="shared" ref="AC12:AH12" si="63">IF(ISNUMBER(SEARCH(AC$1,$AB12)), 1, 0)</f>
        <v>1</v>
      </c>
      <c r="AD12" s="4">
        <f t="shared" si="63"/>
        <v>1</v>
      </c>
      <c r="AE12" s="4">
        <f t="shared" si="63"/>
        <v>0</v>
      </c>
      <c r="AF12" s="4">
        <f t="shared" si="63"/>
        <v>0</v>
      </c>
      <c r="AG12" s="4">
        <f t="shared" si="63"/>
        <v>0</v>
      </c>
      <c r="AH12" s="4">
        <f t="shared" si="63"/>
        <v>0</v>
      </c>
      <c r="AI12" s="1">
        <f t="shared" si="5"/>
        <v>2</v>
      </c>
      <c r="AJ12" s="1" t="s">
        <v>163</v>
      </c>
      <c r="AK12" s="1" t="s">
        <v>164</v>
      </c>
      <c r="AL12" s="4">
        <f t="shared" ref="AL12:AS12" si="64">IF(ISNUMBER(SEARCH(AL$1,$AK12)), 1, 0)</f>
        <v>0</v>
      </c>
      <c r="AM12" s="4">
        <f t="shared" si="64"/>
        <v>1</v>
      </c>
      <c r="AN12" s="4">
        <f t="shared" si="64"/>
        <v>0</v>
      </c>
      <c r="AO12" s="4">
        <f t="shared" si="64"/>
        <v>1</v>
      </c>
      <c r="AP12" s="4">
        <f t="shared" si="64"/>
        <v>0</v>
      </c>
      <c r="AQ12" s="4">
        <f t="shared" si="64"/>
        <v>1</v>
      </c>
      <c r="AR12" s="4">
        <f t="shared" si="64"/>
        <v>1</v>
      </c>
      <c r="AS12" s="4">
        <f t="shared" si="64"/>
        <v>0</v>
      </c>
      <c r="AU12" s="1" t="s">
        <v>48</v>
      </c>
      <c r="AV12" s="1">
        <f t="shared" si="7"/>
        <v>0</v>
      </c>
      <c r="AW12" s="1">
        <f t="shared" si="8"/>
        <v>1</v>
      </c>
      <c r="AX12" s="1">
        <f t="shared" si="9"/>
        <v>0</v>
      </c>
      <c r="AY12" s="1" t="s">
        <v>48</v>
      </c>
      <c r="BA12" s="1" t="s">
        <v>165</v>
      </c>
      <c r="BB12" s="4">
        <f t="shared" ref="BB12:BJ12" si="65">IF(ISNUMBER(SEARCH(BB$1,$BA12)), 1, 0)</f>
        <v>1</v>
      </c>
      <c r="BC12" s="4">
        <f t="shared" si="65"/>
        <v>1</v>
      </c>
      <c r="BD12" s="4">
        <f t="shared" si="65"/>
        <v>1</v>
      </c>
      <c r="BE12" s="4">
        <f t="shared" si="65"/>
        <v>1</v>
      </c>
      <c r="BF12" s="4">
        <f t="shared" si="65"/>
        <v>1</v>
      </c>
      <c r="BG12" s="4">
        <f t="shared" si="65"/>
        <v>1</v>
      </c>
      <c r="BH12" s="4">
        <f t="shared" si="65"/>
        <v>1</v>
      </c>
      <c r="BI12" s="4">
        <f t="shared" si="65"/>
        <v>1</v>
      </c>
      <c r="BJ12" s="4">
        <f t="shared" si="65"/>
        <v>1</v>
      </c>
      <c r="BK12" s="4">
        <f t="shared" si="11"/>
        <v>9</v>
      </c>
      <c r="BM12" s="1" t="s">
        <v>166</v>
      </c>
      <c r="BN12" s="1" t="s">
        <v>167</v>
      </c>
      <c r="BO12" s="4">
        <f t="shared" ref="BO12:BU12" si="66">IF(ISNUMBER(SEARCH(BO$1,$BN12)), 1, 0)</f>
        <v>1</v>
      </c>
      <c r="BP12" s="4">
        <f t="shared" si="66"/>
        <v>1</v>
      </c>
      <c r="BQ12" s="4">
        <f t="shared" si="66"/>
        <v>0</v>
      </c>
      <c r="BR12" s="4">
        <f t="shared" si="66"/>
        <v>1</v>
      </c>
      <c r="BS12" s="4">
        <f t="shared" si="66"/>
        <v>1</v>
      </c>
      <c r="BT12" s="4">
        <f t="shared" si="66"/>
        <v>1</v>
      </c>
      <c r="BU12" s="4">
        <f t="shared" si="66"/>
        <v>0</v>
      </c>
      <c r="BV12" s="1" t="s">
        <v>168</v>
      </c>
      <c r="BW12" s="1" t="s">
        <v>169</v>
      </c>
      <c r="BY12" s="1" t="s">
        <v>170</v>
      </c>
      <c r="BZ12" s="1" t="s">
        <v>171</v>
      </c>
      <c r="CA12" s="1" t="s">
        <v>172</v>
      </c>
      <c r="CH12" s="1" t="s">
        <v>173</v>
      </c>
      <c r="CI12" s="1" t="s">
        <v>174</v>
      </c>
      <c r="CJ12" s="1" t="s">
        <v>175</v>
      </c>
      <c r="CK12" s="1" t="s">
        <v>176</v>
      </c>
      <c r="CL12" s="1" t="s">
        <v>177</v>
      </c>
      <c r="CR12" s="1" t="s">
        <v>178</v>
      </c>
      <c r="CT12" s="1" t="s">
        <v>179</v>
      </c>
      <c r="DC12" s="1" t="s">
        <v>180</v>
      </c>
    </row>
    <row r="13" spans="1:107" ht="15.75" customHeight="1" x14ac:dyDescent="0.25">
      <c r="A13" s="1" t="b">
        <v>1</v>
      </c>
      <c r="B13" s="3">
        <v>46150.957337962966</v>
      </c>
      <c r="C13" s="1" t="s">
        <v>221</v>
      </c>
      <c r="D13" s="1" t="s">
        <v>159</v>
      </c>
      <c r="E13" s="4">
        <f t="shared" ref="E13:K13" si="67">IF(ISNUMBER(SEARCH(E$1,$D13)), SEARCH(E$1,$D13), 0)</f>
        <v>1</v>
      </c>
      <c r="F13" s="4">
        <f t="shared" si="67"/>
        <v>0</v>
      </c>
      <c r="G13" s="4">
        <f t="shared" si="67"/>
        <v>0</v>
      </c>
      <c r="H13" s="4">
        <f t="shared" si="67"/>
        <v>0</v>
      </c>
      <c r="I13" s="4">
        <f t="shared" si="67"/>
        <v>30</v>
      </c>
      <c r="J13" s="4">
        <f t="shared" si="67"/>
        <v>62</v>
      </c>
      <c r="K13" s="4">
        <f t="shared" si="67"/>
        <v>0</v>
      </c>
      <c r="L13" s="4">
        <f t="shared" si="1"/>
        <v>62</v>
      </c>
      <c r="N13" s="1" t="s">
        <v>222</v>
      </c>
      <c r="O13" s="4">
        <f t="shared" ref="O13:T13" si="68">IF(ISNUMBER(SEARCH(O$1,$N13)), 1, 0)</f>
        <v>0</v>
      </c>
      <c r="P13" s="4">
        <f t="shared" si="68"/>
        <v>1</v>
      </c>
      <c r="Q13" s="4">
        <f t="shared" si="68"/>
        <v>0</v>
      </c>
      <c r="R13" s="4">
        <f t="shared" si="68"/>
        <v>1</v>
      </c>
      <c r="S13" s="4">
        <f t="shared" si="68"/>
        <v>0</v>
      </c>
      <c r="T13" s="4">
        <f t="shared" si="68"/>
        <v>0</v>
      </c>
      <c r="V13" s="1" t="s">
        <v>22</v>
      </c>
      <c r="W13" s="1" t="str">
        <f t="shared" si="3"/>
        <v>True</v>
      </c>
      <c r="X13" s="1" t="str">
        <f t="shared" si="3"/>
        <v>False</v>
      </c>
      <c r="Y13" s="1" t="str">
        <f t="shared" si="3"/>
        <v>False</v>
      </c>
      <c r="Z13" s="1" t="str">
        <f t="shared" si="3"/>
        <v>False</v>
      </c>
      <c r="AA13" s="1" t="str">
        <f t="shared" si="3"/>
        <v>False</v>
      </c>
      <c r="AB13" s="1" t="s">
        <v>183</v>
      </c>
      <c r="AC13" s="4">
        <f t="shared" ref="AC13:AH13" si="69">IF(ISNUMBER(SEARCH(AC$1,$AB13)), 1, 0)</f>
        <v>0</v>
      </c>
      <c r="AD13" s="4">
        <f t="shared" si="69"/>
        <v>0</v>
      </c>
      <c r="AE13" s="4">
        <f t="shared" si="69"/>
        <v>0</v>
      </c>
      <c r="AF13" s="4">
        <f t="shared" si="69"/>
        <v>0</v>
      </c>
      <c r="AG13" s="4">
        <f t="shared" si="69"/>
        <v>0</v>
      </c>
      <c r="AH13" s="4">
        <f t="shared" si="69"/>
        <v>0</v>
      </c>
      <c r="AI13" s="1">
        <f t="shared" si="5"/>
        <v>0</v>
      </c>
      <c r="AJ13" s="1" t="s">
        <v>223</v>
      </c>
      <c r="AK13" s="1" t="s">
        <v>224</v>
      </c>
      <c r="AL13" s="4">
        <f t="shared" ref="AL13:AS13" si="70">IF(ISNUMBER(SEARCH(AL$1,$AK13)), 1, 0)</f>
        <v>1</v>
      </c>
      <c r="AM13" s="4">
        <f t="shared" si="70"/>
        <v>0</v>
      </c>
      <c r="AN13" s="4">
        <f t="shared" si="70"/>
        <v>1</v>
      </c>
      <c r="AO13" s="4">
        <f t="shared" si="70"/>
        <v>0</v>
      </c>
      <c r="AP13" s="4">
        <f t="shared" si="70"/>
        <v>0</v>
      </c>
      <c r="AQ13" s="4">
        <f t="shared" si="70"/>
        <v>1</v>
      </c>
      <c r="AR13" s="4">
        <f t="shared" si="70"/>
        <v>0</v>
      </c>
      <c r="AS13" s="4">
        <f t="shared" si="70"/>
        <v>0</v>
      </c>
      <c r="AU13" s="1" t="s">
        <v>47</v>
      </c>
      <c r="AV13" s="1">
        <f t="shared" si="7"/>
        <v>1</v>
      </c>
      <c r="AW13" s="1">
        <f t="shared" si="8"/>
        <v>0</v>
      </c>
      <c r="AX13" s="1">
        <f t="shared" si="9"/>
        <v>0</v>
      </c>
      <c r="AY13" s="1" t="s">
        <v>47</v>
      </c>
      <c r="AZ13" s="1" t="s">
        <v>48</v>
      </c>
      <c r="BA13" s="1" t="s">
        <v>225</v>
      </c>
      <c r="BB13" s="4">
        <f t="shared" ref="BB13:BJ13" si="71">IF(ISNUMBER(SEARCH(BB$1,$BA13)), 1, 0)</f>
        <v>0</v>
      </c>
      <c r="BC13" s="4">
        <f t="shared" si="71"/>
        <v>0</v>
      </c>
      <c r="BD13" s="4">
        <f t="shared" si="71"/>
        <v>0</v>
      </c>
      <c r="BE13" s="4">
        <f t="shared" si="71"/>
        <v>1</v>
      </c>
      <c r="BF13" s="4">
        <f t="shared" si="71"/>
        <v>0</v>
      </c>
      <c r="BG13" s="4">
        <f t="shared" si="71"/>
        <v>0</v>
      </c>
      <c r="BH13" s="4">
        <f t="shared" si="71"/>
        <v>0</v>
      </c>
      <c r="BI13" s="4">
        <f t="shared" si="71"/>
        <v>0</v>
      </c>
      <c r="BJ13" s="4">
        <f t="shared" si="71"/>
        <v>1</v>
      </c>
      <c r="BK13" s="4">
        <f t="shared" si="11"/>
        <v>2</v>
      </c>
      <c r="BO13" s="4">
        <f t="shared" ref="BO13:BU13" si="72">IF(ISNUMBER(SEARCH(BO$1,$BN13)), 1, 0)</f>
        <v>0</v>
      </c>
      <c r="BP13" s="4">
        <f t="shared" si="72"/>
        <v>0</v>
      </c>
      <c r="BQ13" s="4">
        <f t="shared" si="72"/>
        <v>0</v>
      </c>
      <c r="BR13" s="4">
        <f t="shared" si="72"/>
        <v>0</v>
      </c>
      <c r="BS13" s="4">
        <f t="shared" si="72"/>
        <v>0</v>
      </c>
      <c r="BT13" s="4">
        <f t="shared" si="72"/>
        <v>0</v>
      </c>
      <c r="BU13" s="4">
        <f t="shared" si="72"/>
        <v>0</v>
      </c>
    </row>
    <row r="14" spans="1:107" ht="15.75" customHeight="1" x14ac:dyDescent="0.25">
      <c r="A14" s="1" t="b">
        <v>1</v>
      </c>
      <c r="B14" s="3">
        <v>46167.016828703701</v>
      </c>
      <c r="C14" s="1" t="s">
        <v>664</v>
      </c>
      <c r="D14" s="1" t="s">
        <v>159</v>
      </c>
      <c r="E14" s="4">
        <f t="shared" ref="E14:K14" si="73">IF(ISNUMBER(SEARCH(E$1,$D14)), SEARCH(E$1,$D14), 0)</f>
        <v>1</v>
      </c>
      <c r="F14" s="4">
        <f t="shared" si="73"/>
        <v>0</v>
      </c>
      <c r="G14" s="4">
        <f t="shared" si="73"/>
        <v>0</v>
      </c>
      <c r="H14" s="4">
        <f t="shared" si="73"/>
        <v>0</v>
      </c>
      <c r="I14" s="4">
        <f t="shared" si="73"/>
        <v>30</v>
      </c>
      <c r="J14" s="4">
        <f t="shared" si="73"/>
        <v>62</v>
      </c>
      <c r="K14" s="4">
        <f t="shared" si="73"/>
        <v>0</v>
      </c>
      <c r="L14" s="4">
        <f t="shared" si="1"/>
        <v>62</v>
      </c>
      <c r="N14" s="1" t="s">
        <v>328</v>
      </c>
      <c r="O14" s="4">
        <f t="shared" ref="O14:T14" si="74">IF(ISNUMBER(SEARCH(O$1,$N14)), 1, 0)</f>
        <v>1</v>
      </c>
      <c r="P14" s="4">
        <f t="shared" si="74"/>
        <v>1</v>
      </c>
      <c r="Q14" s="4">
        <f t="shared" si="74"/>
        <v>1</v>
      </c>
      <c r="R14" s="4">
        <f t="shared" si="74"/>
        <v>0</v>
      </c>
      <c r="S14" s="4">
        <f t="shared" si="74"/>
        <v>0</v>
      </c>
      <c r="T14" s="4">
        <f t="shared" si="74"/>
        <v>0</v>
      </c>
      <c r="W14" s="1" t="str">
        <f t="shared" si="3"/>
        <v>False</v>
      </c>
      <c r="X14" s="1" t="str">
        <f t="shared" si="3"/>
        <v>False</v>
      </c>
      <c r="Y14" s="1" t="str">
        <f t="shared" si="3"/>
        <v>False</v>
      </c>
      <c r="Z14" s="1" t="str">
        <f t="shared" si="3"/>
        <v>False</v>
      </c>
      <c r="AA14" s="1" t="str">
        <f t="shared" si="3"/>
        <v>False</v>
      </c>
      <c r="AB14" s="1" t="s">
        <v>31</v>
      </c>
      <c r="AC14" s="4">
        <f t="shared" ref="AC14:AH14" si="75">IF(ISNUMBER(SEARCH(AC$1,$AB14)), 1, 0)</f>
        <v>0</v>
      </c>
      <c r="AD14" s="4">
        <f t="shared" si="75"/>
        <v>0</v>
      </c>
      <c r="AE14" s="4">
        <f t="shared" si="75"/>
        <v>0</v>
      </c>
      <c r="AF14" s="4">
        <f t="shared" si="75"/>
        <v>1</v>
      </c>
      <c r="AG14" s="4">
        <f t="shared" si="75"/>
        <v>0</v>
      </c>
      <c r="AH14" s="4">
        <f t="shared" si="75"/>
        <v>0</v>
      </c>
      <c r="AI14" s="1">
        <f t="shared" si="5"/>
        <v>1</v>
      </c>
      <c r="AK14" s="1" t="s">
        <v>288</v>
      </c>
      <c r="AL14" s="4">
        <f t="shared" ref="AL14:AS14" si="76">IF(ISNUMBER(SEARCH(AL$1,$AK14)), 1, 0)</f>
        <v>0</v>
      </c>
      <c r="AM14" s="4">
        <f t="shared" si="76"/>
        <v>1</v>
      </c>
      <c r="AN14" s="4">
        <f t="shared" si="76"/>
        <v>0</v>
      </c>
      <c r="AO14" s="4">
        <f t="shared" si="76"/>
        <v>1</v>
      </c>
      <c r="AP14" s="4">
        <f t="shared" si="76"/>
        <v>0</v>
      </c>
      <c r="AQ14" s="4">
        <f t="shared" si="76"/>
        <v>0</v>
      </c>
      <c r="AR14" s="4">
        <f t="shared" si="76"/>
        <v>0</v>
      </c>
      <c r="AS14" s="4">
        <f t="shared" si="76"/>
        <v>0</v>
      </c>
      <c r="AU14" s="1" t="s">
        <v>47</v>
      </c>
      <c r="AV14" s="1">
        <f t="shared" si="7"/>
        <v>1</v>
      </c>
      <c r="AW14" s="1">
        <f t="shared" si="8"/>
        <v>0</v>
      </c>
      <c r="AX14" s="1">
        <f t="shared" si="9"/>
        <v>0</v>
      </c>
      <c r="AY14" s="1" t="s">
        <v>48</v>
      </c>
      <c r="BA14" s="1" t="s">
        <v>665</v>
      </c>
      <c r="BB14" s="4">
        <f t="shared" ref="BB14:BJ14" si="77">IF(ISNUMBER(SEARCH(BB$1,$BA14)), 1, 0)</f>
        <v>0</v>
      </c>
      <c r="BC14" s="4">
        <f t="shared" si="77"/>
        <v>0</v>
      </c>
      <c r="BD14" s="4">
        <f t="shared" si="77"/>
        <v>0</v>
      </c>
      <c r="BE14" s="4">
        <f t="shared" si="77"/>
        <v>1</v>
      </c>
      <c r="BF14" s="4">
        <f t="shared" si="77"/>
        <v>0</v>
      </c>
      <c r="BG14" s="4">
        <f t="shared" si="77"/>
        <v>0</v>
      </c>
      <c r="BH14" s="4">
        <f t="shared" si="77"/>
        <v>0</v>
      </c>
      <c r="BI14" s="4">
        <f t="shared" si="77"/>
        <v>1</v>
      </c>
      <c r="BJ14" s="4">
        <f t="shared" si="77"/>
        <v>1</v>
      </c>
      <c r="BK14" s="4">
        <f t="shared" si="11"/>
        <v>3</v>
      </c>
      <c r="BM14" s="1" t="s">
        <v>232</v>
      </c>
      <c r="BN14" s="1" t="s">
        <v>666</v>
      </c>
      <c r="BO14" s="4">
        <f t="shared" ref="BO14:BU14" si="78">IF(ISNUMBER(SEARCH(BO$1,$BN14)), 1, 0)</f>
        <v>0</v>
      </c>
      <c r="BP14" s="4">
        <f t="shared" si="78"/>
        <v>0</v>
      </c>
      <c r="BQ14" s="4">
        <f t="shared" si="78"/>
        <v>0</v>
      </c>
      <c r="BR14" s="4">
        <f t="shared" si="78"/>
        <v>1</v>
      </c>
      <c r="BS14" s="4">
        <f t="shared" si="78"/>
        <v>1</v>
      </c>
      <c r="BT14" s="4">
        <f t="shared" si="78"/>
        <v>0</v>
      </c>
      <c r="BU14" s="4">
        <f t="shared" si="78"/>
        <v>1</v>
      </c>
      <c r="CH14" s="1" t="s">
        <v>667</v>
      </c>
      <c r="CJ14" s="1" t="s">
        <v>668</v>
      </c>
      <c r="CL14" s="1" t="s">
        <v>352</v>
      </c>
      <c r="CR14" s="1" t="s">
        <v>250</v>
      </c>
      <c r="DC14" s="1" t="s">
        <v>238</v>
      </c>
    </row>
    <row r="15" spans="1:107" ht="15.75" customHeight="1" x14ac:dyDescent="0.25">
      <c r="A15" s="1" t="b">
        <v>1</v>
      </c>
      <c r="B15" s="3">
        <v>46152.460173611114</v>
      </c>
      <c r="C15" s="1" t="s">
        <v>285</v>
      </c>
      <c r="D15" s="1" t="s">
        <v>286</v>
      </c>
      <c r="E15" s="4">
        <f t="shared" ref="E15:K15" si="79">IF(ISNUMBER(SEARCH(E$1,$D15)), SEARCH(E$1,$D15), 0)</f>
        <v>1</v>
      </c>
      <c r="F15" s="4">
        <f t="shared" si="79"/>
        <v>0</v>
      </c>
      <c r="G15" s="4">
        <f t="shared" si="79"/>
        <v>0</v>
      </c>
      <c r="H15" s="4">
        <f t="shared" si="79"/>
        <v>0</v>
      </c>
      <c r="I15" s="4">
        <f t="shared" si="79"/>
        <v>0</v>
      </c>
      <c r="J15" s="4">
        <f t="shared" si="79"/>
        <v>30</v>
      </c>
      <c r="K15" s="4">
        <f t="shared" si="79"/>
        <v>67</v>
      </c>
      <c r="L15" s="4">
        <f t="shared" si="1"/>
        <v>67</v>
      </c>
      <c r="N15" s="1" t="s">
        <v>208</v>
      </c>
      <c r="O15" s="4">
        <f t="shared" ref="O15:T15" si="80">IF(ISNUMBER(SEARCH(O$1,$N15)), 1, 0)</f>
        <v>1</v>
      </c>
      <c r="P15" s="4">
        <f t="shared" si="80"/>
        <v>1</v>
      </c>
      <c r="Q15" s="4">
        <f t="shared" si="80"/>
        <v>0</v>
      </c>
      <c r="R15" s="4">
        <f t="shared" si="80"/>
        <v>1</v>
      </c>
      <c r="S15" s="4">
        <f t="shared" si="80"/>
        <v>0</v>
      </c>
      <c r="T15" s="4">
        <f t="shared" si="80"/>
        <v>0</v>
      </c>
      <c r="V15" s="1" t="s">
        <v>25</v>
      </c>
      <c r="W15" s="1" t="str">
        <f t="shared" si="3"/>
        <v>False</v>
      </c>
      <c r="X15" s="1" t="str">
        <f t="shared" si="3"/>
        <v>False</v>
      </c>
      <c r="Y15" s="1" t="str">
        <f t="shared" si="3"/>
        <v>False</v>
      </c>
      <c r="Z15" s="1" t="str">
        <f t="shared" si="3"/>
        <v>True</v>
      </c>
      <c r="AA15" s="1" t="str">
        <f t="shared" si="3"/>
        <v>False</v>
      </c>
      <c r="AB15" s="1" t="s">
        <v>287</v>
      </c>
      <c r="AC15" s="4">
        <f t="shared" ref="AC15:AH15" si="81">IF(ISNUMBER(SEARCH(AC$1,$AB15)), 1, 0)</f>
        <v>0</v>
      </c>
      <c r="AD15" s="4">
        <f t="shared" si="81"/>
        <v>0</v>
      </c>
      <c r="AE15" s="4">
        <f t="shared" si="81"/>
        <v>0</v>
      </c>
      <c r="AF15" s="4">
        <f t="shared" si="81"/>
        <v>1</v>
      </c>
      <c r="AG15" s="4">
        <f t="shared" si="81"/>
        <v>1</v>
      </c>
      <c r="AH15" s="4">
        <f t="shared" si="81"/>
        <v>0</v>
      </c>
      <c r="AI15" s="1">
        <f t="shared" si="5"/>
        <v>2</v>
      </c>
      <c r="AK15" s="1" t="s">
        <v>288</v>
      </c>
      <c r="AL15" s="4">
        <f t="shared" ref="AL15:AS15" si="82">IF(ISNUMBER(SEARCH(AL$1,$AK15)), 1, 0)</f>
        <v>0</v>
      </c>
      <c r="AM15" s="4">
        <f t="shared" si="82"/>
        <v>1</v>
      </c>
      <c r="AN15" s="4">
        <f t="shared" si="82"/>
        <v>0</v>
      </c>
      <c r="AO15" s="4">
        <f t="shared" si="82"/>
        <v>1</v>
      </c>
      <c r="AP15" s="4">
        <f t="shared" si="82"/>
        <v>0</v>
      </c>
      <c r="AQ15" s="4">
        <f t="shared" si="82"/>
        <v>0</v>
      </c>
      <c r="AR15" s="4">
        <f t="shared" si="82"/>
        <v>0</v>
      </c>
      <c r="AS15" s="4">
        <f t="shared" si="82"/>
        <v>0</v>
      </c>
      <c r="AU15" s="1" t="s">
        <v>48</v>
      </c>
      <c r="AV15" s="1">
        <f t="shared" si="7"/>
        <v>0</v>
      </c>
      <c r="AW15" s="1">
        <f t="shared" si="8"/>
        <v>1</v>
      </c>
      <c r="AX15" s="1">
        <f t="shared" si="9"/>
        <v>0</v>
      </c>
      <c r="AY15" s="1" t="s">
        <v>48</v>
      </c>
      <c r="BA15" s="1" t="s">
        <v>289</v>
      </c>
      <c r="BB15" s="4">
        <f t="shared" ref="BB15:BJ15" si="83">IF(ISNUMBER(SEARCH(BB$1,$BA15)), 1, 0)</f>
        <v>0</v>
      </c>
      <c r="BC15" s="4">
        <f t="shared" si="83"/>
        <v>1</v>
      </c>
      <c r="BD15" s="4">
        <f t="shared" si="83"/>
        <v>1</v>
      </c>
      <c r="BE15" s="4">
        <f t="shared" si="83"/>
        <v>1</v>
      </c>
      <c r="BF15" s="4">
        <f t="shared" si="83"/>
        <v>0</v>
      </c>
      <c r="BG15" s="4">
        <f t="shared" si="83"/>
        <v>0</v>
      </c>
      <c r="BH15" s="4">
        <f t="shared" si="83"/>
        <v>1</v>
      </c>
      <c r="BI15" s="4">
        <f t="shared" si="83"/>
        <v>0</v>
      </c>
      <c r="BJ15" s="4">
        <f t="shared" si="83"/>
        <v>1</v>
      </c>
      <c r="BK15" s="4">
        <f t="shared" si="11"/>
        <v>5</v>
      </c>
      <c r="BM15" s="1" t="s">
        <v>166</v>
      </c>
      <c r="BN15" s="1" t="s">
        <v>290</v>
      </c>
      <c r="BO15" s="4">
        <f t="shared" ref="BO15:BU15" si="84">IF(ISNUMBER(SEARCH(BO$1,$BN15)), 1, 0)</f>
        <v>0</v>
      </c>
      <c r="BP15" s="4">
        <f t="shared" si="84"/>
        <v>0</v>
      </c>
      <c r="BQ15" s="4">
        <f t="shared" si="84"/>
        <v>0</v>
      </c>
      <c r="BR15" s="4">
        <f t="shared" si="84"/>
        <v>1</v>
      </c>
      <c r="BS15" s="4">
        <f t="shared" si="84"/>
        <v>0</v>
      </c>
      <c r="BT15" s="4">
        <f t="shared" si="84"/>
        <v>1</v>
      </c>
      <c r="BU15" s="4">
        <f t="shared" si="84"/>
        <v>0</v>
      </c>
      <c r="BW15" s="1" t="s">
        <v>220</v>
      </c>
      <c r="BY15" s="1" t="s">
        <v>291</v>
      </c>
      <c r="BZ15" s="1" t="s">
        <v>278</v>
      </c>
      <c r="CM15" s="1" t="s">
        <v>47</v>
      </c>
      <c r="CQ15" s="1" t="s">
        <v>48</v>
      </c>
      <c r="CR15" s="1" t="s">
        <v>214</v>
      </c>
      <c r="CT15" s="1" t="s">
        <v>292</v>
      </c>
      <c r="DC15" s="1" t="s">
        <v>238</v>
      </c>
    </row>
    <row r="16" spans="1:107" ht="15.75" customHeight="1" x14ac:dyDescent="0.25">
      <c r="A16" s="1" t="b">
        <v>1</v>
      </c>
      <c r="B16" s="3">
        <v>46166.618159722224</v>
      </c>
      <c r="C16" s="1" t="s">
        <v>647</v>
      </c>
      <c r="D16" s="1" t="s">
        <v>9</v>
      </c>
      <c r="E16" s="4">
        <f t="shared" ref="E16:K16" si="85">IF(ISNUMBER(SEARCH(E$1,$D16)), SEARCH(E$1,$D16), 0)</f>
        <v>0</v>
      </c>
      <c r="F16" s="4">
        <f t="shared" si="85"/>
        <v>0</v>
      </c>
      <c r="G16" s="4">
        <f t="shared" si="85"/>
        <v>0</v>
      </c>
      <c r="H16" s="4">
        <f t="shared" si="85"/>
        <v>0</v>
      </c>
      <c r="I16" s="4">
        <f t="shared" si="85"/>
        <v>0</v>
      </c>
      <c r="J16" s="4">
        <f t="shared" si="85"/>
        <v>1</v>
      </c>
      <c r="K16" s="4">
        <f t="shared" si="85"/>
        <v>0</v>
      </c>
      <c r="L16" s="4">
        <f t="shared" si="1"/>
        <v>1</v>
      </c>
      <c r="N16" s="1" t="s">
        <v>18</v>
      </c>
      <c r="O16" s="4">
        <f t="shared" ref="O16:T16" si="86">IF(ISNUMBER(SEARCH(O$1,$N16)), 1, 0)</f>
        <v>0</v>
      </c>
      <c r="P16" s="4">
        <f t="shared" si="86"/>
        <v>0</v>
      </c>
      <c r="Q16" s="4">
        <f t="shared" si="86"/>
        <v>0</v>
      </c>
      <c r="R16" s="4">
        <f t="shared" si="86"/>
        <v>0</v>
      </c>
      <c r="S16" s="4">
        <f t="shared" si="86"/>
        <v>1</v>
      </c>
      <c r="T16" s="4">
        <f t="shared" si="86"/>
        <v>0</v>
      </c>
      <c r="W16" s="1" t="str">
        <f t="shared" si="3"/>
        <v>False</v>
      </c>
      <c r="X16" s="1" t="str">
        <f t="shared" si="3"/>
        <v>False</v>
      </c>
      <c r="Y16" s="1" t="str">
        <f t="shared" si="3"/>
        <v>False</v>
      </c>
      <c r="Z16" s="1" t="str">
        <f t="shared" si="3"/>
        <v>False</v>
      </c>
      <c r="AA16" s="1" t="str">
        <f t="shared" si="3"/>
        <v>False</v>
      </c>
      <c r="AB16" s="1" t="s">
        <v>31</v>
      </c>
      <c r="AC16" s="4">
        <f t="shared" ref="AC16:AH16" si="87">IF(ISNUMBER(SEARCH(AC$1,$AB16)), 1, 0)</f>
        <v>0</v>
      </c>
      <c r="AD16" s="4">
        <f t="shared" si="87"/>
        <v>0</v>
      </c>
      <c r="AE16" s="4">
        <f t="shared" si="87"/>
        <v>0</v>
      </c>
      <c r="AF16" s="4">
        <f t="shared" si="87"/>
        <v>1</v>
      </c>
      <c r="AG16" s="4">
        <f t="shared" si="87"/>
        <v>0</v>
      </c>
      <c r="AH16" s="4">
        <f t="shared" si="87"/>
        <v>0</v>
      </c>
      <c r="AI16" s="1">
        <f t="shared" si="5"/>
        <v>1</v>
      </c>
      <c r="AK16" s="1" t="s">
        <v>44</v>
      </c>
      <c r="AL16" s="4">
        <f t="shared" ref="AL16:AS16" si="88">IF(ISNUMBER(SEARCH(AL$1,$AK16)), 1, 0)</f>
        <v>0</v>
      </c>
      <c r="AM16" s="4">
        <f t="shared" si="88"/>
        <v>0</v>
      </c>
      <c r="AN16" s="4">
        <f t="shared" si="88"/>
        <v>0</v>
      </c>
      <c r="AO16" s="4">
        <f t="shared" si="88"/>
        <v>0</v>
      </c>
      <c r="AP16" s="4">
        <f t="shared" si="88"/>
        <v>0</v>
      </c>
      <c r="AQ16" s="4">
        <f t="shared" si="88"/>
        <v>0</v>
      </c>
      <c r="AR16" s="4">
        <f t="shared" si="88"/>
        <v>0</v>
      </c>
      <c r="AS16" s="4">
        <f t="shared" si="88"/>
        <v>1</v>
      </c>
      <c r="AU16" s="1" t="s">
        <v>47</v>
      </c>
      <c r="AV16" s="1">
        <f t="shared" si="7"/>
        <v>1</v>
      </c>
      <c r="AW16" s="1">
        <f t="shared" si="8"/>
        <v>0</v>
      </c>
      <c r="AX16" s="1">
        <f t="shared" si="9"/>
        <v>0</v>
      </c>
      <c r="AY16" s="1" t="s">
        <v>47</v>
      </c>
      <c r="AZ16" s="1" t="s">
        <v>48</v>
      </c>
      <c r="BA16" s="1" t="s">
        <v>61</v>
      </c>
      <c r="BB16" s="4">
        <f t="shared" ref="BB16:BJ16" si="89">IF(ISNUMBER(SEARCH(BB$1,$BA16)), 1, 0)</f>
        <v>0</v>
      </c>
      <c r="BC16" s="4">
        <f t="shared" si="89"/>
        <v>0</v>
      </c>
      <c r="BD16" s="4">
        <f t="shared" si="89"/>
        <v>0</v>
      </c>
      <c r="BE16" s="4">
        <f t="shared" si="89"/>
        <v>0</v>
      </c>
      <c r="BF16" s="4">
        <f t="shared" si="89"/>
        <v>0</v>
      </c>
      <c r="BG16" s="4">
        <f t="shared" si="89"/>
        <v>0</v>
      </c>
      <c r="BH16" s="4">
        <f t="shared" si="89"/>
        <v>0</v>
      </c>
      <c r="BI16" s="4">
        <f t="shared" si="89"/>
        <v>0</v>
      </c>
      <c r="BJ16" s="4">
        <f t="shared" si="89"/>
        <v>1</v>
      </c>
      <c r="BK16" s="4">
        <f t="shared" si="11"/>
        <v>1</v>
      </c>
      <c r="BO16" s="4">
        <f t="shared" ref="BO16:BU16" si="90">IF(ISNUMBER(SEARCH(BO$1,$BN16)), 1, 0)</f>
        <v>0</v>
      </c>
      <c r="BP16" s="4">
        <f t="shared" si="90"/>
        <v>0</v>
      </c>
      <c r="BQ16" s="4">
        <f t="shared" si="90"/>
        <v>0</v>
      </c>
      <c r="BR16" s="4">
        <f t="shared" si="90"/>
        <v>0</v>
      </c>
      <c r="BS16" s="4">
        <f t="shared" si="90"/>
        <v>0</v>
      </c>
      <c r="BT16" s="4">
        <f t="shared" si="90"/>
        <v>0</v>
      </c>
      <c r="BU16" s="4">
        <f t="shared" si="90"/>
        <v>0</v>
      </c>
      <c r="CR16" s="1" t="s">
        <v>648</v>
      </c>
      <c r="CT16" s="1" t="s">
        <v>649</v>
      </c>
      <c r="DC16" s="1" t="s">
        <v>180</v>
      </c>
    </row>
    <row r="17" spans="1:107" ht="15.75" customHeight="1" x14ac:dyDescent="0.25">
      <c r="A17" s="1"/>
      <c r="B17" s="3"/>
      <c r="C17" s="1"/>
      <c r="D17" s="1"/>
      <c r="N17" s="1"/>
      <c r="O17" s="4">
        <f>SUM(O$2:O16)</f>
        <v>11</v>
      </c>
      <c r="P17" s="4">
        <f>SUM(P$2:P16)</f>
        <v>10</v>
      </c>
      <c r="Q17" s="4">
        <f>SUM(Q$2:Q16)</f>
        <v>9</v>
      </c>
      <c r="R17" s="4">
        <f>SUM(R$2:R16)</f>
        <v>9</v>
      </c>
      <c r="S17" s="4">
        <f>SUM(S$2:S16)</f>
        <v>5</v>
      </c>
      <c r="T17" s="4">
        <f>SUM(T$2:T16)</f>
        <v>4</v>
      </c>
      <c r="V17" s="1"/>
      <c r="W17" s="1"/>
      <c r="X17" s="1"/>
      <c r="Y17" s="1"/>
      <c r="Z17" s="1"/>
      <c r="AA17" s="1"/>
      <c r="AB17" s="1"/>
      <c r="AC17" s="4">
        <f>SUM(AC$2:AC16)</f>
        <v>3</v>
      </c>
      <c r="AD17" s="4">
        <f>SUM(AD$2:AD16)</f>
        <v>4</v>
      </c>
      <c r="AE17" s="4">
        <f>SUM(AE$2:AE16)</f>
        <v>3</v>
      </c>
      <c r="AF17" s="4">
        <f>SUM(AF$2:AF16)</f>
        <v>5</v>
      </c>
      <c r="AG17" s="4">
        <f>SUM(AG$2:AG16)</f>
        <v>2</v>
      </c>
      <c r="AH17" s="4">
        <f>SUM(AH$2:AH16)</f>
        <v>3</v>
      </c>
      <c r="AI17" s="1"/>
      <c r="AK17" s="1"/>
      <c r="AL17" s="4">
        <f>SUM(AL$2:AL16)</f>
        <v>3</v>
      </c>
      <c r="AM17" s="4">
        <f>SUM(AM$2:AM16)</f>
        <v>9</v>
      </c>
      <c r="AN17" s="4">
        <f>SUM(AN$2:AN16)</f>
        <v>4</v>
      </c>
      <c r="AO17" s="4">
        <f>SUM(AO$2:AO16)</f>
        <v>8</v>
      </c>
      <c r="AP17" s="4">
        <f>SUM(AP$2:AP16)</f>
        <v>1</v>
      </c>
      <c r="AQ17" s="4">
        <f>SUM(AQ$2:AQ16)</f>
        <v>5</v>
      </c>
      <c r="AR17" s="4">
        <f>SUM(AR$2:AR16)</f>
        <v>3</v>
      </c>
      <c r="AS17" s="4">
        <f>SUM(AS$2:AS16)</f>
        <v>3</v>
      </c>
      <c r="AU17" s="1"/>
      <c r="AV17" s="4">
        <f>SUM(AV$2:AV16)</f>
        <v>4</v>
      </c>
      <c r="AW17" s="4">
        <f>SUM(AW$2:AW16)</f>
        <v>7</v>
      </c>
      <c r="AX17" s="4">
        <f>SUM(AX$2:AX16)</f>
        <v>0</v>
      </c>
      <c r="AY17" s="1"/>
      <c r="BA17" s="1"/>
      <c r="BB17" s="4">
        <f>SUM(BB$2:BB16)</f>
        <v>4</v>
      </c>
      <c r="BC17" s="4">
        <f>SUM(BC$2:BC16)</f>
        <v>4</v>
      </c>
      <c r="BD17" s="4">
        <f>SUM(BD$2:BD16)</f>
        <v>6</v>
      </c>
      <c r="BE17" s="4">
        <f>SUM(BE$2:BE16)</f>
        <v>7</v>
      </c>
      <c r="BF17" s="4">
        <f>SUM(BF$2:BF16)</f>
        <v>4</v>
      </c>
      <c r="BG17" s="4">
        <f>SUM(BG$2:BG16)</f>
        <v>3</v>
      </c>
      <c r="BH17" s="4">
        <f>SUM(BH$2:BH16)</f>
        <v>6</v>
      </c>
      <c r="BI17" s="4">
        <f>SUM(BI$2:BI16)</f>
        <v>5</v>
      </c>
      <c r="BJ17" s="4">
        <f>SUM(BJ$2:BJ16)</f>
        <v>10</v>
      </c>
      <c r="BK17" s="4"/>
      <c r="BM17" s="1"/>
      <c r="BN17" s="1"/>
      <c r="BO17" s="4">
        <f>SUM(BO$2:BO16)</f>
        <v>2</v>
      </c>
      <c r="BP17" s="4">
        <f>SUM(BP$2:BP16)</f>
        <v>2</v>
      </c>
      <c r="BQ17" s="4">
        <f>SUM(BQ$2:BQ16)</f>
        <v>0</v>
      </c>
      <c r="BR17" s="4">
        <f>SUM(BR$2:BR16)</f>
        <v>6</v>
      </c>
      <c r="BS17" s="4">
        <f>SUM(BS$2:BS16)</f>
        <v>4</v>
      </c>
      <c r="BT17" s="4">
        <f>SUM(BT$2:BT16)</f>
        <v>3</v>
      </c>
      <c r="BU17" s="4">
        <f>SUM(BU$2:BU16)</f>
        <v>2</v>
      </c>
      <c r="CU17" s="1"/>
      <c r="CW17" s="1"/>
      <c r="CX17" s="1"/>
      <c r="CZ17" s="1"/>
      <c r="DB17" s="1"/>
      <c r="DC17" s="1"/>
    </row>
    <row r="18" spans="1:107" ht="15.75" customHeight="1" x14ac:dyDescent="0.25">
      <c r="A18" s="1"/>
      <c r="B18" s="3"/>
      <c r="C18" s="1"/>
      <c r="D18" s="1"/>
      <c r="N18" s="1"/>
      <c r="O18" s="4">
        <f>(O17/COUNT(O$2:O16))*100</f>
        <v>78.571428571428569</v>
      </c>
      <c r="P18" s="4">
        <f>(P17/COUNT(P$2:P16))*100</f>
        <v>71.428571428571431</v>
      </c>
      <c r="Q18" s="4">
        <f>(Q17/COUNT(Q$2:Q16))*100</f>
        <v>64.285714285714292</v>
      </c>
      <c r="R18" s="4">
        <f>(R17/COUNT(R$2:R16))*100</f>
        <v>64.285714285714292</v>
      </c>
      <c r="S18" s="4">
        <f>(S17/COUNT(S$2:S16))*100</f>
        <v>35.714285714285715</v>
      </c>
      <c r="T18" s="4">
        <f>(T17/COUNT(T$2:T16))*100</f>
        <v>28.571428571428569</v>
      </c>
      <c r="V18" s="1"/>
      <c r="W18" s="1"/>
      <c r="X18" s="1"/>
      <c r="Y18" s="1"/>
      <c r="Z18" s="1"/>
      <c r="AA18" s="1"/>
      <c r="AB18" s="1"/>
      <c r="AC18" s="4">
        <f>(AC17/COUNT(AC$2:AC16))*100</f>
        <v>21.428571428571427</v>
      </c>
      <c r="AD18" s="4">
        <f>(AD17/COUNT(AD$2:AD16))*100</f>
        <v>28.571428571428569</v>
      </c>
      <c r="AE18" s="4">
        <f>(AE17/COUNT(AE$2:AE16))*100</f>
        <v>21.428571428571427</v>
      </c>
      <c r="AF18" s="4">
        <f>(AF17/COUNT(AF$2:AF16))*100</f>
        <v>35.714285714285715</v>
      </c>
      <c r="AG18" s="4">
        <f>(AG17/COUNT(AG$2:AG16))*100</f>
        <v>14.285714285714285</v>
      </c>
      <c r="AH18" s="4">
        <f>(AH17/COUNT(AH$2:AH16))*100</f>
        <v>21.428571428571427</v>
      </c>
      <c r="AI18" s="1"/>
      <c r="AK18" s="1"/>
      <c r="AL18" s="4">
        <f>(AL17/COUNT(AL$2:AL16))*100</f>
        <v>21.428571428571427</v>
      </c>
      <c r="AM18" s="4">
        <f>(AM17/COUNT(AM$2:AM16))*100</f>
        <v>64.285714285714292</v>
      </c>
      <c r="AN18" s="4">
        <f>(AN17/COUNT(AN$2:AN16))*100</f>
        <v>28.571428571428569</v>
      </c>
      <c r="AO18" s="4">
        <f>(AO17/COUNT(AO$2:AO16))*100</f>
        <v>57.142857142857139</v>
      </c>
      <c r="AP18" s="4">
        <f>(AP17/COUNT(AP$2:AP16))*100</f>
        <v>7.1428571428571423</v>
      </c>
      <c r="AQ18" s="4">
        <f>(AQ17/COUNT(AQ$2:AQ16))*100</f>
        <v>35.714285714285715</v>
      </c>
      <c r="AR18" s="4">
        <f>(AR17/COUNT(AR$2:AR16))*100</f>
        <v>21.428571428571427</v>
      </c>
      <c r="AS18" s="4">
        <f>(AS17/COUNT(AS$2:AS16))*100</f>
        <v>21.428571428571427</v>
      </c>
      <c r="AU18" s="1"/>
      <c r="AV18" s="4">
        <f>(AV17/COUNT(AV$2:AV16))*100</f>
        <v>28.571428571428569</v>
      </c>
      <c r="AW18" s="4">
        <f>(AW17/COUNT(AW$2:AW16))*100</f>
        <v>50</v>
      </c>
      <c r="AX18" s="4">
        <f>(AX17/COUNT(AX$2:AX16))*100</f>
        <v>0</v>
      </c>
      <c r="AY18" s="1"/>
      <c r="BA18" s="1"/>
      <c r="BB18" s="4">
        <f>(BB17/COUNT(BB$2:BB16))*100</f>
        <v>28.571428571428569</v>
      </c>
      <c r="BC18" s="4">
        <f>(BC17/COUNT(BC$2:BC16))*100</f>
        <v>28.571428571428569</v>
      </c>
      <c r="BD18" s="4">
        <f>(BD17/COUNT(BD$2:BD16))*100</f>
        <v>42.857142857142854</v>
      </c>
      <c r="BE18" s="4">
        <f>(BE17/COUNT(BE$2:BE16))*100</f>
        <v>50</v>
      </c>
      <c r="BF18" s="4">
        <f>(BF17/COUNT(BF$2:BF16))*100</f>
        <v>28.571428571428569</v>
      </c>
      <c r="BG18" s="4">
        <f>(BG17/COUNT(BG$2:BG16))*100</f>
        <v>21.428571428571427</v>
      </c>
      <c r="BH18" s="4">
        <f>(BH17/COUNT(BH$2:BH16))*100</f>
        <v>42.857142857142854</v>
      </c>
      <c r="BI18" s="4">
        <f>(BI17/COUNT(BI$2:BI16))*100</f>
        <v>35.714285714285715</v>
      </c>
      <c r="BJ18" s="4">
        <f>(BJ17/COUNT(BJ$2:BJ16))*100</f>
        <v>71.428571428571431</v>
      </c>
      <c r="BK18" s="4"/>
      <c r="BM18" s="1"/>
      <c r="BN18" s="1"/>
      <c r="BO18" s="4">
        <f>(BO17/COUNT(BO$2:BO16))*100</f>
        <v>14.285714285714285</v>
      </c>
      <c r="BP18" s="4">
        <f>(BP17/COUNT(BP$2:BP16))*100</f>
        <v>14.285714285714285</v>
      </c>
      <c r="BQ18" s="4">
        <f>(BQ17/COUNT(BQ$2:BQ16))*100</f>
        <v>0</v>
      </c>
      <c r="BR18" s="4">
        <f>(BR17/COUNT(BR$2:BR16))*100</f>
        <v>42.857142857142854</v>
      </c>
      <c r="BS18" s="4">
        <f>(BS17/COUNT(BS$2:BS16))*100</f>
        <v>28.571428571428569</v>
      </c>
      <c r="BT18" s="4">
        <f>(BT17/COUNT(BT$2:BT16))*100</f>
        <v>21.428571428571427</v>
      </c>
      <c r="BU18" s="4">
        <f>(BU17/COUNT(BU$2:BU16))*100</f>
        <v>14.285714285714285</v>
      </c>
      <c r="CU18" s="1"/>
      <c r="CX18" s="1"/>
      <c r="CZ18" s="1"/>
      <c r="DC18" s="1"/>
    </row>
    <row r="19" spans="1:107" ht="15.75" customHeight="1" x14ac:dyDescent="0.25">
      <c r="A19" s="1"/>
      <c r="B19" s="3"/>
      <c r="C19" s="1"/>
      <c r="D19" s="1"/>
      <c r="N19" s="1"/>
      <c r="W19" s="1"/>
      <c r="X19" s="1"/>
      <c r="Y19" s="1"/>
      <c r="Z19" s="1"/>
      <c r="AA19" s="1"/>
      <c r="AB19" s="1"/>
      <c r="AI19" s="1"/>
      <c r="AJ19" s="1"/>
      <c r="AK19" s="1"/>
      <c r="AU19" s="1"/>
      <c r="AV19" s="1"/>
      <c r="AW19" s="1"/>
      <c r="AX19" s="1"/>
      <c r="AY19" s="1"/>
      <c r="BA19" s="1"/>
      <c r="BL19" s="1"/>
      <c r="BM19" s="1"/>
      <c r="BN19" s="1"/>
      <c r="BV19" s="1"/>
    </row>
    <row r="20" spans="1:107" ht="15.75" customHeight="1" x14ac:dyDescent="0.25">
      <c r="A20" s="1"/>
      <c r="B20" s="3"/>
      <c r="C20" s="1"/>
      <c r="D20" s="1"/>
      <c r="N20" s="1"/>
      <c r="V20" s="1"/>
      <c r="W20" s="1"/>
      <c r="X20" s="1"/>
      <c r="Y20" s="1"/>
      <c r="Z20" s="1"/>
      <c r="AA20" s="1"/>
      <c r="AB20" s="1"/>
      <c r="AI20" s="1"/>
      <c r="AJ20" s="1"/>
      <c r="AK20" s="1"/>
      <c r="AU20" s="1"/>
      <c r="AV20" s="1"/>
      <c r="AW20" s="1"/>
      <c r="AX20" s="1"/>
      <c r="AY20" s="1"/>
      <c r="AZ20" s="1"/>
      <c r="BA20" s="1"/>
      <c r="BW20" s="1"/>
      <c r="CX20" s="1"/>
      <c r="CZ20" s="1"/>
      <c r="DB20" s="1"/>
      <c r="DC20" s="1"/>
    </row>
    <row r="21" spans="1:107" ht="15.75" customHeight="1" x14ac:dyDescent="0.25">
      <c r="A21" s="1"/>
      <c r="B21" s="3"/>
      <c r="C21" s="1"/>
      <c r="D21" s="1"/>
      <c r="N21" s="1"/>
      <c r="U21" s="1"/>
      <c r="V21" s="1"/>
      <c r="W21" s="1"/>
      <c r="X21" s="1"/>
      <c r="Y21" s="1"/>
      <c r="Z21" s="1"/>
      <c r="AA21" s="1"/>
      <c r="AB21" s="1"/>
      <c r="AI21" s="1"/>
      <c r="AJ21" s="1"/>
      <c r="AK21" s="1"/>
      <c r="AT21" s="1"/>
      <c r="AU21" s="1"/>
      <c r="AV21" s="1"/>
      <c r="AW21" s="1"/>
      <c r="AX21" s="1"/>
      <c r="AY21" s="1"/>
      <c r="BA21" s="1"/>
      <c r="BM21" s="1"/>
      <c r="BN21" s="1"/>
      <c r="CX21" s="1"/>
      <c r="CZ21" s="1"/>
      <c r="DC21" s="1"/>
    </row>
    <row r="22" spans="1:107" ht="15.75" customHeight="1" x14ac:dyDescent="0.25">
      <c r="A22" s="1"/>
      <c r="B22" s="3"/>
      <c r="C22" s="1"/>
      <c r="D22" s="1"/>
      <c r="N22" s="1"/>
      <c r="U22" s="1"/>
      <c r="W22" s="1"/>
      <c r="X22" s="1"/>
      <c r="Y22" s="1"/>
      <c r="Z22" s="1"/>
      <c r="AA22" s="1"/>
      <c r="AB22" s="1"/>
      <c r="AI22" s="1"/>
      <c r="AJ22" s="1"/>
      <c r="AK22" s="1"/>
      <c r="AU22" s="1"/>
      <c r="AV22" s="1"/>
      <c r="AW22" s="1"/>
      <c r="AX22" s="1"/>
      <c r="AY22" s="1"/>
      <c r="BA22" s="1"/>
      <c r="BM22" s="1"/>
      <c r="BN22" s="1"/>
      <c r="BV22" s="1"/>
      <c r="CM22" s="1"/>
      <c r="CN22" s="1"/>
      <c r="CO22" s="1"/>
      <c r="CX22" s="1"/>
      <c r="CY22" s="1"/>
      <c r="CZ22" s="1"/>
      <c r="DA22" s="1"/>
      <c r="DB22" s="1"/>
      <c r="DC22" s="1"/>
    </row>
    <row r="23" spans="1:107" ht="15.75" customHeight="1" x14ac:dyDescent="0.25">
      <c r="A23" s="1"/>
      <c r="B23" s="3"/>
      <c r="C23" s="1"/>
      <c r="D23" s="1"/>
      <c r="N23" s="1"/>
      <c r="W23" s="1"/>
      <c r="X23" s="1"/>
      <c r="Y23" s="1"/>
      <c r="Z23" s="1"/>
      <c r="AA23" s="1"/>
      <c r="AB23" s="1"/>
      <c r="AI23" s="1"/>
      <c r="AK23" s="1"/>
      <c r="AU23" s="1"/>
      <c r="AV23" s="1"/>
      <c r="AW23" s="1"/>
      <c r="AX23" s="1"/>
      <c r="AY23" s="1"/>
      <c r="BA23" s="1"/>
      <c r="BM23" s="1"/>
      <c r="BN23" s="1"/>
    </row>
    <row r="24" spans="1:107" ht="15.75" customHeight="1" x14ac:dyDescent="0.25">
      <c r="A24" s="1"/>
      <c r="B24" s="3"/>
      <c r="C24" s="1"/>
      <c r="D24" s="1"/>
      <c r="N24" s="1"/>
      <c r="W24" s="1"/>
      <c r="X24" s="1"/>
      <c r="Y24" s="1"/>
      <c r="Z24" s="1"/>
      <c r="AA24" s="1"/>
      <c r="AB24" s="1"/>
      <c r="AI24" s="1"/>
      <c r="AK24" s="1"/>
      <c r="AU24" s="1"/>
      <c r="AV24" s="1"/>
      <c r="AW24" s="1"/>
      <c r="AX24" s="1"/>
      <c r="AY24" s="1"/>
      <c r="BA24" s="1"/>
      <c r="BM24" s="1"/>
      <c r="BN24" s="1"/>
      <c r="CX24" s="1"/>
      <c r="CZ24" s="1"/>
      <c r="DC24" s="1"/>
    </row>
    <row r="25" spans="1:107" ht="15.75" customHeight="1" x14ac:dyDescent="0.25">
      <c r="A25" s="1"/>
      <c r="B25" s="3"/>
      <c r="C25" s="1"/>
      <c r="D25" s="1"/>
      <c r="N25" s="1"/>
      <c r="W25" s="1"/>
      <c r="X25" s="1"/>
      <c r="Y25" s="1"/>
      <c r="Z25" s="1"/>
      <c r="AA25" s="1"/>
      <c r="AB25" s="1"/>
      <c r="AI25" s="1"/>
      <c r="AK25" s="1"/>
      <c r="AU25" s="1"/>
      <c r="AV25" s="1"/>
      <c r="AW25" s="1"/>
      <c r="AX25" s="1"/>
      <c r="AY25" s="1"/>
      <c r="BA25" s="1"/>
      <c r="BM25" s="1"/>
      <c r="BN25" s="1"/>
      <c r="CX25" s="1"/>
      <c r="CZ25" s="1"/>
      <c r="DC25" s="1"/>
    </row>
    <row r="26" spans="1:107" ht="15.75" customHeight="1" x14ac:dyDescent="0.25">
      <c r="A26" s="1"/>
      <c r="B26" s="3"/>
      <c r="C26" s="1"/>
      <c r="D26" s="1"/>
      <c r="N26" s="1"/>
      <c r="V26" s="1"/>
      <c r="W26" s="1"/>
      <c r="X26" s="1"/>
      <c r="Y26" s="1"/>
      <c r="Z26" s="1"/>
      <c r="AA26" s="1"/>
      <c r="AB26" s="1"/>
      <c r="AI26" s="1"/>
      <c r="AK26" s="1"/>
      <c r="AU26" s="1"/>
      <c r="AV26" s="1"/>
      <c r="AW26" s="1"/>
      <c r="AX26" s="1"/>
      <c r="AY26" s="1"/>
      <c r="BA26" s="1"/>
      <c r="BM26" s="1"/>
      <c r="BN26" s="1"/>
      <c r="BW26" s="1"/>
      <c r="BZ26" s="1"/>
      <c r="CM26" s="1"/>
      <c r="CQ26" s="1"/>
      <c r="CX26" s="1"/>
      <c r="CZ26" s="1"/>
      <c r="DC26" s="1"/>
    </row>
    <row r="27" spans="1:107" ht="15.75" customHeight="1" x14ac:dyDescent="0.25">
      <c r="A27" s="1"/>
      <c r="B27" s="3"/>
      <c r="C27" s="1"/>
      <c r="D27" s="1"/>
      <c r="N27" s="1"/>
      <c r="V27" s="1"/>
      <c r="W27" s="1"/>
      <c r="X27" s="1"/>
      <c r="Y27" s="1"/>
      <c r="Z27" s="1"/>
      <c r="AA27" s="1"/>
      <c r="AB27" s="1"/>
      <c r="AI27" s="1"/>
      <c r="AK27" s="1"/>
      <c r="AU27" s="1"/>
      <c r="AV27" s="1"/>
      <c r="AW27" s="1"/>
      <c r="AX27" s="1"/>
      <c r="AY27" s="1"/>
      <c r="BA27" s="1"/>
      <c r="BM27" s="1"/>
      <c r="BN27" s="1"/>
      <c r="CX27" s="1"/>
      <c r="CZ27" s="1"/>
      <c r="DB27" s="1"/>
      <c r="DC27" s="1"/>
    </row>
    <row r="28" spans="1:107" ht="15.75" customHeight="1" x14ac:dyDescent="0.25">
      <c r="A28" s="1"/>
      <c r="B28" s="3"/>
      <c r="C28" s="1"/>
      <c r="D28" s="1"/>
      <c r="N28" s="1"/>
      <c r="W28" s="1"/>
      <c r="X28" s="1"/>
      <c r="Y28" s="1"/>
      <c r="Z28" s="1"/>
      <c r="AA28" s="1"/>
      <c r="AB28" s="1"/>
      <c r="AI28" s="1"/>
      <c r="AK28" s="1"/>
      <c r="AU28" s="1"/>
      <c r="AV28" s="1"/>
      <c r="AW28" s="1"/>
      <c r="AX28" s="1"/>
      <c r="AY28" s="1"/>
      <c r="BA28" s="1"/>
      <c r="BM28" s="1"/>
      <c r="BN28" s="1"/>
      <c r="BW28" s="1"/>
      <c r="BZ28" s="1"/>
      <c r="CA28" s="1"/>
      <c r="CX28" s="1"/>
      <c r="CZ28" s="1"/>
      <c r="DC28" s="1"/>
    </row>
    <row r="29" spans="1:107" ht="15.75" customHeight="1" x14ac:dyDescent="0.25">
      <c r="A29" s="1"/>
      <c r="B29" s="3"/>
      <c r="C29" s="1"/>
      <c r="D29" s="1"/>
      <c r="M29" s="1"/>
      <c r="N29" s="1"/>
      <c r="V29" s="1"/>
      <c r="W29" s="1"/>
      <c r="X29" s="1"/>
      <c r="Y29" s="1"/>
      <c r="Z29" s="1"/>
      <c r="AA29" s="1"/>
      <c r="AB29" s="1"/>
      <c r="AI29" s="1"/>
      <c r="AK29" s="1"/>
      <c r="AU29" s="1"/>
      <c r="AV29" s="1"/>
      <c r="AW29" s="1"/>
      <c r="AX29" s="1"/>
      <c r="AY29" s="1"/>
      <c r="BA29" s="1"/>
      <c r="BM29" s="1"/>
      <c r="BN29" s="1"/>
      <c r="BW29" s="1"/>
      <c r="BZ29" s="1"/>
      <c r="CX29" s="1"/>
      <c r="CZ29" s="1"/>
      <c r="DB29" s="1"/>
      <c r="DC29" s="1"/>
    </row>
    <row r="30" spans="1:107" ht="15.75" customHeight="1" x14ac:dyDescent="0.25">
      <c r="A30" s="1"/>
      <c r="B30" s="3"/>
      <c r="C30" s="1"/>
      <c r="D30" s="1"/>
      <c r="N30" s="1"/>
      <c r="V30" s="1"/>
      <c r="W30" s="1"/>
      <c r="X30" s="1"/>
      <c r="Y30" s="1"/>
      <c r="Z30" s="1"/>
      <c r="AA30" s="1"/>
      <c r="AB30" s="1"/>
      <c r="AI30" s="1"/>
      <c r="AK30" s="1"/>
      <c r="AU30" s="1"/>
      <c r="AV30" s="1"/>
      <c r="AW30" s="1"/>
      <c r="AX30" s="1"/>
      <c r="AY30" s="1"/>
      <c r="BA30" s="1"/>
      <c r="BM30" s="1"/>
      <c r="BN30" s="1"/>
    </row>
    <row r="31" spans="1:107" ht="15.75" customHeight="1" x14ac:dyDescent="0.25">
      <c r="A31" s="1"/>
      <c r="B31" s="3"/>
      <c r="C31" s="1"/>
      <c r="D31" s="1"/>
      <c r="N31" s="1"/>
      <c r="V31" s="1"/>
      <c r="W31" s="1"/>
      <c r="X31" s="1"/>
      <c r="Y31" s="1"/>
      <c r="Z31" s="1"/>
      <c r="AA31" s="1"/>
      <c r="AB31" s="1"/>
      <c r="AI31" s="1"/>
      <c r="AK31" s="1"/>
      <c r="AU31" s="1"/>
      <c r="AV31" s="1"/>
      <c r="AW31" s="1"/>
      <c r="AX31" s="1"/>
      <c r="AY31" s="1"/>
      <c r="BA31" s="1"/>
      <c r="BM31" s="1"/>
      <c r="BN31" s="1"/>
      <c r="BV31" s="1"/>
      <c r="CX31" s="1"/>
      <c r="CZ31" s="1"/>
      <c r="DB31" s="1"/>
      <c r="DC31" s="1"/>
    </row>
    <row r="32" spans="1:107" ht="15.75" customHeight="1" x14ac:dyDescent="0.25">
      <c r="A32" s="1"/>
      <c r="B32" s="3"/>
      <c r="C32" s="1"/>
      <c r="D32" s="1"/>
      <c r="N32" s="1"/>
      <c r="W32" s="1"/>
      <c r="X32" s="1"/>
      <c r="Y32" s="1"/>
      <c r="Z32" s="1"/>
      <c r="AA32" s="1"/>
      <c r="AB32" s="1"/>
      <c r="AI32" s="1"/>
      <c r="AK32" s="1"/>
      <c r="AU32" s="1"/>
      <c r="AV32" s="1"/>
      <c r="AW32" s="1"/>
      <c r="AX32" s="1"/>
      <c r="AY32" s="1"/>
      <c r="BA32" s="1"/>
      <c r="BM32" s="1"/>
      <c r="BN32" s="1"/>
      <c r="BW32" s="1"/>
      <c r="BY32" s="1"/>
      <c r="BZ32" s="1"/>
      <c r="CX32" s="1"/>
      <c r="CZ32" s="1"/>
      <c r="DC32" s="1"/>
    </row>
    <row r="33" spans="1:107" ht="15.75" customHeight="1" x14ac:dyDescent="0.25">
      <c r="A33" s="1"/>
      <c r="B33" s="3"/>
      <c r="C33" s="1"/>
      <c r="D33" s="1"/>
      <c r="N33" s="1"/>
      <c r="V33" s="1"/>
      <c r="W33" s="1"/>
      <c r="X33" s="1"/>
      <c r="Y33" s="1"/>
      <c r="Z33" s="1"/>
      <c r="AA33" s="1"/>
      <c r="AB33" s="1"/>
      <c r="AI33" s="1"/>
      <c r="AK33" s="1"/>
      <c r="AU33" s="1"/>
      <c r="AV33" s="1"/>
      <c r="AW33" s="1"/>
      <c r="AX33" s="1"/>
      <c r="AY33" s="1"/>
      <c r="BA33" s="1"/>
      <c r="BM33" s="1"/>
      <c r="BN33" s="1"/>
      <c r="BV33" s="1"/>
      <c r="BW33" s="1"/>
      <c r="BY33" s="1"/>
      <c r="CX33" s="1"/>
      <c r="CY33" s="1"/>
      <c r="CZ33" s="1"/>
      <c r="DB33" s="1"/>
      <c r="DC33" s="1"/>
    </row>
    <row r="34" spans="1:107" ht="15.75" customHeight="1" x14ac:dyDescent="0.25">
      <c r="A34" s="1"/>
      <c r="B34" s="3"/>
      <c r="C34" s="1"/>
      <c r="D34" s="1"/>
      <c r="N34" s="1"/>
      <c r="W34" s="1"/>
      <c r="X34" s="1"/>
      <c r="Y34" s="1"/>
      <c r="Z34" s="1"/>
      <c r="AA34" s="1"/>
      <c r="AB34" s="1"/>
      <c r="AI34" s="1"/>
      <c r="AK34" s="1"/>
      <c r="AU34" s="1"/>
      <c r="AV34" s="1"/>
      <c r="AW34" s="1"/>
      <c r="AX34" s="1"/>
      <c r="AY34" s="1"/>
      <c r="BA34" s="1"/>
      <c r="BM34" s="1"/>
      <c r="BN34" s="1"/>
      <c r="BW34" s="1"/>
      <c r="CX34" s="1"/>
      <c r="CZ34" s="1"/>
      <c r="DC34" s="1"/>
    </row>
    <row r="35" spans="1:107" ht="15.75" customHeight="1" x14ac:dyDescent="0.25">
      <c r="A35" s="1"/>
      <c r="B35" s="3"/>
      <c r="C35" s="1"/>
      <c r="D35" s="1"/>
      <c r="N35" s="1"/>
      <c r="V35" s="1"/>
      <c r="W35" s="1"/>
      <c r="X35" s="1"/>
      <c r="Y35" s="1"/>
      <c r="Z35" s="1"/>
      <c r="AA35" s="1"/>
      <c r="AB35" s="1"/>
      <c r="AI35" s="1"/>
      <c r="AK35" s="1"/>
      <c r="AU35" s="1"/>
      <c r="AV35" s="1"/>
      <c r="AW35" s="1"/>
      <c r="AX35" s="1"/>
      <c r="AY35" s="1"/>
      <c r="BA35" s="1"/>
      <c r="BM35" s="1"/>
      <c r="BN35" s="1"/>
    </row>
    <row r="36" spans="1:107" ht="15.75" customHeight="1" x14ac:dyDescent="0.25">
      <c r="A36" s="1"/>
      <c r="B36" s="3"/>
      <c r="C36" s="1"/>
      <c r="D36" s="1"/>
      <c r="N36" s="1"/>
      <c r="V36" s="1"/>
      <c r="W36" s="1"/>
      <c r="X36" s="1"/>
      <c r="Y36" s="1"/>
      <c r="Z36" s="1"/>
      <c r="AA36" s="1"/>
      <c r="AB36" s="1"/>
      <c r="AI36" s="1"/>
      <c r="AK36" s="1"/>
      <c r="AU36" s="1"/>
      <c r="AV36" s="1"/>
      <c r="AW36" s="1"/>
      <c r="AX36" s="1"/>
      <c r="AY36" s="1"/>
      <c r="BA36" s="1"/>
      <c r="BM36" s="1"/>
      <c r="BN36" s="1"/>
      <c r="CX36" s="1"/>
      <c r="DB36" s="1"/>
      <c r="DC36" s="1"/>
    </row>
    <row r="37" spans="1:107" ht="15.75" customHeight="1" x14ac:dyDescent="0.25">
      <c r="A37" s="1"/>
      <c r="B37" s="3"/>
      <c r="C37" s="1"/>
      <c r="D37" s="1"/>
      <c r="N37" s="1"/>
      <c r="V37" s="1"/>
      <c r="W37" s="1"/>
      <c r="X37" s="1"/>
      <c r="Y37" s="1"/>
      <c r="Z37" s="1"/>
      <c r="AA37" s="1"/>
      <c r="AB37" s="1"/>
      <c r="AI37" s="1"/>
      <c r="AJ37" s="1"/>
      <c r="AK37" s="1"/>
      <c r="AU37" s="1"/>
      <c r="AV37" s="1"/>
      <c r="AW37" s="1"/>
      <c r="AX37" s="1"/>
      <c r="AY37" s="1"/>
      <c r="BA37" s="1"/>
      <c r="BL37" s="1"/>
      <c r="BM37" s="1"/>
      <c r="CX37" s="1"/>
      <c r="CZ37" s="1"/>
      <c r="DA37" s="1"/>
      <c r="DB37" s="1"/>
      <c r="DC37" s="1"/>
    </row>
    <row r="38" spans="1:107" ht="15.75" customHeight="1" x14ac:dyDescent="0.25">
      <c r="A38" s="1"/>
      <c r="B38" s="3"/>
      <c r="C38" s="1"/>
      <c r="D38" s="1"/>
      <c r="N38" s="1"/>
      <c r="V38" s="1"/>
      <c r="W38" s="1"/>
      <c r="X38" s="1"/>
      <c r="Y38" s="1"/>
      <c r="Z38" s="1"/>
      <c r="AA38" s="1"/>
      <c r="AB38" s="1"/>
      <c r="AI38" s="1"/>
      <c r="AK38" s="1"/>
      <c r="AU38" s="1"/>
      <c r="AV38" s="1"/>
      <c r="AW38" s="1"/>
      <c r="AX38" s="1"/>
      <c r="AY38" s="1"/>
      <c r="BA38" s="1"/>
      <c r="BM38" s="1"/>
      <c r="BN38" s="1"/>
      <c r="BV38" s="1"/>
      <c r="CX38" s="1"/>
      <c r="CZ38" s="1"/>
      <c r="DB38" s="1"/>
    </row>
    <row r="39" spans="1:107" ht="15.75" customHeight="1" x14ac:dyDescent="0.25">
      <c r="A39" s="1"/>
      <c r="B39" s="3"/>
      <c r="C39" s="1"/>
      <c r="D39" s="1"/>
      <c r="N39" s="1"/>
      <c r="V39" s="1"/>
      <c r="W39" s="1"/>
      <c r="X39" s="1"/>
      <c r="Y39" s="1"/>
      <c r="Z39" s="1"/>
      <c r="AA39" s="1"/>
      <c r="AB39" s="1"/>
      <c r="AI39" s="1"/>
      <c r="AK39" s="1"/>
      <c r="AU39" s="1"/>
      <c r="AV39" s="1"/>
      <c r="AW39" s="1"/>
      <c r="AX39" s="1"/>
      <c r="AY39" s="1"/>
      <c r="BA39" s="1"/>
      <c r="BM39" s="1"/>
      <c r="BN39" s="1"/>
      <c r="BV39" s="1"/>
      <c r="CH39" s="1"/>
      <c r="CI39" s="1"/>
      <c r="CJ39" s="1"/>
      <c r="CK39" s="1"/>
      <c r="CL39" s="1"/>
      <c r="CX39" s="1"/>
      <c r="CZ39" s="1"/>
      <c r="DC39" s="1"/>
    </row>
    <row r="40" spans="1:107" ht="15.75" customHeight="1" x14ac:dyDescent="0.25">
      <c r="A40" s="1"/>
      <c r="B40" s="3"/>
      <c r="C40" s="1"/>
      <c r="D40" s="1"/>
      <c r="N40" s="1"/>
      <c r="V40" s="1"/>
      <c r="W40" s="1"/>
      <c r="X40" s="1"/>
      <c r="Y40" s="1"/>
      <c r="Z40" s="1"/>
      <c r="AA40" s="1"/>
      <c r="AB40" s="1"/>
      <c r="AI40" s="1"/>
      <c r="AK40" s="1"/>
      <c r="AU40" s="1"/>
      <c r="AV40" s="1"/>
      <c r="AW40" s="1"/>
      <c r="AX40" s="1"/>
      <c r="AY40" s="1"/>
      <c r="BA40" s="1"/>
      <c r="BM40" s="1"/>
      <c r="BN40" s="1"/>
    </row>
    <row r="41" spans="1:107" ht="15.75" customHeight="1" x14ac:dyDescent="0.25">
      <c r="A41" s="1"/>
      <c r="B41" s="3"/>
      <c r="C41" s="1"/>
      <c r="D41" s="1"/>
      <c r="N41" s="1"/>
      <c r="V41" s="1"/>
      <c r="W41" s="1"/>
      <c r="X41" s="1"/>
      <c r="Y41" s="1"/>
      <c r="Z41" s="1"/>
      <c r="AA41" s="1"/>
      <c r="AB41" s="1"/>
      <c r="AI41" s="1"/>
      <c r="AK41" s="1"/>
      <c r="AU41" s="1"/>
      <c r="AV41" s="1"/>
      <c r="AW41" s="1"/>
      <c r="AX41" s="1"/>
      <c r="AY41" s="1"/>
      <c r="BA41" s="1"/>
      <c r="BM41" s="1"/>
      <c r="BN41" s="1"/>
      <c r="CH41" s="1"/>
      <c r="CI41" s="1"/>
      <c r="CJ41" s="1"/>
      <c r="CL41" s="1"/>
      <c r="CX41" s="1"/>
      <c r="CZ41" s="1"/>
      <c r="DB41" s="1"/>
    </row>
    <row r="42" spans="1:107" ht="15.75" customHeight="1" x14ac:dyDescent="0.25">
      <c r="A42" s="1"/>
      <c r="B42" s="3"/>
      <c r="C42" s="1"/>
      <c r="D42" s="1"/>
      <c r="N42" s="1"/>
      <c r="V42" s="1"/>
      <c r="W42" s="1"/>
      <c r="X42" s="1"/>
      <c r="Y42" s="1"/>
      <c r="Z42" s="1"/>
      <c r="AA42" s="1"/>
      <c r="AB42" s="1"/>
      <c r="AI42" s="1"/>
      <c r="AK42" s="1"/>
      <c r="AU42" s="1"/>
      <c r="AV42" s="1"/>
      <c r="AW42" s="1"/>
      <c r="AX42" s="1"/>
      <c r="AY42" s="1"/>
      <c r="BA42" s="1"/>
      <c r="BM42" s="1"/>
      <c r="BN42" s="1"/>
      <c r="BW42" s="1"/>
      <c r="CB42" s="1"/>
      <c r="CF42" s="1"/>
      <c r="CG42" s="1"/>
      <c r="CH42" s="1"/>
      <c r="CL42" s="1"/>
      <c r="CX42" s="1"/>
      <c r="CZ42" s="1"/>
      <c r="DB42" s="1"/>
      <c r="DC42" s="1"/>
    </row>
    <row r="43" spans="1:107" ht="15.75" customHeight="1" x14ac:dyDescent="0.25">
      <c r="A43" s="1"/>
      <c r="B43" s="3"/>
      <c r="C43" s="1"/>
      <c r="D43" s="1"/>
      <c r="N43" s="1"/>
      <c r="V43" s="1"/>
      <c r="W43" s="1"/>
      <c r="X43" s="1"/>
      <c r="Y43" s="1"/>
      <c r="Z43" s="1"/>
      <c r="AA43" s="1"/>
      <c r="AB43" s="1"/>
      <c r="AI43" s="1"/>
      <c r="AK43" s="1"/>
      <c r="AU43" s="1"/>
      <c r="AV43" s="1"/>
      <c r="AW43" s="1"/>
      <c r="AX43" s="1"/>
      <c r="AY43" s="1"/>
      <c r="BA43" s="1"/>
      <c r="BM43" s="1"/>
      <c r="BN43" s="1"/>
      <c r="CX43" s="1"/>
      <c r="CZ43" s="1"/>
      <c r="DB43" s="1"/>
      <c r="DC43" s="1"/>
    </row>
    <row r="44" spans="1:107" ht="15.75" customHeight="1" x14ac:dyDescent="0.25">
      <c r="A44" s="1"/>
      <c r="B44" s="3"/>
      <c r="C44" s="1"/>
      <c r="D44" s="1"/>
      <c r="N44" s="1"/>
      <c r="V44" s="1"/>
      <c r="W44" s="1"/>
      <c r="X44" s="1"/>
      <c r="Y44" s="1"/>
      <c r="Z44" s="1"/>
      <c r="AA44" s="1"/>
      <c r="AB44" s="1"/>
      <c r="AI44" s="1"/>
      <c r="AK44" s="1"/>
      <c r="AU44" s="1"/>
      <c r="AV44" s="1"/>
      <c r="AW44" s="1"/>
      <c r="AX44" s="1"/>
      <c r="AY44" s="1"/>
      <c r="BA44" s="1"/>
      <c r="BM44" s="1"/>
      <c r="BN44" s="1"/>
      <c r="CX44" s="1"/>
      <c r="CZ44" s="1"/>
      <c r="DB44" s="1"/>
      <c r="DC44" s="1"/>
    </row>
    <row r="45" spans="1:107" ht="15.75" customHeight="1" x14ac:dyDescent="0.25">
      <c r="A45" s="1"/>
      <c r="B45" s="3"/>
      <c r="C45" s="1"/>
      <c r="D45" s="1"/>
      <c r="N45" s="1"/>
      <c r="W45" s="1"/>
      <c r="X45" s="1"/>
      <c r="Y45" s="1"/>
      <c r="Z45" s="1"/>
      <c r="AA45" s="1"/>
      <c r="AB45" s="1"/>
      <c r="AI45" s="1"/>
      <c r="AK45" s="1"/>
      <c r="AU45" s="1"/>
      <c r="AV45" s="1"/>
      <c r="AW45" s="1"/>
      <c r="AX45" s="1"/>
      <c r="AY45" s="1"/>
      <c r="BA45" s="1"/>
      <c r="BM45" s="1"/>
      <c r="BN45" s="1"/>
      <c r="BW45" s="1"/>
      <c r="BZ45" s="1"/>
      <c r="CX45" s="1"/>
      <c r="CZ45" s="1"/>
      <c r="DB45" s="1"/>
      <c r="DC45" s="1"/>
    </row>
    <row r="46" spans="1:107" ht="15.75" customHeight="1" x14ac:dyDescent="0.25">
      <c r="A46" s="1"/>
      <c r="B46" s="3"/>
      <c r="C46" s="1"/>
      <c r="D46" s="1"/>
      <c r="N46" s="1"/>
      <c r="W46" s="1"/>
      <c r="X46" s="1"/>
      <c r="Y46" s="1"/>
      <c r="Z46" s="1"/>
      <c r="AA46" s="1"/>
      <c r="AB46" s="1"/>
      <c r="AI46" s="1"/>
      <c r="AK46" s="1"/>
      <c r="AU46" s="1"/>
      <c r="AV46" s="1"/>
      <c r="AW46" s="1"/>
      <c r="AX46" s="1"/>
      <c r="AY46" s="1"/>
      <c r="AZ46" s="1"/>
      <c r="BA46" s="1"/>
      <c r="BW46" s="1"/>
      <c r="CX46" s="1"/>
      <c r="CZ46" s="1"/>
      <c r="DB46" s="1"/>
      <c r="DC46" s="1"/>
    </row>
    <row r="47" spans="1:107" ht="15.75" customHeight="1" x14ac:dyDescent="0.25">
      <c r="A47" s="1"/>
      <c r="B47" s="3"/>
      <c r="C47" s="1"/>
      <c r="D47" s="1"/>
      <c r="N47" s="1"/>
      <c r="W47" s="1"/>
      <c r="X47" s="1"/>
      <c r="Y47" s="1"/>
      <c r="Z47" s="1"/>
      <c r="AA47" s="1"/>
      <c r="AB47" s="1"/>
      <c r="AI47" s="1"/>
      <c r="AJ47" s="1"/>
      <c r="AK47" s="1"/>
      <c r="AT47" s="1"/>
      <c r="AU47" s="1"/>
      <c r="AV47" s="1"/>
      <c r="AW47" s="1"/>
      <c r="AX47" s="1"/>
      <c r="AY47" s="1"/>
      <c r="BA47" s="1"/>
      <c r="BM47" s="1"/>
      <c r="BN47" s="1"/>
      <c r="BV47" s="1"/>
      <c r="BW47" s="1"/>
      <c r="BZ47" s="1"/>
      <c r="CX47" s="1"/>
      <c r="DC47" s="1"/>
    </row>
    <row r="48" spans="1:107" ht="15.75" customHeight="1" x14ac:dyDescent="0.25">
      <c r="A48" s="1"/>
      <c r="B48" s="3"/>
      <c r="C48" s="1"/>
      <c r="D48" s="1"/>
      <c r="N48" s="1"/>
      <c r="V48" s="1"/>
      <c r="W48" s="1"/>
      <c r="X48" s="1"/>
      <c r="Y48" s="1"/>
      <c r="Z48" s="1"/>
      <c r="AA48" s="1"/>
      <c r="AB48" s="1"/>
      <c r="AI48" s="1"/>
      <c r="AK48" s="1"/>
      <c r="AU48" s="1"/>
      <c r="AV48" s="1"/>
      <c r="AW48" s="1"/>
      <c r="AX48" s="1"/>
      <c r="AY48" s="1"/>
      <c r="BA48" s="1"/>
      <c r="BM48" s="1"/>
      <c r="BN48" s="1"/>
      <c r="BW48" s="1"/>
      <c r="CX48" s="1"/>
      <c r="CZ48" s="1"/>
      <c r="DC48" s="1"/>
    </row>
    <row r="49" spans="1:107" ht="15.75" customHeight="1" x14ac:dyDescent="0.25">
      <c r="A49" s="1"/>
      <c r="B49" s="3"/>
      <c r="C49" s="1"/>
      <c r="D49" s="1"/>
      <c r="N49" s="1"/>
      <c r="W49" s="1"/>
      <c r="X49" s="1"/>
      <c r="Y49" s="1"/>
      <c r="Z49" s="1"/>
      <c r="AA49" s="1"/>
      <c r="AB49" s="1"/>
      <c r="AI49" s="1"/>
      <c r="AJ49" s="1"/>
      <c r="AK49" s="1"/>
      <c r="AU49" s="1"/>
      <c r="AV49" s="1"/>
      <c r="AW49" s="1"/>
      <c r="AX49" s="1"/>
      <c r="AY49" s="1"/>
      <c r="BA49" s="1"/>
      <c r="BM49" s="1"/>
      <c r="BN49" s="1"/>
      <c r="CX49" s="1"/>
      <c r="CZ49" s="1"/>
      <c r="DC49" s="1"/>
    </row>
    <row r="50" spans="1:107" ht="15.75" customHeight="1" x14ac:dyDescent="0.25">
      <c r="A50" s="1"/>
      <c r="B50" s="3"/>
      <c r="C50" s="1"/>
      <c r="D50" s="1"/>
      <c r="N50" s="1"/>
      <c r="V50" s="1"/>
      <c r="W50" s="1"/>
      <c r="X50" s="1"/>
      <c r="Y50" s="1"/>
      <c r="Z50" s="1"/>
      <c r="AA50" s="1"/>
      <c r="AI50" s="1"/>
      <c r="AK50" s="1"/>
      <c r="AU50" s="1"/>
      <c r="AV50" s="1"/>
      <c r="AW50" s="1"/>
      <c r="AX50" s="1"/>
      <c r="AY50" s="1"/>
      <c r="BA50" s="1"/>
      <c r="BM50" s="1"/>
      <c r="BN50" s="1"/>
      <c r="CX50" s="1"/>
      <c r="CZ50" s="1"/>
      <c r="DA50" s="1"/>
      <c r="DB50" s="1"/>
      <c r="DC50" s="1"/>
    </row>
    <row r="51" spans="1:107" ht="15.75" customHeight="1" x14ac:dyDescent="0.25">
      <c r="A51" s="1"/>
      <c r="B51" s="3"/>
      <c r="C51" s="1"/>
      <c r="D51" s="1"/>
      <c r="N51" s="1"/>
      <c r="W51" s="1"/>
      <c r="X51" s="1"/>
      <c r="Y51" s="1"/>
      <c r="Z51" s="1"/>
      <c r="AA51" s="1"/>
      <c r="AB51" s="1"/>
      <c r="AI51" s="1"/>
      <c r="AK51" s="1"/>
      <c r="AU51" s="1"/>
      <c r="AV51" s="1"/>
      <c r="AW51" s="1"/>
      <c r="AX51" s="1"/>
      <c r="AY51" s="1"/>
      <c r="AZ51" s="1"/>
      <c r="CX51" s="1"/>
      <c r="CZ51" s="1"/>
      <c r="DC51" s="1"/>
    </row>
    <row r="52" spans="1:107" ht="15.75" customHeight="1" x14ac:dyDescent="0.25">
      <c r="A52" s="1"/>
      <c r="B52" s="3"/>
      <c r="C52" s="1"/>
      <c r="D52" s="1"/>
      <c r="N52" s="1"/>
      <c r="W52" s="1"/>
      <c r="X52" s="1"/>
      <c r="Y52" s="1"/>
      <c r="Z52" s="1"/>
      <c r="AA52" s="1"/>
      <c r="AB52" s="1"/>
      <c r="AI52" s="1"/>
      <c r="AK52" s="1"/>
      <c r="AU52" s="1"/>
      <c r="AV52" s="1"/>
      <c r="AW52" s="1"/>
      <c r="AX52" s="1"/>
      <c r="AY52" s="1"/>
      <c r="BA52" s="1"/>
      <c r="BM52" s="1"/>
      <c r="BN52" s="1"/>
      <c r="CX52" s="1"/>
      <c r="CZ52" s="1"/>
      <c r="DC52" s="1"/>
    </row>
    <row r="53" spans="1:107" ht="15.75" customHeight="1" x14ac:dyDescent="0.25">
      <c r="A53" s="1"/>
      <c r="B53" s="3"/>
      <c r="C53" s="1"/>
      <c r="D53" s="1"/>
      <c r="N53" s="1"/>
      <c r="W53" s="1"/>
      <c r="X53" s="1"/>
      <c r="Y53" s="1"/>
      <c r="Z53" s="1"/>
      <c r="AA53" s="1"/>
      <c r="AB53" s="1"/>
      <c r="AI53" s="1"/>
      <c r="AK53" s="1"/>
      <c r="AU53" s="1"/>
      <c r="AV53" s="1"/>
      <c r="AW53" s="1"/>
      <c r="AX53" s="1"/>
      <c r="AY53" s="1"/>
      <c r="BA53" s="1"/>
      <c r="BM53" s="1"/>
      <c r="BN53" s="1"/>
      <c r="CX53" s="1"/>
      <c r="CZ53" s="1"/>
      <c r="DC53" s="1"/>
    </row>
    <row r="54" spans="1:107" ht="15.75" customHeight="1" x14ac:dyDescent="0.25">
      <c r="A54" s="1"/>
      <c r="B54" s="3"/>
      <c r="C54" s="1"/>
      <c r="D54" s="1"/>
      <c r="N54" s="1"/>
      <c r="V54" s="1"/>
      <c r="W54" s="1"/>
      <c r="X54" s="1"/>
      <c r="Y54" s="1"/>
      <c r="Z54" s="1"/>
      <c r="AA54" s="1"/>
      <c r="AB54" s="1"/>
      <c r="AI54" s="1"/>
      <c r="AK54" s="1"/>
      <c r="AU54" s="1"/>
      <c r="AV54" s="1"/>
      <c r="AW54" s="1"/>
      <c r="AX54" s="1"/>
      <c r="AY54" s="1"/>
      <c r="BA54" s="1"/>
      <c r="BM54" s="1"/>
      <c r="BN54" s="1"/>
      <c r="BW54" s="1"/>
      <c r="BZ54" s="1"/>
      <c r="CM54" s="1"/>
      <c r="CQ54" s="1"/>
      <c r="CX54" s="1"/>
      <c r="CZ54" s="1"/>
      <c r="DC54" s="1"/>
    </row>
    <row r="55" spans="1:107" ht="15.75" customHeight="1" x14ac:dyDescent="0.25">
      <c r="A55" s="1"/>
      <c r="B55" s="3"/>
      <c r="C55" s="1"/>
      <c r="D55" s="1"/>
      <c r="N55" s="1"/>
      <c r="W55" s="1"/>
      <c r="X55" s="1"/>
      <c r="Y55" s="1"/>
      <c r="Z55" s="1"/>
      <c r="AA55" s="1"/>
      <c r="AB55" s="1"/>
      <c r="AI55" s="1"/>
      <c r="AK55" s="1"/>
      <c r="AU55" s="1"/>
      <c r="AV55" s="1"/>
      <c r="AW55" s="1"/>
      <c r="AX55" s="1"/>
      <c r="AY55" s="1"/>
      <c r="BA55" s="1"/>
      <c r="BM55" s="1"/>
      <c r="BN55" s="1"/>
      <c r="CH55" s="1"/>
      <c r="CJ55" s="1"/>
      <c r="CL55" s="1"/>
      <c r="CX55" s="1"/>
      <c r="CZ55" s="1"/>
      <c r="DC55" s="1"/>
    </row>
    <row r="56" spans="1:107" ht="15.75" customHeight="1" x14ac:dyDescent="0.25">
      <c r="A56" s="1"/>
      <c r="B56" s="3"/>
      <c r="C56" s="1"/>
      <c r="D56" s="1"/>
      <c r="N56" s="1"/>
      <c r="W56" s="1"/>
      <c r="X56" s="1"/>
      <c r="Y56" s="1"/>
      <c r="Z56" s="1"/>
      <c r="AA56" s="1"/>
      <c r="AB56" s="1"/>
      <c r="AI56" s="1"/>
      <c r="AK56" s="1"/>
      <c r="AT56" s="1"/>
      <c r="AU56" s="1"/>
      <c r="AV56" s="1"/>
      <c r="AW56" s="1"/>
      <c r="AX56" s="1"/>
      <c r="AY56" s="1"/>
      <c r="BA56" s="1"/>
      <c r="BL56" s="1"/>
      <c r="BM56" s="1"/>
      <c r="BN56" s="1"/>
      <c r="BV56" s="1"/>
    </row>
    <row r="57" spans="1:107" ht="15.75" customHeight="1" x14ac:dyDescent="0.25">
      <c r="A57" s="1"/>
      <c r="B57" s="3"/>
      <c r="C57" s="1"/>
      <c r="D57" s="1"/>
      <c r="N57" s="1"/>
      <c r="V57" s="1"/>
      <c r="W57" s="1"/>
      <c r="X57" s="1"/>
      <c r="Y57" s="1"/>
      <c r="Z57" s="1"/>
      <c r="AA57" s="1"/>
      <c r="AB57" s="1"/>
      <c r="AI57" s="1"/>
      <c r="AJ57" s="1"/>
      <c r="AK57" s="1"/>
      <c r="AU57" s="1"/>
      <c r="AV57" s="1"/>
      <c r="AW57" s="1"/>
      <c r="AX57" s="1"/>
      <c r="AY57" s="1"/>
      <c r="BA57" s="1"/>
      <c r="BM57" s="1"/>
      <c r="BN57" s="1"/>
      <c r="CH57" s="1"/>
      <c r="CI57" s="1"/>
      <c r="CJ57" s="1"/>
      <c r="CL57" s="1"/>
      <c r="CX57" s="1"/>
      <c r="CZ57" s="1"/>
      <c r="DB57" s="1"/>
      <c r="DC57" s="1"/>
    </row>
    <row r="58" spans="1:107" ht="15.75" customHeight="1" x14ac:dyDescent="0.25">
      <c r="A58" s="1"/>
      <c r="B58" s="3"/>
      <c r="C58" s="1"/>
      <c r="D58" s="1"/>
      <c r="N58" s="1"/>
      <c r="W58" s="1"/>
      <c r="X58" s="1"/>
      <c r="Y58" s="1"/>
      <c r="Z58" s="1"/>
      <c r="AA58" s="1"/>
      <c r="AB58" s="1"/>
      <c r="AI58" s="1"/>
      <c r="AK58" s="1"/>
      <c r="AU58" s="1"/>
      <c r="AV58" s="1"/>
      <c r="AW58" s="1"/>
      <c r="AX58" s="1"/>
      <c r="AY58" s="1"/>
      <c r="BA58" s="1"/>
      <c r="BM58" s="1"/>
      <c r="BN58" s="1"/>
      <c r="BW58" s="1"/>
      <c r="BZ58" s="1"/>
      <c r="CH58" s="1"/>
      <c r="CJ58" s="1"/>
      <c r="CL58" s="1"/>
      <c r="CM58" s="1"/>
      <c r="CX58" s="1"/>
      <c r="CZ58" s="1"/>
      <c r="DC58" s="1"/>
    </row>
    <row r="59" spans="1:107" ht="15.75" customHeight="1" x14ac:dyDescent="0.25">
      <c r="A59" s="1"/>
      <c r="B59" s="3"/>
      <c r="C59" s="1"/>
      <c r="D59" s="1"/>
      <c r="N59" s="1"/>
      <c r="W59" s="1"/>
      <c r="X59" s="1"/>
      <c r="Y59" s="1"/>
      <c r="Z59" s="1"/>
      <c r="AA59" s="1"/>
      <c r="AB59" s="1"/>
      <c r="AI59" s="1"/>
      <c r="AK59" s="1"/>
      <c r="AU59" s="1"/>
      <c r="AV59" s="1"/>
      <c r="AW59" s="1"/>
      <c r="AX59" s="1"/>
      <c r="AY59" s="1"/>
      <c r="AZ59" s="1"/>
      <c r="BA59" s="1"/>
    </row>
    <row r="60" spans="1:107" ht="15.75" customHeight="1" x14ac:dyDescent="0.25">
      <c r="A60" s="1"/>
      <c r="B60" s="3"/>
      <c r="C60" s="1"/>
      <c r="D60" s="1"/>
      <c r="N60" s="1"/>
      <c r="V60" s="1"/>
      <c r="W60" s="1"/>
      <c r="X60" s="1"/>
      <c r="Y60" s="1"/>
      <c r="Z60" s="1"/>
      <c r="AA60" s="1"/>
      <c r="AB60" s="1"/>
      <c r="AI60" s="1"/>
      <c r="AK60" s="1"/>
      <c r="AU60" s="1"/>
      <c r="AV60" s="1"/>
      <c r="AW60" s="1"/>
      <c r="AX60" s="1"/>
      <c r="AY60" s="1"/>
      <c r="BA60" s="1"/>
      <c r="BM60" s="1"/>
      <c r="BN60" s="1"/>
      <c r="BW60" s="1"/>
      <c r="BZ60" s="1"/>
      <c r="CX60" s="1"/>
      <c r="CZ60" s="1"/>
      <c r="DA60" s="1"/>
      <c r="DB60" s="1"/>
      <c r="DC60" s="1"/>
    </row>
    <row r="61" spans="1:107" ht="15.75" customHeight="1" x14ac:dyDescent="0.25">
      <c r="A61" s="1"/>
      <c r="B61" s="3"/>
      <c r="C61" s="1"/>
      <c r="D61" s="1"/>
      <c r="N61" s="1"/>
      <c r="V61" s="1"/>
      <c r="W61" s="1"/>
      <c r="X61" s="1"/>
      <c r="Y61" s="1"/>
      <c r="Z61" s="1"/>
      <c r="AA61" s="1"/>
      <c r="AB61" s="1"/>
      <c r="AI61" s="1"/>
      <c r="AK61" s="1"/>
      <c r="AU61" s="1"/>
      <c r="AV61" s="1"/>
      <c r="AW61" s="1"/>
      <c r="AX61" s="1"/>
      <c r="AY61" s="1"/>
      <c r="BA61" s="1"/>
      <c r="BM61" s="1"/>
      <c r="BN61" s="1"/>
      <c r="BW61" s="1"/>
      <c r="BZ61" s="1"/>
      <c r="CX61" s="1"/>
      <c r="CZ61" s="1"/>
      <c r="DC61" s="1"/>
    </row>
    <row r="62" spans="1:107" ht="15.75" customHeight="1" x14ac:dyDescent="0.25">
      <c r="A62" s="1"/>
      <c r="B62" s="3"/>
      <c r="C62" s="1"/>
      <c r="D62" s="1"/>
      <c r="N62" s="1"/>
      <c r="U62" s="1"/>
      <c r="V62" s="1"/>
      <c r="W62" s="1"/>
      <c r="X62" s="1"/>
      <c r="Y62" s="1"/>
      <c r="Z62" s="1"/>
      <c r="AA62" s="1"/>
      <c r="AB62" s="1"/>
      <c r="AI62" s="1"/>
      <c r="AK62" s="1"/>
      <c r="AT62" s="1"/>
      <c r="AU62" s="1"/>
      <c r="AV62" s="1"/>
      <c r="AW62" s="1"/>
      <c r="AX62" s="1"/>
      <c r="AY62" s="1"/>
      <c r="BA62" s="1"/>
      <c r="BM62" s="1"/>
      <c r="BN62" s="1"/>
      <c r="CX62" s="1"/>
      <c r="CZ62" s="1"/>
      <c r="DB62" s="1"/>
      <c r="DC62" s="1"/>
    </row>
    <row r="63" spans="1:107" ht="15.75" customHeight="1" x14ac:dyDescent="0.25">
      <c r="A63" s="1"/>
      <c r="B63" s="3"/>
      <c r="C63" s="1"/>
      <c r="D63" s="1"/>
      <c r="N63" s="1"/>
      <c r="W63" s="1"/>
      <c r="X63" s="1"/>
      <c r="Y63" s="1"/>
      <c r="Z63" s="1"/>
      <c r="AA63" s="1"/>
      <c r="AB63" s="1"/>
      <c r="AI63" s="1"/>
      <c r="AJ63" s="1"/>
      <c r="AK63" s="1"/>
      <c r="AU63" s="1"/>
      <c r="AV63" s="1"/>
      <c r="AW63" s="1"/>
      <c r="AX63" s="1"/>
      <c r="AY63" s="1"/>
      <c r="BA63" s="1"/>
      <c r="BM63" s="1"/>
      <c r="BN63" s="1"/>
      <c r="CX63" s="1"/>
      <c r="CZ63" s="1"/>
      <c r="DC63" s="1"/>
    </row>
    <row r="64" spans="1:107" ht="15.75" customHeight="1" x14ac:dyDescent="0.25">
      <c r="A64" s="1"/>
      <c r="B64" s="3"/>
      <c r="C64" s="1"/>
      <c r="D64" s="1"/>
      <c r="N64" s="1"/>
      <c r="V64" s="1"/>
      <c r="W64" s="1"/>
      <c r="X64" s="1"/>
      <c r="Y64" s="1"/>
      <c r="Z64" s="1"/>
      <c r="AA64" s="1"/>
      <c r="AB64" s="1"/>
      <c r="AI64" s="1"/>
      <c r="AK64" s="1"/>
      <c r="AU64" s="1"/>
      <c r="AV64" s="1"/>
      <c r="AW64" s="1"/>
      <c r="AX64" s="1"/>
      <c r="AY64" s="1"/>
      <c r="BA64" s="1"/>
      <c r="BM64" s="1"/>
      <c r="BN64" s="1"/>
      <c r="CX64" s="1"/>
      <c r="CZ64" s="1"/>
      <c r="DC64" s="1"/>
    </row>
    <row r="65" spans="1:107" ht="15.75" customHeight="1" x14ac:dyDescent="0.25">
      <c r="A65" s="1"/>
      <c r="B65" s="3"/>
      <c r="C65" s="1"/>
      <c r="D65" s="1"/>
      <c r="N65" s="1"/>
      <c r="V65" s="1"/>
      <c r="W65" s="1"/>
      <c r="X65" s="1"/>
      <c r="Y65" s="1"/>
      <c r="Z65" s="1"/>
      <c r="AA65" s="1"/>
      <c r="AB65" s="1"/>
      <c r="AI65" s="1"/>
      <c r="AK65" s="1"/>
      <c r="AU65" s="1"/>
      <c r="AV65" s="1"/>
      <c r="AW65" s="1"/>
      <c r="AX65" s="1"/>
      <c r="AY65" s="1"/>
      <c r="BA65" s="1"/>
      <c r="BM65" s="1"/>
      <c r="BN65" s="1"/>
      <c r="BV65" s="1"/>
      <c r="BW65" s="1"/>
      <c r="CX65" s="1"/>
      <c r="CY65" s="1"/>
      <c r="CZ65" s="1"/>
      <c r="DB65" s="1"/>
      <c r="DC65" s="1"/>
    </row>
    <row r="66" spans="1:107" ht="15.75" customHeight="1" x14ac:dyDescent="0.25">
      <c r="A66" s="1"/>
      <c r="B66" s="3"/>
      <c r="C66" s="1"/>
      <c r="D66" s="1"/>
      <c r="N66" s="1"/>
      <c r="W66" s="1"/>
      <c r="X66" s="1"/>
      <c r="Y66" s="1"/>
      <c r="Z66" s="1"/>
      <c r="AA66" s="1"/>
      <c r="AI66" s="1"/>
      <c r="AV66" s="1"/>
      <c r="AW66" s="1"/>
      <c r="AX66" s="1"/>
    </row>
    <row r="67" spans="1:107" ht="15.75" customHeight="1" x14ac:dyDescent="0.25">
      <c r="A67" s="1"/>
      <c r="B67" s="3"/>
      <c r="C67" s="1"/>
      <c r="D67" s="1"/>
      <c r="N67" s="1"/>
      <c r="V67" s="1"/>
      <c r="W67" s="1"/>
      <c r="X67" s="1"/>
      <c r="Y67" s="1"/>
      <c r="Z67" s="1"/>
      <c r="AA67" s="1"/>
      <c r="AB67" s="1"/>
      <c r="AI67" s="1"/>
      <c r="AK67" s="1"/>
      <c r="AU67" s="1"/>
      <c r="AV67" s="1"/>
      <c r="AW67" s="1"/>
      <c r="AX67" s="1"/>
      <c r="AY67" s="1"/>
      <c r="BA67" s="1"/>
      <c r="BM67" s="1"/>
      <c r="BN67" s="1"/>
      <c r="CM67" s="1"/>
      <c r="CU67" s="1"/>
      <c r="DC67" s="1"/>
    </row>
    <row r="68" spans="1:107" ht="15.75" customHeight="1" x14ac:dyDescent="0.25">
      <c r="A68" s="1"/>
      <c r="B68" s="3"/>
      <c r="C68" s="1"/>
      <c r="D68" s="1"/>
      <c r="N68" s="1"/>
      <c r="W68" s="1"/>
      <c r="X68" s="1"/>
      <c r="Y68" s="1"/>
      <c r="Z68" s="1"/>
      <c r="AA68" s="1"/>
      <c r="AI68" s="1"/>
      <c r="AV68" s="1"/>
      <c r="AW68" s="1"/>
      <c r="AX68" s="1"/>
    </row>
    <row r="69" spans="1:107" ht="15.75" customHeight="1" x14ac:dyDescent="0.25">
      <c r="A69" s="1"/>
      <c r="B69" s="3"/>
      <c r="C69" s="1"/>
      <c r="D69" s="1"/>
      <c r="N69" s="1"/>
      <c r="V69" s="1"/>
      <c r="W69" s="1"/>
      <c r="X69" s="1"/>
      <c r="Y69" s="1"/>
      <c r="Z69" s="1"/>
      <c r="AA69" s="1"/>
      <c r="AB69" s="1"/>
      <c r="AI69" s="1"/>
      <c r="AK69" s="1"/>
      <c r="AU69" s="1"/>
      <c r="AV69" s="1"/>
      <c r="AW69" s="1"/>
      <c r="AX69" s="1"/>
      <c r="AY69" s="1"/>
      <c r="BA69" s="1"/>
      <c r="BM69" s="1"/>
      <c r="BN69" s="1"/>
      <c r="BW69" s="1"/>
      <c r="CB69" s="1"/>
      <c r="CF69" s="1"/>
      <c r="CG69" s="1"/>
      <c r="CU69" s="1"/>
    </row>
    <row r="70" spans="1:107" ht="15.75" customHeight="1" x14ac:dyDescent="0.25">
      <c r="A70" s="1"/>
      <c r="B70" s="3"/>
      <c r="C70" s="1"/>
      <c r="D70" s="1"/>
      <c r="N70" s="1"/>
      <c r="W70" s="1"/>
      <c r="X70" s="1"/>
      <c r="Y70" s="1"/>
      <c r="Z70" s="1"/>
      <c r="AA70" s="1"/>
      <c r="AB70" s="1"/>
      <c r="AI70" s="1"/>
      <c r="AK70" s="1"/>
      <c r="AU70" s="1"/>
      <c r="AV70" s="1"/>
      <c r="AW70" s="1"/>
      <c r="AX70" s="1"/>
      <c r="AY70" s="1"/>
      <c r="BA70" s="1"/>
      <c r="BM70" s="1"/>
      <c r="BN70" s="1"/>
    </row>
    <row r="71" spans="1:107" ht="15.75" customHeight="1" x14ac:dyDescent="0.25">
      <c r="A71" s="1"/>
      <c r="B71" s="3"/>
      <c r="C71" s="1"/>
      <c r="D71" s="1"/>
      <c r="N71" s="1"/>
      <c r="V71" s="1"/>
      <c r="W71" s="1"/>
      <c r="X71" s="1"/>
      <c r="Y71" s="1"/>
      <c r="Z71" s="1"/>
      <c r="AA71" s="1"/>
      <c r="AI71" s="1"/>
      <c r="AK71" s="1"/>
      <c r="AU71" s="1"/>
      <c r="AV71" s="1"/>
      <c r="AW71" s="1"/>
      <c r="AX71" s="1"/>
      <c r="AY71" s="1"/>
      <c r="BA71" s="1"/>
      <c r="BM71" s="1"/>
      <c r="BN71" s="1"/>
      <c r="BV71" s="1"/>
      <c r="DC71" s="1"/>
    </row>
    <row r="72" spans="1:107" ht="15.75" customHeight="1" x14ac:dyDescent="0.25">
      <c r="A72" s="1"/>
      <c r="B72" s="3"/>
      <c r="C72" s="1"/>
      <c r="D72" s="1"/>
      <c r="N72" s="1"/>
      <c r="V72" s="1"/>
      <c r="W72" s="1"/>
      <c r="X72" s="1"/>
      <c r="Y72" s="1"/>
      <c r="Z72" s="1"/>
      <c r="AA72" s="1"/>
      <c r="AB72" s="1"/>
      <c r="AI72" s="1"/>
      <c r="AJ72" s="1"/>
      <c r="AK72" s="1"/>
      <c r="AU72" s="1"/>
      <c r="AV72" s="1"/>
      <c r="AW72" s="1"/>
      <c r="AX72" s="1"/>
      <c r="AY72" s="1"/>
      <c r="BA72" s="1"/>
      <c r="BM72" s="1"/>
      <c r="BN72" s="1"/>
      <c r="DC72" s="1"/>
    </row>
    <row r="73" spans="1:107" ht="15.75" customHeight="1" x14ac:dyDescent="0.25">
      <c r="A73" s="1"/>
      <c r="B73" s="3"/>
      <c r="C73" s="1"/>
      <c r="D73" s="1"/>
      <c r="N73" s="1"/>
      <c r="V73" s="1"/>
      <c r="W73" s="1"/>
      <c r="X73" s="1"/>
      <c r="Y73" s="1"/>
      <c r="Z73" s="1"/>
      <c r="AA73" s="1"/>
      <c r="AB73" s="1"/>
      <c r="AI73" s="1"/>
      <c r="AK73" s="1"/>
      <c r="AU73" s="1"/>
      <c r="AV73" s="1"/>
      <c r="AW73" s="1"/>
      <c r="AX73" s="1"/>
      <c r="AY73" s="1"/>
      <c r="BA73" s="1"/>
      <c r="BM73" s="1"/>
      <c r="BN73" s="1"/>
      <c r="BW73" s="1"/>
      <c r="BZ73" s="1"/>
      <c r="DC73" s="1"/>
    </row>
    <row r="74" spans="1:107" ht="15.75" customHeight="1" x14ac:dyDescent="0.25">
      <c r="A74" s="1"/>
      <c r="B74" s="3"/>
      <c r="C74" s="1"/>
      <c r="D74" s="1"/>
      <c r="N74" s="1"/>
      <c r="V74" s="1"/>
      <c r="W74" s="1"/>
      <c r="X74" s="1"/>
      <c r="Y74" s="1"/>
      <c r="Z74" s="1"/>
      <c r="AA74" s="1"/>
      <c r="AB74" s="1"/>
      <c r="AI74" s="1"/>
      <c r="AK74" s="1"/>
      <c r="AU74" s="1"/>
      <c r="AV74" s="1"/>
      <c r="AW74" s="1"/>
      <c r="AX74" s="1"/>
      <c r="AY74" s="1"/>
      <c r="BA74" s="1"/>
      <c r="BM74" s="1"/>
      <c r="BN74" s="1"/>
      <c r="DC74" s="1"/>
    </row>
    <row r="75" spans="1:107" ht="15.75" customHeight="1" x14ac:dyDescent="0.25">
      <c r="A75" s="1"/>
      <c r="B75" s="3"/>
      <c r="C75" s="1"/>
      <c r="D75" s="1"/>
      <c r="N75" s="1"/>
      <c r="V75" s="1"/>
      <c r="W75" s="1"/>
      <c r="X75" s="1"/>
      <c r="Y75" s="1"/>
      <c r="Z75" s="1"/>
      <c r="AA75" s="1"/>
      <c r="AB75" s="1"/>
      <c r="AI75" s="1"/>
      <c r="AK75" s="1"/>
      <c r="AU75" s="1"/>
      <c r="AV75" s="1"/>
      <c r="AW75" s="1"/>
      <c r="AX75" s="1"/>
      <c r="AY75" s="1"/>
      <c r="BA75" s="1"/>
      <c r="BM75" s="1"/>
      <c r="BN75" s="1"/>
      <c r="BV75" s="1"/>
      <c r="DC75" s="1"/>
    </row>
    <row r="76" spans="1:107" ht="15.75" customHeight="1" x14ac:dyDescent="0.25">
      <c r="A76" s="1"/>
      <c r="B76" s="3"/>
      <c r="C76" s="1"/>
      <c r="D76" s="1"/>
      <c r="N76" s="1"/>
      <c r="V76" s="1"/>
      <c r="W76" s="1"/>
      <c r="X76" s="1"/>
      <c r="Y76" s="1"/>
      <c r="Z76" s="1"/>
      <c r="AA76" s="1"/>
      <c r="AB76" s="1"/>
      <c r="AI76" s="1"/>
      <c r="AJ76" s="1"/>
      <c r="AK76" s="1"/>
      <c r="AU76" s="1"/>
      <c r="AV76" s="1"/>
      <c r="AW76" s="1"/>
      <c r="AX76" s="1"/>
      <c r="AY76" s="1"/>
      <c r="AZ76" s="1"/>
      <c r="BA76" s="1"/>
      <c r="BW76" s="1"/>
      <c r="BY76" s="1"/>
      <c r="BZ76" s="1"/>
      <c r="CB76" s="1"/>
      <c r="CF76" s="1"/>
      <c r="CG76" s="1"/>
      <c r="DC76" s="1"/>
    </row>
    <row r="77" spans="1:107" ht="15.75" customHeight="1" x14ac:dyDescent="0.25">
      <c r="A77" s="1"/>
      <c r="B77" s="3"/>
      <c r="C77" s="1"/>
      <c r="D77" s="1"/>
      <c r="N77" s="1"/>
      <c r="V77" s="1"/>
      <c r="W77" s="1"/>
      <c r="X77" s="1"/>
      <c r="Y77" s="1"/>
      <c r="Z77" s="1"/>
      <c r="AA77" s="1"/>
      <c r="AB77" s="1"/>
      <c r="AI77" s="1"/>
      <c r="AK77" s="1"/>
      <c r="AU77" s="1"/>
      <c r="AV77" s="1"/>
      <c r="AW77" s="1"/>
      <c r="AX77" s="1"/>
      <c r="AY77" s="1"/>
      <c r="AZ77" s="1"/>
      <c r="BA77" s="1"/>
    </row>
    <row r="78" spans="1:107" ht="15.75" customHeight="1" x14ac:dyDescent="0.25">
      <c r="A78" s="1"/>
      <c r="B78" s="3"/>
      <c r="C78" s="1"/>
      <c r="D78" s="1"/>
      <c r="N78" s="1"/>
      <c r="V78" s="1"/>
      <c r="W78" s="1"/>
      <c r="X78" s="1"/>
      <c r="Y78" s="1"/>
      <c r="Z78" s="1"/>
      <c r="AA78" s="1"/>
      <c r="AB78" s="1"/>
      <c r="AI78" s="1"/>
      <c r="AK78" s="1"/>
      <c r="AU78" s="1"/>
      <c r="AV78" s="1"/>
      <c r="AW78" s="1"/>
      <c r="AX78" s="1"/>
      <c r="AY78" s="1"/>
      <c r="BA78" s="1"/>
      <c r="DC78" s="1"/>
    </row>
    <row r="79" spans="1:107" ht="15.75" customHeight="1" x14ac:dyDescent="0.25">
      <c r="A79" s="1"/>
      <c r="B79" s="3"/>
      <c r="C79" s="1"/>
      <c r="D79" s="1"/>
      <c r="N79" s="1"/>
      <c r="V79" s="1"/>
      <c r="W79" s="1"/>
      <c r="X79" s="1"/>
      <c r="Y79" s="1"/>
      <c r="Z79" s="1"/>
      <c r="AA79" s="1"/>
      <c r="AB79" s="1"/>
      <c r="AI79" s="1"/>
      <c r="AK79" s="1"/>
      <c r="AU79" s="1"/>
      <c r="AV79" s="1"/>
      <c r="AW79" s="1"/>
      <c r="AX79" s="1"/>
      <c r="AY79" s="1"/>
      <c r="AZ79" s="1"/>
      <c r="BA79" s="1"/>
      <c r="BW79" s="1"/>
      <c r="DC79" s="1"/>
    </row>
    <row r="80" spans="1:107" ht="15.75" customHeight="1" x14ac:dyDescent="0.25">
      <c r="A80" s="1"/>
      <c r="B80" s="3"/>
      <c r="C80" s="1"/>
      <c r="D80" s="1"/>
      <c r="N80" s="1"/>
      <c r="V80" s="1"/>
      <c r="W80" s="1"/>
      <c r="X80" s="1"/>
      <c r="Y80" s="1"/>
      <c r="Z80" s="1"/>
      <c r="AA80" s="1"/>
      <c r="AB80" s="1"/>
      <c r="AI80" s="1"/>
      <c r="AK80" s="1"/>
      <c r="AU80" s="1"/>
      <c r="AV80" s="1"/>
      <c r="AW80" s="1"/>
      <c r="AX80" s="1"/>
      <c r="AY80" s="1"/>
      <c r="BA80" s="1"/>
      <c r="BM80" s="1"/>
      <c r="BN80" s="1"/>
      <c r="DC80" s="1"/>
    </row>
    <row r="81" spans="1:107" ht="15.75" customHeight="1" x14ac:dyDescent="0.25">
      <c r="A81" s="1"/>
      <c r="B81" s="3"/>
      <c r="C81" s="1"/>
      <c r="D81" s="1"/>
      <c r="N81" s="1"/>
      <c r="V81" s="1"/>
      <c r="W81" s="1"/>
      <c r="X81" s="1"/>
      <c r="Y81" s="1"/>
      <c r="Z81" s="1"/>
      <c r="AA81" s="1"/>
      <c r="AB81" s="1"/>
      <c r="AI81" s="1"/>
      <c r="AJ81" s="1"/>
      <c r="AK81" s="1"/>
      <c r="AU81" s="1"/>
      <c r="AV81" s="1"/>
      <c r="AW81" s="1"/>
      <c r="AX81" s="1"/>
      <c r="AY81" s="1"/>
      <c r="AZ81" s="1"/>
      <c r="BA81" s="1"/>
      <c r="BW81" s="1"/>
      <c r="BZ81" s="1"/>
      <c r="DC81" s="1"/>
    </row>
    <row r="82" spans="1:107" ht="15.75" customHeight="1" x14ac:dyDescent="0.25">
      <c r="A82" s="1"/>
      <c r="B82" s="3"/>
      <c r="C82" s="1"/>
      <c r="D82" s="1"/>
      <c r="N82" s="1"/>
      <c r="V82" s="1"/>
      <c r="W82" s="1"/>
      <c r="X82" s="1"/>
      <c r="Y82" s="1"/>
      <c r="Z82" s="1"/>
      <c r="AA82" s="1"/>
      <c r="AB82" s="1"/>
      <c r="AI82" s="1"/>
      <c r="AJ82" s="1"/>
      <c r="AK82" s="1"/>
      <c r="AU82" s="1"/>
      <c r="AV82" s="1"/>
      <c r="AW82" s="1"/>
      <c r="AX82" s="1"/>
      <c r="AY82" s="1"/>
      <c r="BA82" s="1"/>
      <c r="BM82" s="1"/>
      <c r="BN82" s="1"/>
      <c r="BW82" s="1"/>
      <c r="BZ82" s="1"/>
      <c r="DC82" s="1"/>
    </row>
    <row r="83" spans="1:107" ht="15.75" customHeight="1" x14ac:dyDescent="0.25">
      <c r="A83" s="1"/>
      <c r="B83" s="3"/>
      <c r="C83" s="1"/>
      <c r="D83" s="1"/>
      <c r="N83" s="1"/>
      <c r="W83" s="1"/>
      <c r="X83" s="1"/>
      <c r="Y83" s="1"/>
      <c r="Z83" s="1"/>
      <c r="AA83" s="1"/>
      <c r="AB83" s="1"/>
      <c r="AI83" s="1"/>
      <c r="AK83" s="1"/>
      <c r="AU83" s="1"/>
      <c r="AV83" s="1"/>
      <c r="AW83" s="1"/>
      <c r="AX83" s="1"/>
      <c r="AY83" s="1"/>
      <c r="BA83" s="1"/>
      <c r="BM83" s="1"/>
      <c r="BN83" s="1"/>
      <c r="DC83" s="1"/>
    </row>
    <row r="84" spans="1:107" ht="15.75" customHeight="1" x14ac:dyDescent="0.25">
      <c r="A84" s="1"/>
      <c r="B84" s="3"/>
      <c r="C84" s="1"/>
      <c r="D84" s="1"/>
      <c r="N84" s="1"/>
      <c r="V84" s="1"/>
      <c r="W84" s="1"/>
      <c r="X84" s="1"/>
      <c r="Y84" s="1"/>
      <c r="Z84" s="1"/>
      <c r="AA84" s="1"/>
      <c r="AB84" s="1"/>
      <c r="AI84" s="1"/>
      <c r="AJ84" s="1"/>
      <c r="AK84" s="1"/>
      <c r="AU84" s="1"/>
      <c r="AV84" s="1"/>
      <c r="AW84" s="1"/>
      <c r="AX84" s="1"/>
      <c r="AY84" s="1"/>
      <c r="BA84" s="1"/>
      <c r="BM84" s="1"/>
      <c r="BN84" s="1"/>
      <c r="BW84" s="1"/>
      <c r="BZ84" s="1"/>
      <c r="DC84" s="1"/>
    </row>
    <row r="85" spans="1:107" ht="15.75" customHeight="1" x14ac:dyDescent="0.25">
      <c r="A85" s="1"/>
      <c r="B85" s="3"/>
      <c r="C85" s="1"/>
      <c r="D85" s="1"/>
      <c r="N85" s="1"/>
      <c r="V85" s="1"/>
      <c r="W85" s="1"/>
      <c r="X85" s="1"/>
      <c r="Y85" s="1"/>
      <c r="Z85" s="1"/>
      <c r="AA85" s="1"/>
      <c r="AB85" s="1"/>
      <c r="AI85" s="1"/>
      <c r="AJ85" s="1"/>
      <c r="AK85" s="1"/>
      <c r="AU85" s="1"/>
      <c r="AV85" s="1"/>
      <c r="AW85" s="1"/>
      <c r="AX85" s="1"/>
      <c r="AY85" s="1"/>
      <c r="BA85" s="1"/>
      <c r="DC85" s="1"/>
    </row>
    <row r="86" spans="1:107" ht="15.75" customHeight="1" x14ac:dyDescent="0.25">
      <c r="A86" s="1"/>
      <c r="B86" s="3"/>
      <c r="C86" s="1"/>
      <c r="D86" s="1"/>
      <c r="N86" s="1"/>
      <c r="V86" s="1"/>
      <c r="W86" s="1"/>
      <c r="X86" s="1"/>
      <c r="Y86" s="1"/>
      <c r="Z86" s="1"/>
      <c r="AA86" s="1"/>
      <c r="AB86" s="1"/>
      <c r="AI86" s="1"/>
      <c r="AJ86" s="1"/>
      <c r="AK86" s="1"/>
      <c r="AU86" s="1"/>
      <c r="AV86" s="1"/>
      <c r="AW86" s="1"/>
      <c r="AX86" s="1"/>
      <c r="AY86" s="1"/>
      <c r="BA86" s="1"/>
      <c r="BM86" s="1"/>
      <c r="BN86" s="1"/>
      <c r="DC86" s="1"/>
    </row>
    <row r="87" spans="1:107" ht="15.75" customHeight="1" x14ac:dyDescent="0.25">
      <c r="A87" s="1"/>
      <c r="B87" s="3"/>
      <c r="C87" s="1"/>
      <c r="D87" s="1"/>
      <c r="N87" s="1"/>
      <c r="W87" s="1"/>
      <c r="X87" s="1"/>
      <c r="Y87" s="1"/>
      <c r="Z87" s="1"/>
      <c r="AA87" s="1"/>
      <c r="AB87" s="1"/>
      <c r="AI87" s="1"/>
      <c r="AJ87" s="1"/>
      <c r="AK87" s="1"/>
      <c r="AU87" s="1"/>
      <c r="AV87" s="1"/>
      <c r="AW87" s="1"/>
      <c r="AX87" s="1"/>
      <c r="AY87" s="1"/>
      <c r="BA87" s="1"/>
      <c r="BM87" s="1"/>
      <c r="BN87" s="1"/>
      <c r="BW87" s="1"/>
      <c r="BY87" s="1"/>
      <c r="BZ87" s="1"/>
      <c r="DC87" s="1"/>
    </row>
    <row r="88" spans="1:107" ht="15.75" customHeight="1" x14ac:dyDescent="0.25">
      <c r="A88" s="1"/>
      <c r="B88" s="3"/>
      <c r="C88" s="1"/>
      <c r="D88" s="1"/>
      <c r="N88" s="1"/>
      <c r="W88" s="1"/>
      <c r="X88" s="1"/>
      <c r="Y88" s="1"/>
      <c r="Z88" s="1"/>
      <c r="AA88" s="1"/>
      <c r="AB88" s="1"/>
      <c r="AI88" s="1"/>
      <c r="AK88" s="1"/>
      <c r="AU88" s="1"/>
      <c r="AV88" s="1"/>
      <c r="AW88" s="1"/>
      <c r="AX88" s="1"/>
      <c r="AY88" s="1"/>
      <c r="BA88" s="1"/>
      <c r="BM88" s="1"/>
      <c r="BN88" s="1"/>
      <c r="DC88" s="1"/>
    </row>
    <row r="89" spans="1:107" ht="15.75" customHeight="1" x14ac:dyDescent="0.25">
      <c r="A89" s="1"/>
      <c r="B89" s="3"/>
      <c r="C89" s="1"/>
      <c r="D89" s="1"/>
      <c r="N89" s="1"/>
      <c r="W89" s="1"/>
      <c r="X89" s="1"/>
      <c r="Y89" s="1"/>
      <c r="Z89" s="1"/>
      <c r="AA89" s="1"/>
      <c r="AB89" s="1"/>
      <c r="AI89" s="1"/>
      <c r="AK89" s="1"/>
      <c r="AU89" s="1"/>
      <c r="AV89" s="1"/>
      <c r="AW89" s="1"/>
      <c r="AX89" s="1"/>
      <c r="AY89" s="1"/>
      <c r="BA89" s="1"/>
      <c r="BM89" s="1"/>
      <c r="BN89" s="1"/>
      <c r="DC89" s="1"/>
    </row>
    <row r="90" spans="1:107" ht="15.75" customHeight="1" x14ac:dyDescent="0.25">
      <c r="A90" s="1"/>
      <c r="B90" s="3"/>
      <c r="C90" s="1"/>
      <c r="D90" s="1"/>
      <c r="N90" s="1"/>
      <c r="W90" s="1"/>
      <c r="X90" s="1"/>
      <c r="Y90" s="1"/>
      <c r="Z90" s="1"/>
      <c r="AA90" s="1"/>
      <c r="AB90" s="1"/>
      <c r="AI90" s="1"/>
      <c r="AK90" s="1"/>
      <c r="AU90" s="1"/>
      <c r="AV90" s="1"/>
      <c r="AW90" s="1"/>
      <c r="AX90" s="1"/>
      <c r="AY90" s="1"/>
      <c r="BA90" s="1"/>
      <c r="BM90" s="1"/>
      <c r="BN90" s="1"/>
      <c r="DC90" s="1"/>
    </row>
    <row r="91" spans="1:107" ht="15.75" customHeight="1" x14ac:dyDescent="0.25">
      <c r="A91" s="1"/>
      <c r="B91" s="3"/>
      <c r="C91" s="1"/>
      <c r="D91" s="1"/>
      <c r="N91" s="1"/>
      <c r="V91" s="1"/>
      <c r="W91" s="1"/>
      <c r="X91" s="1"/>
      <c r="Y91" s="1"/>
      <c r="Z91" s="1"/>
      <c r="AA91" s="1"/>
      <c r="AB91" s="1"/>
      <c r="AI91" s="1"/>
      <c r="AK91" s="1"/>
      <c r="AU91" s="1"/>
      <c r="AV91" s="1"/>
      <c r="AW91" s="1"/>
      <c r="AX91" s="1"/>
      <c r="AY91" s="1"/>
      <c r="AZ91" s="1"/>
      <c r="DC91" s="1"/>
    </row>
    <row r="92" spans="1:107" ht="15.75" customHeight="1" x14ac:dyDescent="0.25">
      <c r="A92" s="1"/>
      <c r="B92" s="3"/>
      <c r="C92" s="1"/>
      <c r="D92" s="1"/>
      <c r="N92" s="1"/>
      <c r="V92" s="1"/>
      <c r="W92" s="1"/>
      <c r="X92" s="1"/>
      <c r="Y92" s="1"/>
      <c r="Z92" s="1"/>
      <c r="AA92" s="1"/>
      <c r="AB92" s="1"/>
      <c r="AI92" s="1"/>
      <c r="AK92" s="1"/>
      <c r="AU92" s="1"/>
      <c r="AV92" s="1"/>
      <c r="AW92" s="1"/>
      <c r="AX92" s="1"/>
      <c r="AY92" s="1"/>
      <c r="BA92" s="1"/>
      <c r="BM92" s="1"/>
      <c r="BN92" s="1"/>
      <c r="DC92" s="1"/>
    </row>
    <row r="93" spans="1:107" ht="15.75" customHeight="1" x14ac:dyDescent="0.25">
      <c r="A93" s="1"/>
      <c r="B93" s="3"/>
      <c r="C93" s="1"/>
      <c r="D93" s="1"/>
      <c r="N93" s="1"/>
      <c r="V93" s="1"/>
      <c r="W93" s="1"/>
      <c r="X93" s="1"/>
      <c r="Y93" s="1"/>
      <c r="Z93" s="1"/>
      <c r="AA93" s="1"/>
      <c r="AB93" s="1"/>
      <c r="AI93" s="1"/>
      <c r="AK93" s="1"/>
      <c r="AU93" s="1"/>
      <c r="AV93" s="1"/>
      <c r="AW93" s="1"/>
      <c r="AX93" s="1"/>
      <c r="AY93" s="1"/>
      <c r="BA93" s="1"/>
      <c r="BM93" s="1"/>
      <c r="BN93" s="1"/>
      <c r="DC93" s="1"/>
    </row>
    <row r="94" spans="1:107" ht="15.75" customHeight="1" x14ac:dyDescent="0.25">
      <c r="A94" s="1"/>
      <c r="B94" s="3"/>
      <c r="C94" s="1"/>
      <c r="D94" s="1"/>
      <c r="N94" s="1"/>
      <c r="W94" s="1"/>
      <c r="X94" s="1"/>
      <c r="Y94" s="1"/>
      <c r="Z94" s="1"/>
      <c r="AA94" s="1"/>
      <c r="AB94" s="1"/>
      <c r="AI94" s="1"/>
      <c r="AK94" s="1"/>
      <c r="AU94" s="1"/>
      <c r="AV94" s="1"/>
      <c r="AW94" s="1"/>
      <c r="AX94" s="1"/>
      <c r="AY94" s="1"/>
      <c r="BA94" s="1"/>
      <c r="BM94" s="1"/>
      <c r="BN94" s="1"/>
      <c r="DC94" s="1"/>
    </row>
    <row r="95" spans="1:107" ht="15.75" customHeight="1" x14ac:dyDescent="0.25">
      <c r="A95" s="1"/>
      <c r="B95" s="3"/>
      <c r="C95" s="1"/>
      <c r="D95" s="1"/>
      <c r="N95" s="1"/>
      <c r="W95" s="1"/>
      <c r="X95" s="1"/>
      <c r="Y95" s="1"/>
      <c r="Z95" s="1"/>
      <c r="AA95" s="1"/>
      <c r="AB95" s="1"/>
      <c r="AI95" s="1"/>
      <c r="AK95" s="1"/>
      <c r="AU95" s="1"/>
      <c r="AV95" s="1"/>
      <c r="AW95" s="1"/>
      <c r="AX95" s="1"/>
      <c r="AY95" s="1"/>
      <c r="BA95" s="1"/>
      <c r="BM95" s="1"/>
      <c r="BN95" s="1"/>
      <c r="DC95" s="1"/>
    </row>
    <row r="96" spans="1:107" ht="15.75" customHeight="1" x14ac:dyDescent="0.25">
      <c r="A96" s="1"/>
      <c r="B96" s="3"/>
      <c r="C96" s="1"/>
      <c r="D96" s="1"/>
      <c r="N96" s="1"/>
      <c r="V96" s="1"/>
      <c r="W96" s="1"/>
      <c r="X96" s="1"/>
      <c r="Y96" s="1"/>
      <c r="Z96" s="1"/>
      <c r="AA96" s="1"/>
      <c r="AB96" s="1"/>
      <c r="AI96" s="1"/>
      <c r="AK96" s="1"/>
      <c r="AU96" s="1"/>
      <c r="AV96" s="1"/>
      <c r="AW96" s="1"/>
      <c r="AX96" s="1"/>
      <c r="AY96" s="1"/>
      <c r="BA96" s="1"/>
      <c r="BM96" s="1"/>
      <c r="BN96" s="1"/>
      <c r="DC96" s="1"/>
    </row>
    <row r="97" spans="1:107" ht="15.75" customHeight="1" x14ac:dyDescent="0.25">
      <c r="A97" s="1"/>
      <c r="B97" s="3"/>
      <c r="C97" s="1"/>
      <c r="D97" s="1"/>
      <c r="N97" s="1"/>
      <c r="V97" s="1"/>
      <c r="W97" s="1"/>
      <c r="X97" s="1"/>
      <c r="Y97" s="1"/>
      <c r="Z97" s="1"/>
      <c r="AA97" s="1"/>
      <c r="AB97" s="1"/>
      <c r="AI97" s="1"/>
      <c r="AK97" s="1"/>
      <c r="AU97" s="1"/>
      <c r="AV97" s="1"/>
      <c r="AW97" s="1"/>
      <c r="AX97" s="1"/>
      <c r="AY97" s="1"/>
      <c r="BA97" s="1"/>
      <c r="BM97" s="1"/>
      <c r="BN97" s="1"/>
      <c r="DC97" s="1"/>
    </row>
    <row r="98" spans="1:107" ht="15.75" customHeight="1" x14ac:dyDescent="0.25">
      <c r="A98" s="1"/>
      <c r="B98" s="3"/>
      <c r="C98" s="1"/>
      <c r="D98" s="1"/>
      <c r="N98" s="1"/>
      <c r="W98" s="1"/>
      <c r="X98" s="1"/>
      <c r="Y98" s="1"/>
      <c r="Z98" s="1"/>
      <c r="AA98" s="1"/>
      <c r="AB98" s="1"/>
      <c r="AI98" s="1"/>
      <c r="AK98" s="1"/>
      <c r="AU98" s="1"/>
      <c r="AV98" s="1"/>
      <c r="AW98" s="1"/>
      <c r="AX98" s="1"/>
      <c r="AY98" s="1"/>
      <c r="BA98" s="1"/>
      <c r="BM98" s="1"/>
      <c r="BN98" s="1"/>
      <c r="DC98" s="1"/>
    </row>
    <row r="99" spans="1:107" ht="15.75" customHeight="1" x14ac:dyDescent="0.25">
      <c r="A99" s="1"/>
      <c r="B99" s="3"/>
      <c r="C99" s="1"/>
      <c r="D99" s="1"/>
      <c r="N99" s="1"/>
      <c r="V99" s="1"/>
      <c r="W99" s="1"/>
      <c r="X99" s="1"/>
      <c r="Y99" s="1"/>
      <c r="Z99" s="1"/>
      <c r="AA99" s="1"/>
      <c r="AB99" s="1"/>
      <c r="AI99" s="1"/>
      <c r="AK99" s="1"/>
      <c r="AU99" s="1"/>
      <c r="AV99" s="1"/>
      <c r="AW99" s="1"/>
      <c r="AX99" s="1"/>
      <c r="AY99" s="1"/>
      <c r="BA99" s="1"/>
      <c r="BM99" s="1"/>
      <c r="BN99" s="1"/>
      <c r="BW99" s="1"/>
      <c r="DC99" s="1"/>
    </row>
    <row r="100" spans="1:107" ht="15.75" customHeight="1" x14ac:dyDescent="0.25">
      <c r="A100" s="1"/>
      <c r="B100" s="3"/>
      <c r="C100" s="1"/>
      <c r="D100" s="1"/>
      <c r="N100" s="1"/>
      <c r="V100" s="1"/>
      <c r="W100" s="1"/>
      <c r="X100" s="1"/>
      <c r="Y100" s="1"/>
      <c r="Z100" s="1"/>
      <c r="AA100" s="1"/>
      <c r="AB100" s="1"/>
      <c r="AI100" s="1"/>
      <c r="AK100" s="1"/>
      <c r="AU100" s="1"/>
      <c r="AV100" s="1"/>
      <c r="AW100" s="1"/>
      <c r="AX100" s="1"/>
      <c r="AY100" s="1"/>
      <c r="BA100" s="1"/>
      <c r="BM100" s="1"/>
      <c r="BN100" s="1"/>
      <c r="BW100" s="1"/>
      <c r="BY100" s="1"/>
      <c r="BZ100" s="1"/>
      <c r="CA100" s="1"/>
      <c r="DC100" s="1"/>
    </row>
    <row r="101" spans="1:107" ht="15.75" customHeight="1" x14ac:dyDescent="0.25">
      <c r="A101" s="1"/>
      <c r="B101" s="3"/>
      <c r="C101" s="1"/>
      <c r="D101" s="1"/>
      <c r="N101" s="1"/>
      <c r="W101" s="1"/>
      <c r="X101" s="1"/>
      <c r="Y101" s="1"/>
      <c r="Z101" s="1"/>
      <c r="AA101" s="1"/>
      <c r="AB101" s="1"/>
      <c r="AI101" s="1"/>
      <c r="AJ101" s="1"/>
      <c r="AK101" s="1"/>
      <c r="AU101" s="1"/>
      <c r="AV101" s="1"/>
      <c r="AW101" s="1"/>
      <c r="AX101" s="1"/>
      <c r="AY101" s="1"/>
      <c r="AZ101" s="1"/>
      <c r="BA101" s="1"/>
      <c r="DC101" s="1"/>
    </row>
    <row r="102" spans="1:107" ht="15.75" customHeight="1" x14ac:dyDescent="0.25">
      <c r="A102" s="1"/>
      <c r="B102" s="3"/>
      <c r="C102" s="1"/>
      <c r="D102" s="1"/>
      <c r="N102" s="1"/>
      <c r="V102" s="1"/>
      <c r="W102" s="1"/>
      <c r="X102" s="1"/>
      <c r="Y102" s="1"/>
      <c r="Z102" s="1"/>
      <c r="AA102" s="1"/>
      <c r="AB102" s="1"/>
      <c r="AI102" s="1"/>
      <c r="AK102" s="1"/>
      <c r="AU102" s="1"/>
      <c r="AV102" s="1"/>
      <c r="AW102" s="1"/>
      <c r="AX102" s="1"/>
      <c r="AY102" s="1"/>
      <c r="BA102" s="1"/>
      <c r="BM102" s="1"/>
      <c r="BN102" s="1"/>
      <c r="DC102" s="1"/>
    </row>
    <row r="103" spans="1:107" ht="15.75" customHeight="1" x14ac:dyDescent="0.25">
      <c r="A103" s="1"/>
      <c r="B103" s="3"/>
      <c r="C103" s="1"/>
      <c r="D103" s="1"/>
      <c r="N103" s="1"/>
      <c r="V103" s="1"/>
      <c r="W103" s="1"/>
      <c r="X103" s="1"/>
      <c r="Y103" s="1"/>
      <c r="Z103" s="1"/>
      <c r="AA103" s="1"/>
      <c r="AB103" s="1"/>
      <c r="AI103" s="1"/>
      <c r="AK103" s="1"/>
      <c r="AU103" s="1"/>
      <c r="AV103" s="1"/>
      <c r="AW103" s="1"/>
      <c r="AX103" s="1"/>
      <c r="AY103" s="1"/>
      <c r="BA103" s="1"/>
      <c r="BM103" s="1"/>
      <c r="BN103" s="1"/>
      <c r="BW103" s="1"/>
      <c r="BY103" s="1"/>
      <c r="BZ103" s="1"/>
      <c r="DC103" s="1"/>
    </row>
    <row r="104" spans="1:107" ht="15.75" customHeight="1" x14ac:dyDescent="0.25">
      <c r="A104" s="1"/>
      <c r="B104" s="3"/>
      <c r="C104" s="1"/>
      <c r="D104" s="1"/>
      <c r="M104" s="1"/>
      <c r="N104" s="1"/>
      <c r="V104" s="1"/>
      <c r="W104" s="1"/>
      <c r="X104" s="1"/>
      <c r="Y104" s="1"/>
      <c r="Z104" s="1"/>
      <c r="AA104" s="1"/>
      <c r="AB104" s="1"/>
      <c r="AI104" s="1"/>
      <c r="AJ104" s="1"/>
      <c r="AK104" s="1"/>
      <c r="AU104" s="1"/>
      <c r="AV104" s="1"/>
      <c r="AW104" s="1"/>
      <c r="AX104" s="1"/>
      <c r="AY104" s="1"/>
      <c r="BA104" s="1"/>
      <c r="BM104" s="1"/>
      <c r="BN104" s="1"/>
      <c r="BV104" s="1"/>
      <c r="BW104" s="1"/>
      <c r="BY104" s="1"/>
      <c r="BZ104" s="1"/>
      <c r="CH104" s="1"/>
      <c r="CI104" s="1"/>
      <c r="CJ104" s="1"/>
      <c r="CL104" s="1"/>
      <c r="DC104" s="1"/>
    </row>
    <row r="105" spans="1:107" ht="15.75" customHeight="1" x14ac:dyDescent="0.25">
      <c r="A105" s="1"/>
      <c r="B105" s="3"/>
      <c r="C105" s="1"/>
      <c r="D105" s="1"/>
      <c r="N105" s="1"/>
      <c r="W105" s="1"/>
      <c r="X105" s="1"/>
      <c r="Y105" s="1"/>
      <c r="Z105" s="1"/>
      <c r="AA105" s="1"/>
      <c r="AB105" s="1"/>
      <c r="AI105" s="1"/>
      <c r="AK105" s="1"/>
      <c r="AU105" s="1"/>
      <c r="AV105" s="1"/>
      <c r="AW105" s="1"/>
      <c r="AX105" s="1"/>
      <c r="AY105" s="1"/>
      <c r="BA105" s="1"/>
      <c r="BL105" s="1"/>
      <c r="BM105" s="1"/>
      <c r="BN105" s="1"/>
      <c r="CH105" s="1"/>
      <c r="CI105" s="1"/>
      <c r="CJ105" s="1"/>
      <c r="CL105" s="1"/>
      <c r="DC105" s="1"/>
    </row>
    <row r="106" spans="1:107" ht="15.75" customHeight="1" x14ac:dyDescent="0.25">
      <c r="A106" s="1"/>
      <c r="B106" s="3"/>
      <c r="C106" s="1"/>
      <c r="D106" s="1"/>
      <c r="N106" s="1"/>
      <c r="V106" s="1"/>
      <c r="W106" s="1"/>
      <c r="X106" s="1"/>
      <c r="Y106" s="1"/>
      <c r="Z106" s="1"/>
      <c r="AA106" s="1"/>
      <c r="AB106" s="1"/>
      <c r="AI106" s="1"/>
      <c r="AK106" s="1"/>
      <c r="AU106" s="1"/>
      <c r="AV106" s="1"/>
      <c r="AW106" s="1"/>
      <c r="AX106" s="1"/>
      <c r="AY106" s="1"/>
      <c r="BA106" s="1"/>
      <c r="BM106" s="1"/>
      <c r="BN106" s="1"/>
      <c r="CH106" s="1"/>
      <c r="CI106" s="1"/>
      <c r="CJ106" s="1"/>
      <c r="CK106" s="1"/>
      <c r="CL106" s="1"/>
    </row>
    <row r="107" spans="1:107" ht="15.75" customHeight="1" x14ac:dyDescent="0.25">
      <c r="A107" s="1"/>
      <c r="B107" s="3"/>
      <c r="C107" s="1"/>
      <c r="D107" s="1"/>
      <c r="N107" s="1"/>
      <c r="V107" s="1"/>
      <c r="W107" s="1"/>
      <c r="X107" s="1"/>
      <c r="Y107" s="1"/>
      <c r="Z107" s="1"/>
      <c r="AA107" s="1"/>
      <c r="AB107" s="1"/>
      <c r="AI107" s="1"/>
      <c r="AJ107" s="1"/>
      <c r="AK107" s="1"/>
      <c r="AU107" s="1"/>
      <c r="AV107" s="1"/>
      <c r="AW107" s="1"/>
      <c r="AX107" s="1"/>
      <c r="AY107" s="1"/>
      <c r="AZ107" s="1"/>
      <c r="BA107" s="1"/>
      <c r="DC107" s="1"/>
    </row>
    <row r="108" spans="1:107" ht="15.75" customHeight="1" x14ac:dyDescent="0.25">
      <c r="A108" s="1"/>
      <c r="B108" s="3"/>
      <c r="C108" s="1"/>
      <c r="D108" s="1"/>
      <c r="N108" s="1"/>
      <c r="V108" s="1"/>
      <c r="W108" s="1"/>
      <c r="X108" s="1"/>
      <c r="Y108" s="1"/>
      <c r="Z108" s="1"/>
      <c r="AA108" s="1"/>
      <c r="AB108" s="1"/>
      <c r="AI108" s="1"/>
      <c r="AK108" s="1"/>
      <c r="AU108" s="1"/>
      <c r="AV108" s="1"/>
      <c r="AW108" s="1"/>
      <c r="AX108" s="1"/>
      <c r="AY108" s="1"/>
      <c r="AZ108" s="1"/>
      <c r="BA108" s="1"/>
      <c r="DC108" s="1"/>
    </row>
    <row r="109" spans="1:107" ht="15.75" customHeight="1" x14ac:dyDescent="0.25">
      <c r="A109" s="1"/>
      <c r="B109" s="3"/>
      <c r="C109" s="1"/>
      <c r="D109" s="1"/>
      <c r="N109" s="1"/>
      <c r="W109" s="1"/>
      <c r="X109" s="1"/>
      <c r="Y109" s="1"/>
      <c r="Z109" s="1"/>
      <c r="AA109" s="1"/>
      <c r="AB109" s="1"/>
      <c r="AI109" s="1"/>
      <c r="AK109" s="1"/>
      <c r="AU109" s="1"/>
      <c r="AV109" s="1"/>
      <c r="AW109" s="1"/>
      <c r="AX109" s="1"/>
      <c r="AY109" s="1"/>
      <c r="BA109" s="1"/>
      <c r="BM109" s="1"/>
      <c r="BN109" s="1"/>
      <c r="DC109" s="1"/>
    </row>
    <row r="110" spans="1:107" ht="15.75" customHeight="1" x14ac:dyDescent="0.25">
      <c r="A110" s="1"/>
      <c r="B110" s="3"/>
      <c r="C110" s="1"/>
      <c r="D110" s="1"/>
      <c r="N110" s="1"/>
      <c r="W110" s="1"/>
      <c r="X110" s="1"/>
      <c r="Y110" s="1"/>
      <c r="Z110" s="1"/>
      <c r="AA110" s="1"/>
      <c r="AB110" s="1"/>
      <c r="AI110" s="1"/>
      <c r="AK110" s="1"/>
      <c r="AU110" s="1"/>
      <c r="AV110" s="1"/>
      <c r="AW110" s="1"/>
      <c r="AX110" s="1"/>
      <c r="AY110" s="1"/>
      <c r="BA110" s="1"/>
      <c r="BM110" s="1"/>
      <c r="BN110" s="1"/>
      <c r="DC110" s="1"/>
    </row>
    <row r="111" spans="1:107" ht="15.75" customHeight="1" x14ac:dyDescent="0.25">
      <c r="A111" s="1"/>
      <c r="B111" s="3"/>
      <c r="C111" s="1"/>
      <c r="D111" s="1"/>
      <c r="N111" s="1"/>
      <c r="V111" s="1"/>
      <c r="W111" s="1"/>
      <c r="X111" s="1"/>
      <c r="Y111" s="1"/>
      <c r="Z111" s="1"/>
      <c r="AA111" s="1"/>
      <c r="AB111" s="1"/>
      <c r="AI111" s="1"/>
      <c r="AK111" s="1"/>
      <c r="AU111" s="1"/>
      <c r="AV111" s="1"/>
      <c r="AW111" s="1"/>
      <c r="AX111" s="1"/>
      <c r="AY111" s="1"/>
      <c r="BA111" s="1"/>
      <c r="BM111" s="1"/>
      <c r="BN111" s="1"/>
      <c r="DC111" s="1"/>
    </row>
    <row r="112" spans="1:107" ht="15.75" customHeight="1" x14ac:dyDescent="0.25">
      <c r="A112" s="1"/>
      <c r="B112" s="3"/>
      <c r="C112" s="1"/>
      <c r="D112" s="1"/>
      <c r="N112" s="1"/>
      <c r="W112" s="1"/>
      <c r="X112" s="1"/>
      <c r="Y112" s="1"/>
      <c r="Z112" s="1"/>
      <c r="AA112" s="1"/>
      <c r="AB112" s="1"/>
      <c r="AI112" s="1"/>
      <c r="AK112" s="1"/>
      <c r="AU112" s="1"/>
      <c r="AV112" s="1"/>
      <c r="AW112" s="1"/>
      <c r="AX112" s="1"/>
      <c r="AY112" s="1"/>
      <c r="BA112" s="1"/>
      <c r="BM112" s="1"/>
      <c r="BN112" s="1"/>
      <c r="DC112" s="1"/>
    </row>
    <row r="113" spans="1:107" ht="15.75" customHeight="1" x14ac:dyDescent="0.25">
      <c r="A113" s="1"/>
      <c r="B113" s="3"/>
      <c r="C113" s="1"/>
      <c r="D113" s="1"/>
      <c r="N113" s="1"/>
      <c r="W113" s="1"/>
      <c r="X113" s="1"/>
      <c r="Y113" s="1"/>
      <c r="Z113" s="1"/>
      <c r="AA113" s="1"/>
      <c r="AB113" s="1"/>
      <c r="AI113" s="1"/>
      <c r="AK113" s="1"/>
      <c r="AU113" s="1"/>
      <c r="AV113" s="1"/>
      <c r="AW113" s="1"/>
      <c r="AX113" s="1"/>
      <c r="AY113" s="1"/>
      <c r="BA113" s="1"/>
      <c r="BM113" s="1"/>
      <c r="BN113" s="1"/>
    </row>
    <row r="114" spans="1:107" ht="15.75" customHeight="1" x14ac:dyDescent="0.25">
      <c r="A114" s="1"/>
      <c r="B114" s="3"/>
      <c r="C114" s="1"/>
      <c r="D114" s="1"/>
      <c r="N114" s="1"/>
      <c r="V114" s="1"/>
      <c r="W114" s="1"/>
      <c r="X114" s="1"/>
      <c r="Y114" s="1"/>
      <c r="Z114" s="1"/>
      <c r="AA114" s="1"/>
      <c r="AB114" s="1"/>
      <c r="AI114" s="1"/>
      <c r="AK114" s="1"/>
      <c r="AU114" s="1"/>
      <c r="AV114" s="1"/>
      <c r="AW114" s="1"/>
      <c r="AX114" s="1"/>
      <c r="AY114" s="1"/>
      <c r="BA114" s="1"/>
      <c r="BM114" s="1"/>
      <c r="BN114" s="1"/>
      <c r="DC114" s="1"/>
    </row>
    <row r="115" spans="1:107" ht="15.75" customHeight="1" x14ac:dyDescent="0.25">
      <c r="A115" s="1"/>
      <c r="B115" s="3"/>
      <c r="C115" s="1"/>
      <c r="D115" s="1"/>
      <c r="N115" s="1"/>
      <c r="V115" s="1"/>
      <c r="W115" s="1"/>
      <c r="X115" s="1"/>
      <c r="Y115" s="1"/>
      <c r="Z115" s="1"/>
      <c r="AA115" s="1"/>
      <c r="AB115" s="1"/>
      <c r="AI115" s="1"/>
      <c r="AK115" s="1"/>
      <c r="AU115" s="1"/>
      <c r="AV115" s="1"/>
      <c r="AW115" s="1"/>
      <c r="AX115" s="1"/>
      <c r="AY115" s="1"/>
      <c r="BA115" s="1"/>
      <c r="BM115" s="1"/>
      <c r="BN115" s="1"/>
      <c r="DC115" s="1"/>
    </row>
    <row r="116" spans="1:107" ht="15.75" customHeight="1" x14ac:dyDescent="0.25">
      <c r="A116" s="1"/>
      <c r="B116" s="3"/>
      <c r="C116" s="1"/>
      <c r="D116" s="1"/>
      <c r="N116" s="1"/>
      <c r="W116" s="1"/>
      <c r="X116" s="1"/>
      <c r="Y116" s="1"/>
      <c r="Z116" s="1"/>
      <c r="AA116" s="1"/>
      <c r="AB116" s="1"/>
      <c r="AI116" s="1"/>
      <c r="AK116" s="1"/>
      <c r="AU116" s="1"/>
      <c r="AV116" s="1"/>
      <c r="AW116" s="1"/>
      <c r="AX116" s="1"/>
      <c r="AY116" s="1"/>
      <c r="BA116" s="1"/>
      <c r="BM116" s="1"/>
      <c r="BN116" s="1"/>
      <c r="DC116" s="1"/>
    </row>
    <row r="117" spans="1:107" ht="15.75" customHeight="1" x14ac:dyDescent="0.25">
      <c r="A117" s="1"/>
      <c r="B117" s="3"/>
      <c r="C117" s="1"/>
      <c r="D117" s="1"/>
      <c r="N117" s="1"/>
      <c r="W117" s="1"/>
      <c r="X117" s="1"/>
      <c r="Y117" s="1"/>
      <c r="Z117" s="1"/>
      <c r="AA117" s="1"/>
      <c r="AB117" s="1"/>
      <c r="AI117" s="1"/>
      <c r="AK117" s="1"/>
      <c r="AU117" s="1"/>
      <c r="AV117" s="1"/>
      <c r="AW117" s="1"/>
      <c r="AX117" s="1"/>
      <c r="AY117" s="1"/>
      <c r="BA117" s="1"/>
      <c r="BM117" s="1"/>
      <c r="BN117" s="1"/>
      <c r="DC117" s="1"/>
    </row>
    <row r="118" spans="1:107" ht="15.75" customHeight="1" x14ac:dyDescent="0.25">
      <c r="A118" s="1"/>
      <c r="B118" s="3"/>
      <c r="C118" s="1"/>
      <c r="D118" s="1"/>
      <c r="N118" s="1"/>
      <c r="V118" s="1"/>
      <c r="W118" s="1"/>
      <c r="X118" s="1"/>
      <c r="Y118" s="1"/>
      <c r="Z118" s="1"/>
      <c r="AA118" s="1"/>
      <c r="AB118" s="1"/>
      <c r="AI118" s="1"/>
      <c r="AJ118" s="1"/>
      <c r="AK118" s="1"/>
      <c r="AU118" s="1"/>
      <c r="AV118" s="1"/>
      <c r="AW118" s="1"/>
      <c r="AX118" s="1"/>
      <c r="AY118" s="1"/>
      <c r="BA118" s="1"/>
      <c r="BM118" s="1"/>
      <c r="BN118" s="1"/>
      <c r="DC118" s="1"/>
    </row>
    <row r="119" spans="1:107" ht="15.75" customHeight="1" x14ac:dyDescent="0.25">
      <c r="A119" s="1"/>
      <c r="B119" s="3"/>
      <c r="C119" s="1"/>
      <c r="D119" s="1"/>
      <c r="N119" s="1"/>
      <c r="V119" s="1"/>
      <c r="W119" s="1"/>
      <c r="X119" s="1"/>
      <c r="Y119" s="1"/>
      <c r="Z119" s="1"/>
      <c r="AA119" s="1"/>
      <c r="AI119" s="1"/>
      <c r="AK119" s="1"/>
      <c r="AU119" s="1"/>
      <c r="AV119" s="1"/>
      <c r="AW119" s="1"/>
      <c r="AX119" s="1"/>
      <c r="AY119" s="1"/>
      <c r="AZ119" s="1"/>
      <c r="BA119" s="1"/>
    </row>
    <row r="120" spans="1:107" ht="15.75" customHeight="1" x14ac:dyDescent="0.25">
      <c r="A120" s="1"/>
      <c r="B120" s="3"/>
      <c r="C120" s="1"/>
      <c r="D120" s="1"/>
      <c r="N120" s="1"/>
      <c r="V120" s="1"/>
      <c r="W120" s="1"/>
      <c r="X120" s="1"/>
      <c r="Y120" s="1"/>
      <c r="Z120" s="1"/>
      <c r="AA120" s="1"/>
      <c r="AB120" s="1"/>
      <c r="AI120" s="1"/>
      <c r="AJ120" s="1"/>
      <c r="AK120" s="1"/>
      <c r="AU120" s="1"/>
      <c r="AV120" s="1"/>
      <c r="AW120" s="1"/>
      <c r="AX120" s="1"/>
      <c r="AY120" s="1"/>
      <c r="BA120" s="1"/>
      <c r="BM120" s="1"/>
      <c r="BN120" s="1"/>
      <c r="DC120" s="1"/>
    </row>
    <row r="121" spans="1:107" ht="15.75" customHeight="1" x14ac:dyDescent="0.25">
      <c r="A121" s="1"/>
      <c r="B121" s="3"/>
      <c r="C121" s="1"/>
      <c r="D121" s="1"/>
      <c r="N121" s="1"/>
      <c r="W121" s="1"/>
      <c r="X121" s="1"/>
      <c r="Y121" s="1"/>
      <c r="Z121" s="1"/>
      <c r="AA121" s="1"/>
      <c r="AB121" s="1"/>
      <c r="AI121" s="1"/>
      <c r="AK121" s="1"/>
      <c r="AU121" s="1"/>
      <c r="AV121" s="1"/>
      <c r="AW121" s="1"/>
      <c r="AX121" s="1"/>
      <c r="AY121" s="1"/>
      <c r="BA121" s="1"/>
      <c r="BM121" s="1"/>
      <c r="BN121" s="1"/>
      <c r="DC121" s="1"/>
    </row>
    <row r="122" spans="1:107" ht="15.75" customHeight="1" x14ac:dyDescent="0.25">
      <c r="A122" s="1"/>
      <c r="B122" s="3"/>
      <c r="C122" s="1"/>
      <c r="D122" s="1"/>
      <c r="N122" s="1"/>
      <c r="W122" s="1"/>
      <c r="X122" s="1"/>
      <c r="Y122" s="1"/>
      <c r="Z122" s="1"/>
      <c r="AA122" s="1"/>
      <c r="AB122" s="1"/>
      <c r="AI122" s="1"/>
      <c r="AJ122" s="1"/>
      <c r="AK122" s="1"/>
      <c r="AU122" s="1"/>
      <c r="AV122" s="1"/>
      <c r="AW122" s="1"/>
      <c r="AX122" s="1"/>
      <c r="AY122" s="1"/>
      <c r="BA122" s="1"/>
      <c r="BM122" s="1"/>
      <c r="BN122" s="1"/>
      <c r="BV122" s="1"/>
      <c r="DC122" s="1"/>
    </row>
    <row r="123" spans="1:107" ht="15.75" customHeight="1" x14ac:dyDescent="0.25">
      <c r="A123" s="1"/>
      <c r="B123" s="3"/>
      <c r="C123" s="1"/>
      <c r="D123" s="1"/>
      <c r="N123" s="1"/>
      <c r="V123" s="1"/>
      <c r="W123" s="1"/>
      <c r="X123" s="1"/>
      <c r="Y123" s="1"/>
      <c r="Z123" s="1"/>
      <c r="AA123" s="1"/>
      <c r="AB123" s="1"/>
      <c r="AI123" s="1"/>
      <c r="AK123" s="1"/>
      <c r="AU123" s="1"/>
      <c r="AV123" s="1"/>
      <c r="AW123" s="1"/>
      <c r="AX123" s="1"/>
      <c r="AY123" s="1"/>
      <c r="BA123" s="1"/>
      <c r="BM123" s="1"/>
      <c r="BN123" s="1"/>
      <c r="DC123" s="1"/>
    </row>
    <row r="124" spans="1:107" ht="15.75" customHeight="1" x14ac:dyDescent="0.25">
      <c r="A124" s="1"/>
      <c r="B124" s="3"/>
      <c r="C124" s="1"/>
      <c r="D124" s="1"/>
      <c r="N124" s="1"/>
      <c r="W124" s="1"/>
      <c r="X124" s="1"/>
      <c r="Y124" s="1"/>
      <c r="Z124" s="1"/>
      <c r="AA124" s="1"/>
      <c r="AB124" s="1"/>
      <c r="AI124" s="1"/>
      <c r="AK124" s="1"/>
      <c r="AU124" s="1"/>
      <c r="AV124" s="1"/>
      <c r="AW124" s="1"/>
      <c r="AX124" s="1"/>
      <c r="AY124" s="1"/>
      <c r="BA124" s="1"/>
      <c r="BM124" s="1"/>
      <c r="BN124" s="1"/>
      <c r="DC124" s="1"/>
    </row>
    <row r="125" spans="1:107" ht="15.75" customHeight="1" x14ac:dyDescent="0.25">
      <c r="A125" s="1"/>
      <c r="B125" s="3"/>
      <c r="C125" s="1"/>
      <c r="D125" s="1"/>
      <c r="N125" s="1"/>
      <c r="W125" s="1"/>
      <c r="X125" s="1"/>
      <c r="Y125" s="1"/>
      <c r="Z125" s="1"/>
      <c r="AA125" s="1"/>
      <c r="AB125" s="1"/>
      <c r="AI125" s="1"/>
      <c r="AK125" s="1"/>
      <c r="AU125" s="1"/>
      <c r="AV125" s="1"/>
      <c r="AW125" s="1"/>
      <c r="AX125" s="1"/>
      <c r="AY125" s="1"/>
      <c r="BA125" s="1"/>
      <c r="BM125" s="1"/>
      <c r="BN125" s="1"/>
      <c r="DC125" s="1"/>
    </row>
    <row r="126" spans="1:107" ht="15.75" customHeight="1" x14ac:dyDescent="0.25">
      <c r="A126" s="1"/>
      <c r="B126" s="3"/>
      <c r="C126" s="1"/>
      <c r="D126" s="1"/>
      <c r="N126" s="1"/>
      <c r="V126" s="1"/>
      <c r="W126" s="1"/>
      <c r="X126" s="1"/>
      <c r="Y126" s="1"/>
      <c r="Z126" s="1"/>
      <c r="AA126" s="1"/>
      <c r="AB126" s="1"/>
      <c r="AI126" s="1"/>
      <c r="AJ126" s="1"/>
      <c r="AK126" s="1"/>
      <c r="AU126" s="1"/>
      <c r="AV126" s="1"/>
      <c r="AW126" s="1"/>
      <c r="AX126" s="1"/>
      <c r="AY126" s="1"/>
      <c r="AZ126" s="1"/>
      <c r="BA126" s="1"/>
      <c r="DC126" s="1"/>
    </row>
    <row r="127" spans="1:107" ht="15.75" customHeight="1" x14ac:dyDescent="0.25">
      <c r="A127" s="1"/>
      <c r="B127" s="3"/>
      <c r="C127" s="1"/>
      <c r="D127" s="1"/>
      <c r="N127" s="1"/>
      <c r="V127" s="1"/>
      <c r="W127" s="1"/>
      <c r="X127" s="1"/>
      <c r="Y127" s="1"/>
      <c r="Z127" s="1"/>
      <c r="AA127" s="1"/>
      <c r="AB127" s="1"/>
      <c r="AI127" s="1"/>
      <c r="AK127" s="1"/>
      <c r="AU127" s="1"/>
      <c r="AV127" s="1"/>
      <c r="AW127" s="1"/>
      <c r="AX127" s="1"/>
      <c r="AY127" s="1"/>
      <c r="BA127" s="1"/>
      <c r="BM127" s="1"/>
      <c r="BN127" s="1"/>
      <c r="CH127" s="1"/>
      <c r="CJ127" s="1"/>
      <c r="CL127" s="1"/>
      <c r="DC127" s="1"/>
    </row>
    <row r="128" spans="1:107" ht="15.75" customHeight="1" x14ac:dyDescent="0.25">
      <c r="A128" s="1"/>
      <c r="B128" s="3"/>
      <c r="C128" s="1"/>
      <c r="D128" s="1"/>
      <c r="N128" s="1"/>
      <c r="W128" s="1"/>
      <c r="X128" s="1"/>
      <c r="Y128" s="1"/>
      <c r="Z128" s="1"/>
      <c r="AA128" s="1"/>
      <c r="AI128" s="1"/>
      <c r="AV128" s="1"/>
      <c r="AW128" s="1"/>
      <c r="AX128" s="1"/>
    </row>
    <row r="129" spans="1:107" ht="15.75" customHeight="1" x14ac:dyDescent="0.25">
      <c r="A129" s="1"/>
      <c r="B129" s="3"/>
      <c r="C129" s="1"/>
      <c r="D129" s="1"/>
      <c r="N129" s="1"/>
      <c r="W129" s="1"/>
      <c r="X129" s="1"/>
      <c r="Y129" s="1"/>
      <c r="Z129" s="1"/>
      <c r="AA129" s="1"/>
      <c r="AI129" s="1"/>
      <c r="AV129" s="1"/>
      <c r="AW129" s="1"/>
      <c r="AX129" s="1"/>
    </row>
    <row r="130" spans="1:107" ht="15.75" customHeight="1" x14ac:dyDescent="0.25">
      <c r="A130" s="1"/>
      <c r="B130" s="3"/>
      <c r="C130" s="1"/>
      <c r="D130" s="1"/>
      <c r="N130" s="1"/>
      <c r="V130" s="1"/>
      <c r="W130" s="1"/>
      <c r="X130" s="1"/>
      <c r="Y130" s="1"/>
      <c r="Z130" s="1"/>
      <c r="AA130" s="1"/>
      <c r="AB130" s="1"/>
      <c r="AI130" s="1"/>
      <c r="AK130" s="1"/>
      <c r="AU130" s="1"/>
      <c r="AV130" s="1"/>
      <c r="AW130" s="1"/>
      <c r="AX130" s="1"/>
      <c r="AY130" s="1"/>
      <c r="BA130" s="1"/>
      <c r="BM130" s="1"/>
      <c r="BN130" s="1"/>
      <c r="BY130" s="1"/>
      <c r="BZ130" s="1"/>
      <c r="CM130" s="1"/>
      <c r="CQ130" s="1"/>
      <c r="DC130" s="1"/>
    </row>
    <row r="131" spans="1:107" ht="15.75" customHeight="1" x14ac:dyDescent="0.25">
      <c r="A131" s="1"/>
      <c r="B131" s="3"/>
      <c r="C131" s="1"/>
      <c r="D131" s="1"/>
      <c r="N131" s="1"/>
      <c r="W131" s="1"/>
      <c r="X131" s="1"/>
      <c r="Y131" s="1"/>
      <c r="Z131" s="1"/>
      <c r="AA131" s="1"/>
      <c r="AB131" s="1"/>
      <c r="AI131" s="1"/>
      <c r="AK131" s="1"/>
      <c r="AU131" s="1"/>
      <c r="AV131" s="1"/>
      <c r="AW131" s="1"/>
      <c r="AX131" s="1"/>
      <c r="AY131" s="1"/>
      <c r="BA131" s="1"/>
      <c r="BM131" s="1"/>
      <c r="BN131" s="1"/>
      <c r="CH131" s="1"/>
      <c r="CI131" s="1"/>
      <c r="CJ131" s="1"/>
      <c r="CK131" s="1"/>
      <c r="CL131" s="1"/>
      <c r="DC131" s="1"/>
    </row>
    <row r="132" spans="1:107" ht="15.75" customHeight="1" x14ac:dyDescent="0.25">
      <c r="A132" s="1"/>
      <c r="B132" s="3"/>
      <c r="C132" s="1"/>
      <c r="D132" s="1"/>
      <c r="M132" s="1"/>
      <c r="N132" s="1"/>
      <c r="V132" s="1"/>
      <c r="W132" s="1"/>
      <c r="X132" s="1"/>
      <c r="Y132" s="1"/>
      <c r="Z132" s="1"/>
      <c r="AA132" s="1"/>
      <c r="AB132" s="1"/>
      <c r="AI132" s="1"/>
      <c r="AK132" s="1"/>
      <c r="AU132" s="1"/>
      <c r="AV132" s="1"/>
      <c r="AW132" s="1"/>
      <c r="AX132" s="1"/>
      <c r="AY132" s="1"/>
      <c r="BA132" s="1"/>
      <c r="BM132" s="1"/>
      <c r="BN132" s="1"/>
      <c r="DC132" s="1"/>
    </row>
    <row r="133" spans="1:107" ht="15.75" customHeight="1" x14ac:dyDescent="0.25">
      <c r="A133" s="1"/>
      <c r="B133" s="3"/>
      <c r="C133" s="1"/>
      <c r="D133" s="1"/>
      <c r="N133" s="1"/>
      <c r="V133" s="1"/>
      <c r="W133" s="1"/>
      <c r="X133" s="1"/>
      <c r="Y133" s="1"/>
      <c r="Z133" s="1"/>
      <c r="AA133" s="1"/>
      <c r="AB133" s="1"/>
      <c r="AI133" s="1"/>
      <c r="AK133" s="1"/>
      <c r="AU133" s="1"/>
      <c r="AV133" s="1"/>
      <c r="AW133" s="1"/>
      <c r="AX133" s="1"/>
      <c r="AY133" s="1"/>
      <c r="BA133" s="1"/>
      <c r="BM133" s="1"/>
      <c r="BN133" s="1"/>
      <c r="CH133" s="1"/>
      <c r="CI133" s="1"/>
      <c r="CJ133" s="1"/>
      <c r="CL133" s="1"/>
      <c r="DC133" s="1"/>
    </row>
    <row r="134" spans="1:107" ht="15.75" customHeight="1" x14ac:dyDescent="0.25">
      <c r="A134" s="1"/>
      <c r="B134" s="3"/>
      <c r="C134" s="1"/>
      <c r="D134" s="1"/>
      <c r="N134" s="1"/>
      <c r="V134" s="1"/>
      <c r="W134" s="1"/>
      <c r="X134" s="1"/>
      <c r="Y134" s="1"/>
      <c r="Z134" s="1"/>
      <c r="AA134" s="1"/>
      <c r="AB134" s="1"/>
      <c r="AI134" s="1"/>
      <c r="AK134" s="1"/>
      <c r="AU134" s="1"/>
      <c r="AV134" s="1"/>
      <c r="AW134" s="1"/>
      <c r="AX134" s="1"/>
      <c r="AY134" s="1"/>
      <c r="BA134" s="1"/>
      <c r="BM134" s="1"/>
      <c r="BN134" s="1"/>
      <c r="BW134" s="1"/>
      <c r="CM134" s="1"/>
      <c r="CQ134" s="1"/>
      <c r="DC134" s="1"/>
    </row>
    <row r="135" spans="1:107" ht="15.75" customHeight="1" x14ac:dyDescent="0.25">
      <c r="A135" s="1"/>
      <c r="B135" s="3"/>
      <c r="C135" s="1"/>
      <c r="D135" s="1"/>
      <c r="N135" s="1"/>
      <c r="V135" s="1"/>
      <c r="W135" s="1"/>
      <c r="X135" s="1"/>
      <c r="Y135" s="1"/>
      <c r="Z135" s="1"/>
      <c r="AA135" s="1"/>
      <c r="AB135" s="1"/>
      <c r="AI135" s="1"/>
      <c r="AK135" s="1"/>
      <c r="AU135" s="1"/>
      <c r="AV135" s="1"/>
      <c r="AW135" s="1"/>
      <c r="AX135" s="1"/>
      <c r="AY135" s="1"/>
      <c r="AZ135" s="1"/>
      <c r="BA135" s="1"/>
      <c r="CB135" s="1"/>
      <c r="CF135" s="1"/>
      <c r="CG135" s="1"/>
      <c r="CH135" s="1"/>
      <c r="CI135" s="1"/>
      <c r="CJ135" s="1"/>
      <c r="CL135" s="1"/>
      <c r="DC135" s="1"/>
    </row>
    <row r="136" spans="1:107" ht="15.75" customHeight="1" x14ac:dyDescent="0.25">
      <c r="A136" s="1"/>
      <c r="B136" s="3"/>
      <c r="C136" s="1"/>
      <c r="D136" s="1"/>
      <c r="N136" s="1"/>
      <c r="O136" s="1"/>
      <c r="P136" s="1"/>
      <c r="Q136" s="1"/>
      <c r="R136" s="1"/>
      <c r="S136" s="1"/>
      <c r="T136" s="1"/>
      <c r="W136" s="1"/>
      <c r="X136" s="1"/>
      <c r="Y136" s="1"/>
      <c r="Z136" s="1"/>
      <c r="AA136" s="1"/>
      <c r="AI136" s="1"/>
      <c r="AV136" s="1"/>
      <c r="AW136" s="1"/>
      <c r="AX136" s="1"/>
    </row>
    <row r="137" spans="1:107" ht="15.75" customHeight="1" x14ac:dyDescent="0.25">
      <c r="A137" s="1"/>
      <c r="B137" s="3"/>
      <c r="C137" s="1"/>
      <c r="D137" s="1"/>
      <c r="N137" s="1"/>
      <c r="O137" s="1"/>
      <c r="P137" s="1"/>
      <c r="Q137" s="1"/>
      <c r="R137" s="1"/>
      <c r="S137" s="1"/>
      <c r="T137" s="1"/>
      <c r="W137" s="1"/>
      <c r="X137" s="1"/>
      <c r="Y137" s="1"/>
      <c r="Z137" s="1"/>
      <c r="AA137" s="1"/>
      <c r="AI137" s="1"/>
      <c r="AV137" s="1"/>
      <c r="AW137" s="1"/>
      <c r="AX137" s="1"/>
    </row>
    <row r="138" spans="1:107" ht="15.75" customHeight="1" x14ac:dyDescent="0.25">
      <c r="A138" s="1"/>
      <c r="B138" s="3"/>
      <c r="C138" s="1"/>
      <c r="D138" s="1"/>
      <c r="N138" s="1"/>
      <c r="O138" s="1"/>
      <c r="P138" s="1"/>
      <c r="Q138" s="1"/>
      <c r="R138" s="1"/>
      <c r="S138" s="1"/>
      <c r="T138" s="1"/>
      <c r="W138" s="1"/>
      <c r="X138" s="1"/>
      <c r="Y138" s="1"/>
      <c r="Z138" s="1"/>
      <c r="AA138" s="1"/>
      <c r="AI138" s="1"/>
      <c r="AV138" s="1"/>
      <c r="AW138" s="1"/>
      <c r="AX138" s="1"/>
    </row>
    <row r="139" spans="1:107" ht="15.75" customHeight="1" x14ac:dyDescent="0.25">
      <c r="A139" s="1"/>
      <c r="B139" s="3"/>
      <c r="C139" s="1"/>
      <c r="D139" s="1"/>
      <c r="N139" s="1"/>
      <c r="O139" s="1"/>
      <c r="P139" s="1"/>
      <c r="Q139" s="1"/>
      <c r="R139" s="1"/>
      <c r="S139" s="1"/>
      <c r="T139" s="1"/>
      <c r="W139" s="1"/>
      <c r="X139" s="1"/>
      <c r="Y139" s="1"/>
      <c r="Z139" s="1"/>
      <c r="AA139" s="1"/>
      <c r="AI139" s="1"/>
      <c r="AV139" s="1"/>
      <c r="AW139" s="1"/>
      <c r="AX139" s="1"/>
    </row>
    <row r="140" spans="1:107" ht="15.75" customHeight="1" x14ac:dyDescent="0.25">
      <c r="A140" s="1"/>
      <c r="B140" s="3"/>
      <c r="C140" s="1"/>
      <c r="D140" s="1"/>
      <c r="N140" s="1"/>
      <c r="O140" s="1"/>
      <c r="P140" s="1"/>
      <c r="Q140" s="1"/>
      <c r="R140" s="1"/>
      <c r="S140" s="1"/>
      <c r="T140" s="1"/>
      <c r="W140" s="1"/>
      <c r="X140" s="1"/>
      <c r="Y140" s="1"/>
      <c r="Z140" s="1"/>
      <c r="AA140" s="1"/>
      <c r="AI140" s="1"/>
      <c r="AV140" s="1"/>
      <c r="AW140" s="1"/>
      <c r="AX140" s="1"/>
    </row>
    <row r="141" spans="1:107" ht="15.75" customHeight="1" x14ac:dyDescent="0.25">
      <c r="A141" s="1"/>
      <c r="B141" s="3"/>
      <c r="C141" s="1"/>
      <c r="D141" s="1"/>
      <c r="N141" s="1"/>
      <c r="O141" s="1"/>
      <c r="P141" s="1"/>
      <c r="Q141" s="1"/>
      <c r="R141" s="1"/>
      <c r="S141" s="1"/>
      <c r="T141" s="1"/>
      <c r="W141" s="1"/>
      <c r="X141" s="1"/>
      <c r="Y141" s="1"/>
      <c r="Z141" s="1"/>
      <c r="AA141" s="1"/>
      <c r="AI141" s="1"/>
      <c r="AV141" s="1"/>
      <c r="AW141" s="1"/>
      <c r="AX141" s="1"/>
    </row>
    <row r="142" spans="1:107" ht="15.75" customHeight="1" x14ac:dyDescent="0.25">
      <c r="A142" s="1"/>
      <c r="B142" s="3"/>
      <c r="C142" s="1"/>
      <c r="D142" s="1"/>
      <c r="N142" s="1"/>
      <c r="O142" s="1"/>
      <c r="P142" s="1"/>
      <c r="Q142" s="1"/>
      <c r="R142" s="1"/>
      <c r="S142" s="1"/>
      <c r="T142" s="1"/>
      <c r="W142" s="1"/>
      <c r="X142" s="1"/>
      <c r="Y142" s="1"/>
      <c r="Z142" s="1"/>
      <c r="AA142" s="1"/>
      <c r="AI142" s="1"/>
      <c r="AV142" s="1"/>
      <c r="AW142" s="1"/>
      <c r="AX142" s="1"/>
    </row>
    <row r="143" spans="1:107" ht="15.75" customHeight="1" x14ac:dyDescent="0.25">
      <c r="A143" s="1"/>
      <c r="B143" s="3"/>
      <c r="C143" s="1"/>
      <c r="D143" s="1"/>
      <c r="M143" s="1"/>
      <c r="N143" s="1"/>
      <c r="O143" s="1"/>
      <c r="P143" s="1"/>
      <c r="Q143" s="1"/>
      <c r="R143" s="1"/>
      <c r="S143" s="1"/>
      <c r="T143" s="1"/>
      <c r="U143" s="1"/>
      <c r="W143" s="1"/>
      <c r="X143" s="1"/>
      <c r="Y143" s="1"/>
      <c r="Z143" s="1"/>
      <c r="AA143" s="1"/>
      <c r="AB143" s="1"/>
      <c r="AI143" s="1"/>
      <c r="AJ143" s="1"/>
      <c r="AV143" s="1"/>
      <c r="AW143" s="1"/>
      <c r="AX143" s="1"/>
      <c r="BA143" s="1"/>
      <c r="BL143" s="1"/>
      <c r="DC143" s="1"/>
    </row>
    <row r="144" spans="1:107" ht="15.75" customHeight="1" x14ac:dyDescent="0.25">
      <c r="A144" s="1"/>
      <c r="B144" s="3"/>
      <c r="C144" s="1"/>
      <c r="D144" s="1"/>
      <c r="N144" s="1"/>
      <c r="O144" s="1"/>
      <c r="P144" s="1"/>
      <c r="Q144" s="1"/>
      <c r="R144" s="1"/>
      <c r="S144" s="1"/>
      <c r="T144" s="1"/>
      <c r="V144" s="1"/>
      <c r="W144" s="1"/>
      <c r="X144" s="1"/>
      <c r="Y144" s="1"/>
      <c r="Z144" s="1"/>
      <c r="AA144" s="1"/>
      <c r="AI144" s="1"/>
      <c r="AK144" s="1"/>
      <c r="AU144" s="1"/>
      <c r="AV144" s="1"/>
      <c r="AW144" s="1"/>
      <c r="AX144" s="1"/>
      <c r="AY144" s="1"/>
      <c r="BM144" s="1"/>
      <c r="CH144" s="1"/>
      <c r="CJ144" s="1"/>
      <c r="CL144" s="1"/>
    </row>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3:A144">
    <cfRule type="cellIs" dxfId="19" priority="1" operator="equal">
      <formula>"FALSE"</formula>
    </cfRule>
    <cfRule type="expression" dxfId="18" priority="2">
      <formula>D1:D146="Game Enthusiast or Collector"</formula>
    </cfRule>
  </conditionalFormatting>
  <conditionalFormatting sqref="W3:AA144">
    <cfRule type="cellIs" dxfId="17" priority="3" operator="equal">
      <formula>"False"</formula>
    </cfRule>
    <cfRule type="cellIs" dxfId="16" priority="4" operator="equal">
      <formula>"True"</formula>
    </cfRule>
  </conditionalFormatting>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C1000"/>
  <sheetViews>
    <sheetView topLeftCell="CF1" workbookViewId="0">
      <pane ySplit="2" topLeftCell="A3" activePane="bottomLeft" state="frozen"/>
      <selection pane="bottomLeft" activeCell="CO9" sqref="CO9"/>
    </sheetView>
  </sheetViews>
  <sheetFormatPr defaultColWidth="12.6640625" defaultRowHeight="15" customHeight="1" x14ac:dyDescent="0.25"/>
  <cols>
    <col min="1" max="4" width="12.6640625" customWidth="1"/>
    <col min="5" max="12" width="4.77734375" customWidth="1"/>
  </cols>
  <sheetData>
    <row r="1" spans="1:107" ht="15.75" customHeight="1" x14ac:dyDescent="0.2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ht="15.75" customHeight="1" x14ac:dyDescent="0.25">
      <c r="A2" s="1" t="s">
        <v>0</v>
      </c>
      <c r="B2" s="1" t="s">
        <v>107</v>
      </c>
      <c r="C2" s="1" t="s">
        <v>108</v>
      </c>
      <c r="D2" s="1" t="s">
        <v>109</v>
      </c>
      <c r="E2" s="1"/>
      <c r="F2" s="1"/>
      <c r="G2" s="1"/>
      <c r="H2" s="1"/>
      <c r="I2" s="1"/>
      <c r="J2" s="1"/>
      <c r="K2" s="1"/>
      <c r="L2" s="1"/>
      <c r="M2" s="1" t="s">
        <v>110</v>
      </c>
      <c r="N2" s="1" t="s">
        <v>111</v>
      </c>
      <c r="O2" s="1"/>
      <c r="P2" s="1"/>
      <c r="Q2" s="1"/>
      <c r="R2" s="1"/>
      <c r="S2" s="1"/>
      <c r="T2" s="1"/>
      <c r="U2" s="1" t="s">
        <v>112</v>
      </c>
      <c r="V2" s="1" t="s">
        <v>113</v>
      </c>
      <c r="W2" s="1"/>
      <c r="X2" s="1"/>
      <c r="Y2" s="1"/>
      <c r="Z2" s="1"/>
      <c r="AA2" s="1"/>
      <c r="AB2" s="1" t="s">
        <v>114</v>
      </c>
      <c r="AC2" s="1"/>
      <c r="AD2" s="1"/>
      <c r="AE2" s="1"/>
      <c r="AF2" s="1"/>
      <c r="AG2" s="1"/>
      <c r="AH2" s="1"/>
      <c r="AI2" s="1"/>
      <c r="AJ2" s="1" t="s">
        <v>115</v>
      </c>
      <c r="AK2" s="1" t="s">
        <v>116</v>
      </c>
      <c r="AL2" s="1"/>
      <c r="AM2" s="1"/>
      <c r="AN2" s="1"/>
      <c r="AO2" s="1"/>
      <c r="AP2" s="1"/>
      <c r="AQ2" s="1"/>
      <c r="AR2" s="1"/>
      <c r="AS2" s="1"/>
      <c r="AT2" s="1" t="s">
        <v>117</v>
      </c>
      <c r="AU2" s="1" t="s">
        <v>118</v>
      </c>
      <c r="AV2" s="1"/>
      <c r="AW2" s="1"/>
      <c r="AX2" s="1"/>
      <c r="AY2" s="1" t="s">
        <v>119</v>
      </c>
      <c r="AZ2" s="1" t="s">
        <v>120</v>
      </c>
      <c r="BA2" s="1" t="s">
        <v>121</v>
      </c>
      <c r="BB2" s="1"/>
      <c r="BC2" s="1"/>
      <c r="BD2" s="1"/>
      <c r="BE2" s="1"/>
      <c r="BF2" s="1"/>
      <c r="BG2" s="1"/>
      <c r="BH2" s="1"/>
      <c r="BI2" s="1"/>
      <c r="BJ2" s="1"/>
      <c r="BK2" s="1"/>
      <c r="BL2" s="1" t="s">
        <v>122</v>
      </c>
      <c r="BM2" s="1" t="s">
        <v>123</v>
      </c>
      <c r="BN2" s="1" t="s">
        <v>124</v>
      </c>
      <c r="BO2" s="1"/>
      <c r="BP2" s="1"/>
      <c r="BQ2" s="1"/>
      <c r="BR2" s="1"/>
      <c r="BS2" s="1"/>
      <c r="BT2" s="1"/>
      <c r="BU2" s="1"/>
      <c r="BV2" s="1" t="s">
        <v>125</v>
      </c>
      <c r="BW2" s="1" t="s">
        <v>126</v>
      </c>
      <c r="BX2" s="1" t="s">
        <v>127</v>
      </c>
      <c r="BY2" s="1" t="s">
        <v>128</v>
      </c>
      <c r="BZ2" s="1" t="s">
        <v>129</v>
      </c>
      <c r="CA2" s="1" t="s">
        <v>130</v>
      </c>
      <c r="CB2" s="1" t="s">
        <v>131</v>
      </c>
      <c r="CC2" s="1" t="s">
        <v>132</v>
      </c>
      <c r="CD2" s="1" t="s">
        <v>133</v>
      </c>
      <c r="CE2" s="1" t="s">
        <v>134</v>
      </c>
      <c r="CF2" s="1" t="s">
        <v>135</v>
      </c>
      <c r="CG2" s="1" t="s">
        <v>136</v>
      </c>
      <c r="CH2" s="1" t="s">
        <v>137</v>
      </c>
      <c r="CI2" s="1" t="s">
        <v>138</v>
      </c>
      <c r="CJ2" s="1" t="s">
        <v>139</v>
      </c>
      <c r="CK2" s="1" t="s">
        <v>140</v>
      </c>
      <c r="CL2" s="1" t="s">
        <v>141</v>
      </c>
      <c r="CM2" s="1" t="s">
        <v>142</v>
      </c>
      <c r="CN2" s="1" t="s">
        <v>143</v>
      </c>
      <c r="CO2" s="1" t="s">
        <v>144</v>
      </c>
      <c r="CP2" s="1" t="s">
        <v>145</v>
      </c>
      <c r="CQ2" s="1" t="s">
        <v>146</v>
      </c>
      <c r="CR2" s="1" t="s">
        <v>147</v>
      </c>
      <c r="CS2" s="1" t="s">
        <v>148</v>
      </c>
      <c r="CT2" s="1" t="s">
        <v>149</v>
      </c>
      <c r="CU2" s="1" t="s">
        <v>150</v>
      </c>
      <c r="CV2" s="1" t="s">
        <v>151</v>
      </c>
      <c r="CW2" s="1" t="s">
        <v>152</v>
      </c>
      <c r="CX2" s="1" t="s">
        <v>153</v>
      </c>
      <c r="CY2" s="1" t="s">
        <v>154</v>
      </c>
      <c r="CZ2" s="1" t="s">
        <v>155</v>
      </c>
      <c r="DA2" s="1" t="s">
        <v>156</v>
      </c>
      <c r="DB2" s="1" t="s">
        <v>152</v>
      </c>
      <c r="DC2" s="1" t="s">
        <v>157</v>
      </c>
    </row>
    <row r="3" spans="1:107" ht="15.75" customHeight="1" x14ac:dyDescent="0.25">
      <c r="A3" s="1" t="b">
        <v>1</v>
      </c>
      <c r="B3" s="3">
        <v>46165.302349537036</v>
      </c>
      <c r="C3" s="1" t="s">
        <v>602</v>
      </c>
      <c r="D3" s="1" t="s">
        <v>391</v>
      </c>
      <c r="E3" s="4">
        <f t="shared" ref="E3:K3" si="0">IF(ISNUMBER(SEARCH(E$1,$D3)), SEARCH(E$1,$D3), 0)</f>
        <v>1</v>
      </c>
      <c r="F3" s="4">
        <f t="shared" si="0"/>
        <v>30</v>
      </c>
      <c r="G3" s="4">
        <f t="shared" si="0"/>
        <v>105</v>
      </c>
      <c r="H3" s="4">
        <f t="shared" si="0"/>
        <v>161</v>
      </c>
      <c r="I3" s="4">
        <f t="shared" si="0"/>
        <v>199</v>
      </c>
      <c r="J3" s="4">
        <f t="shared" si="0"/>
        <v>231</v>
      </c>
      <c r="K3" s="4">
        <f t="shared" si="0"/>
        <v>268</v>
      </c>
      <c r="L3" s="4">
        <f t="shared" ref="L3:L19" si="1">(MAX(E3:K3))</f>
        <v>268</v>
      </c>
      <c r="N3" s="1" t="s">
        <v>505</v>
      </c>
      <c r="O3" s="4">
        <f t="shared" ref="O3:T3" si="2">IF(ISNUMBER(SEARCH(O$1,$N3)), 1, 0)</f>
        <v>1</v>
      </c>
      <c r="P3" s="4">
        <f t="shared" si="2"/>
        <v>1</v>
      </c>
      <c r="Q3" s="4">
        <f t="shared" si="2"/>
        <v>0</v>
      </c>
      <c r="R3" s="4">
        <f t="shared" si="2"/>
        <v>1</v>
      </c>
      <c r="S3" s="4">
        <f t="shared" si="2"/>
        <v>1</v>
      </c>
      <c r="T3" s="4">
        <f t="shared" si="2"/>
        <v>1</v>
      </c>
      <c r="W3" s="1" t="str">
        <f t="shared" ref="W3:AA12" si="3">IF(W$1=$V3, "True", "False")</f>
        <v>False</v>
      </c>
      <c r="X3" s="1" t="str">
        <f t="shared" si="3"/>
        <v>False</v>
      </c>
      <c r="Y3" s="1" t="str">
        <f t="shared" si="3"/>
        <v>False</v>
      </c>
      <c r="Z3" s="1" t="str">
        <f t="shared" si="3"/>
        <v>False</v>
      </c>
      <c r="AA3" s="1" t="str">
        <f t="shared" si="3"/>
        <v>False</v>
      </c>
      <c r="AB3" s="1" t="s">
        <v>603</v>
      </c>
      <c r="AC3" s="4">
        <f t="shared" ref="AC3:AH3" si="4">IF(ISNUMBER(SEARCH(AC$1,$AB3)), 1, 0)</f>
        <v>1</v>
      </c>
      <c r="AD3" s="4">
        <f t="shared" si="4"/>
        <v>1</v>
      </c>
      <c r="AE3" s="4">
        <f t="shared" si="4"/>
        <v>1</v>
      </c>
      <c r="AF3" s="4">
        <f t="shared" si="4"/>
        <v>1</v>
      </c>
      <c r="AG3" s="4">
        <f t="shared" si="4"/>
        <v>0</v>
      </c>
      <c r="AH3" s="4">
        <f t="shared" si="4"/>
        <v>1</v>
      </c>
      <c r="AI3" s="1">
        <f t="shared" ref="AI3:AI19" si="5">SUM(AC3:AH3)</f>
        <v>5</v>
      </c>
      <c r="AK3" s="1" t="s">
        <v>604</v>
      </c>
      <c r="AL3" s="4">
        <f t="shared" ref="AL3:AS3" si="6">IF(ISNUMBER(SEARCH(AL$1,$AK3)), 1, 0)</f>
        <v>1</v>
      </c>
      <c r="AM3" s="4">
        <f t="shared" si="6"/>
        <v>1</v>
      </c>
      <c r="AN3" s="4">
        <f t="shared" si="6"/>
        <v>1</v>
      </c>
      <c r="AO3" s="4">
        <f t="shared" si="6"/>
        <v>1</v>
      </c>
      <c r="AP3" s="4">
        <f t="shared" si="6"/>
        <v>1</v>
      </c>
      <c r="AQ3" s="4">
        <f t="shared" si="6"/>
        <v>1</v>
      </c>
      <c r="AR3" s="4">
        <f t="shared" si="6"/>
        <v>1</v>
      </c>
      <c r="AS3" s="4">
        <f t="shared" si="6"/>
        <v>1</v>
      </c>
      <c r="AU3" s="1" t="s">
        <v>48</v>
      </c>
      <c r="AV3" s="1">
        <f t="shared" ref="AV3:AV19" si="7">IF($AU3="No",1,0)</f>
        <v>0</v>
      </c>
      <c r="AW3" s="1">
        <f t="shared" ref="AW3:AW19" si="8">IF($AU3="Yes",1,0)</f>
        <v>1</v>
      </c>
      <c r="AX3" s="1">
        <f t="shared" ref="AX3:AX19" si="9">IF($AU3="Unsure",1,0)</f>
        <v>0</v>
      </c>
      <c r="AY3" s="1" t="s">
        <v>48</v>
      </c>
      <c r="BA3" s="1" t="s">
        <v>605</v>
      </c>
      <c r="BB3" s="4">
        <f t="shared" ref="BB3:BJ3" si="10">IF(ISNUMBER(SEARCH(BB$1,$BA3)), 1, 0)</f>
        <v>1</v>
      </c>
      <c r="BC3" s="4">
        <f t="shared" si="10"/>
        <v>1</v>
      </c>
      <c r="BD3" s="4">
        <f t="shared" si="10"/>
        <v>1</v>
      </c>
      <c r="BE3" s="4">
        <f t="shared" si="10"/>
        <v>1</v>
      </c>
      <c r="BF3" s="4">
        <f t="shared" si="10"/>
        <v>1</v>
      </c>
      <c r="BG3" s="4">
        <f t="shared" si="10"/>
        <v>1</v>
      </c>
      <c r="BH3" s="4">
        <f t="shared" si="10"/>
        <v>1</v>
      </c>
      <c r="BI3" s="4">
        <f t="shared" si="10"/>
        <v>1</v>
      </c>
      <c r="BJ3" s="4">
        <f t="shared" si="10"/>
        <v>1</v>
      </c>
      <c r="BK3" s="4">
        <f t="shared" ref="BK3:BK19" si="11">SUM(BB3:BJ3)</f>
        <v>9</v>
      </c>
      <c r="BO3" s="4">
        <f t="shared" ref="BO3:BU3" si="12">IF(ISNUMBER(SEARCH(BO$1,$BN3)), 1, 0)</f>
        <v>0</v>
      </c>
      <c r="BP3" s="4">
        <f t="shared" si="12"/>
        <v>0</v>
      </c>
      <c r="BQ3" s="4">
        <f t="shared" si="12"/>
        <v>0</v>
      </c>
      <c r="BR3" s="4">
        <f t="shared" si="12"/>
        <v>0</v>
      </c>
      <c r="BS3" s="4">
        <f t="shared" si="12"/>
        <v>0</v>
      </c>
      <c r="BT3" s="4">
        <f t="shared" si="12"/>
        <v>0</v>
      </c>
      <c r="BU3" s="4">
        <f t="shared" si="12"/>
        <v>0</v>
      </c>
      <c r="BZ3" s="1" t="s">
        <v>171</v>
      </c>
      <c r="CB3" s="1" t="s">
        <v>48</v>
      </c>
      <c r="CC3" s="1" t="s">
        <v>48</v>
      </c>
      <c r="CD3" s="1" t="s">
        <v>444</v>
      </c>
      <c r="CF3" s="1" t="s">
        <v>606</v>
      </c>
      <c r="CG3" s="1" t="s">
        <v>607</v>
      </c>
      <c r="CH3" s="1" t="s">
        <v>173</v>
      </c>
      <c r="CJ3" s="1" t="s">
        <v>608</v>
      </c>
      <c r="CL3" s="1" t="s">
        <v>352</v>
      </c>
      <c r="CM3" s="1" t="s">
        <v>48</v>
      </c>
      <c r="CN3" s="1" t="s">
        <v>609</v>
      </c>
      <c r="CU3" s="1" t="s">
        <v>178</v>
      </c>
      <c r="DC3" s="1" t="s">
        <v>238</v>
      </c>
    </row>
    <row r="4" spans="1:107" ht="15.75" customHeight="1" x14ac:dyDescent="0.25">
      <c r="A4" s="1" t="b">
        <v>1</v>
      </c>
      <c r="B4" s="3">
        <v>46161.275833333333</v>
      </c>
      <c r="C4" s="1" t="s">
        <v>424</v>
      </c>
      <c r="D4" s="1" t="s">
        <v>425</v>
      </c>
      <c r="E4" s="4">
        <f t="shared" ref="E4:K4" si="13">IF(ISNUMBER(SEARCH(E$1,$D4)), SEARCH(E$1,$D4), 0)</f>
        <v>1</v>
      </c>
      <c r="F4" s="4">
        <f t="shared" si="13"/>
        <v>30</v>
      </c>
      <c r="G4" s="4">
        <f t="shared" si="13"/>
        <v>105</v>
      </c>
      <c r="H4" s="4">
        <f t="shared" si="13"/>
        <v>161</v>
      </c>
      <c r="I4" s="4">
        <f t="shared" si="13"/>
        <v>199</v>
      </c>
      <c r="J4" s="4">
        <f t="shared" si="13"/>
        <v>231</v>
      </c>
      <c r="K4" s="4">
        <f t="shared" si="13"/>
        <v>268</v>
      </c>
      <c r="L4" s="4">
        <f t="shared" si="1"/>
        <v>268</v>
      </c>
      <c r="N4" s="1" t="s">
        <v>323</v>
      </c>
      <c r="O4" s="4">
        <f t="shared" ref="O4:T4" si="14">IF(ISNUMBER(SEARCH(O$1,$N4)), 1, 0)</f>
        <v>1</v>
      </c>
      <c r="P4" s="4">
        <f t="shared" si="14"/>
        <v>1</v>
      </c>
      <c r="Q4" s="4">
        <f t="shared" si="14"/>
        <v>1</v>
      </c>
      <c r="R4" s="4">
        <f t="shared" si="14"/>
        <v>1</v>
      </c>
      <c r="S4" s="4">
        <f t="shared" si="14"/>
        <v>0</v>
      </c>
      <c r="T4" s="4">
        <f t="shared" si="14"/>
        <v>1</v>
      </c>
      <c r="V4" s="1" t="s">
        <v>22</v>
      </c>
      <c r="W4" s="1" t="str">
        <f t="shared" si="3"/>
        <v>True</v>
      </c>
      <c r="X4" s="1" t="str">
        <f t="shared" si="3"/>
        <v>False</v>
      </c>
      <c r="Y4" s="1" t="str">
        <f t="shared" si="3"/>
        <v>False</v>
      </c>
      <c r="Z4" s="1" t="str">
        <f t="shared" si="3"/>
        <v>False</v>
      </c>
      <c r="AA4" s="1" t="str">
        <f t="shared" si="3"/>
        <v>False</v>
      </c>
      <c r="AB4" s="1" t="s">
        <v>183</v>
      </c>
      <c r="AC4" s="4">
        <f t="shared" ref="AC4:AH4" si="15">IF(ISNUMBER(SEARCH(AC$1,$AB4)), 1, 0)</f>
        <v>0</v>
      </c>
      <c r="AD4" s="4">
        <f t="shared" si="15"/>
        <v>0</v>
      </c>
      <c r="AE4" s="4">
        <f t="shared" si="15"/>
        <v>0</v>
      </c>
      <c r="AF4" s="4">
        <f t="shared" si="15"/>
        <v>0</v>
      </c>
      <c r="AG4" s="4">
        <f t="shared" si="15"/>
        <v>0</v>
      </c>
      <c r="AH4" s="4">
        <f t="shared" si="15"/>
        <v>0</v>
      </c>
      <c r="AI4" s="1">
        <f t="shared" si="5"/>
        <v>0</v>
      </c>
      <c r="AJ4" s="1" t="s">
        <v>426</v>
      </c>
      <c r="AK4" s="1" t="s">
        <v>427</v>
      </c>
      <c r="AL4" s="4">
        <f t="shared" ref="AL4:AS4" si="16">IF(ISNUMBER(SEARCH(AL$1,$AK4)), 1, 0)</f>
        <v>0</v>
      </c>
      <c r="AM4" s="4">
        <f t="shared" si="16"/>
        <v>1</v>
      </c>
      <c r="AN4" s="4">
        <f t="shared" si="16"/>
        <v>1</v>
      </c>
      <c r="AO4" s="4">
        <f t="shared" si="16"/>
        <v>1</v>
      </c>
      <c r="AP4" s="4">
        <f t="shared" si="16"/>
        <v>0</v>
      </c>
      <c r="AQ4" s="4">
        <f t="shared" si="16"/>
        <v>1</v>
      </c>
      <c r="AR4" s="4">
        <f t="shared" si="16"/>
        <v>1</v>
      </c>
      <c r="AS4" s="4">
        <f t="shared" si="16"/>
        <v>1</v>
      </c>
      <c r="AU4" s="1" t="s">
        <v>48</v>
      </c>
      <c r="AV4" s="1">
        <f t="shared" si="7"/>
        <v>0</v>
      </c>
      <c r="AW4" s="1">
        <f t="shared" si="8"/>
        <v>1</v>
      </c>
      <c r="AX4" s="1">
        <f t="shared" si="9"/>
        <v>0</v>
      </c>
      <c r="AY4" s="1" t="s">
        <v>47</v>
      </c>
      <c r="AZ4" s="1" t="s">
        <v>47</v>
      </c>
      <c r="BA4" s="1" t="s">
        <v>428</v>
      </c>
      <c r="BB4" s="4">
        <f t="shared" ref="BB4:BJ4" si="17">IF(ISNUMBER(SEARCH(BB$1,$BA4)), 1, 0)</f>
        <v>0</v>
      </c>
      <c r="BC4" s="4">
        <f t="shared" si="17"/>
        <v>0</v>
      </c>
      <c r="BD4" s="4">
        <f t="shared" si="17"/>
        <v>0</v>
      </c>
      <c r="BE4" s="4">
        <f t="shared" si="17"/>
        <v>0</v>
      </c>
      <c r="BF4" s="4">
        <f t="shared" si="17"/>
        <v>0</v>
      </c>
      <c r="BG4" s="4">
        <f t="shared" si="17"/>
        <v>0</v>
      </c>
      <c r="BH4" s="4">
        <f t="shared" si="17"/>
        <v>1</v>
      </c>
      <c r="BI4" s="4">
        <f t="shared" si="17"/>
        <v>1</v>
      </c>
      <c r="BJ4" s="4">
        <f t="shared" si="17"/>
        <v>1</v>
      </c>
      <c r="BK4" s="4">
        <f t="shared" si="11"/>
        <v>3</v>
      </c>
      <c r="BO4" s="4">
        <f t="shared" ref="BO4:BU4" si="18">IF(ISNUMBER(SEARCH(BO$1,$BN4)), 1, 0)</f>
        <v>0</v>
      </c>
      <c r="BP4" s="4">
        <f t="shared" si="18"/>
        <v>0</v>
      </c>
      <c r="BQ4" s="4">
        <f t="shared" si="18"/>
        <v>0</v>
      </c>
      <c r="BR4" s="4">
        <f t="shared" si="18"/>
        <v>0</v>
      </c>
      <c r="BS4" s="4">
        <f t="shared" si="18"/>
        <v>0</v>
      </c>
      <c r="BT4" s="4">
        <f t="shared" si="18"/>
        <v>0</v>
      </c>
      <c r="BU4" s="4">
        <f t="shared" si="18"/>
        <v>0</v>
      </c>
      <c r="BY4" s="1" t="s">
        <v>429</v>
      </c>
      <c r="BZ4" s="1" t="s">
        <v>183</v>
      </c>
      <c r="CA4" s="1" t="s">
        <v>430</v>
      </c>
      <c r="CB4" s="1" t="s">
        <v>48</v>
      </c>
      <c r="CC4" s="1" t="s">
        <v>47</v>
      </c>
      <c r="CD4" s="1" t="s">
        <v>431</v>
      </c>
      <c r="CF4" s="1" t="s">
        <v>412</v>
      </c>
      <c r="CG4" s="1" t="s">
        <v>432</v>
      </c>
      <c r="CI4" s="1" t="s">
        <v>433</v>
      </c>
      <c r="CJ4" s="1" t="s">
        <v>434</v>
      </c>
      <c r="CR4" s="1" t="s">
        <v>435</v>
      </c>
      <c r="CT4" s="1" t="s">
        <v>436</v>
      </c>
      <c r="CU4" s="1" t="s">
        <v>214</v>
      </c>
      <c r="CW4" s="1" t="s">
        <v>437</v>
      </c>
    </row>
    <row r="5" spans="1:107" ht="15.75" customHeight="1" x14ac:dyDescent="0.25">
      <c r="A5" s="1" t="b">
        <v>1</v>
      </c>
      <c r="B5" s="3">
        <v>46161.533495370371</v>
      </c>
      <c r="C5" s="1" t="s">
        <v>442</v>
      </c>
      <c r="D5" s="1" t="s">
        <v>425</v>
      </c>
      <c r="E5" s="4">
        <f t="shared" ref="E5:K5" si="19">IF(ISNUMBER(SEARCH(E$1,$D5)), SEARCH(E$1,$D5), 0)</f>
        <v>1</v>
      </c>
      <c r="F5" s="4">
        <f t="shared" si="19"/>
        <v>30</v>
      </c>
      <c r="G5" s="4">
        <f t="shared" si="19"/>
        <v>105</v>
      </c>
      <c r="H5" s="4">
        <f t="shared" si="19"/>
        <v>161</v>
      </c>
      <c r="I5" s="4">
        <f t="shared" si="19"/>
        <v>199</v>
      </c>
      <c r="J5" s="4">
        <f t="shared" si="19"/>
        <v>231</v>
      </c>
      <c r="K5" s="4">
        <f t="shared" si="19"/>
        <v>268</v>
      </c>
      <c r="L5" s="4">
        <f t="shared" si="1"/>
        <v>268</v>
      </c>
      <c r="O5" s="4">
        <f t="shared" ref="O5:T5" si="20">IF(ISNUMBER(SEARCH(O$1,$N5)), 1, 0)</f>
        <v>0</v>
      </c>
      <c r="P5" s="4">
        <f t="shared" si="20"/>
        <v>0</v>
      </c>
      <c r="Q5" s="4">
        <f t="shared" si="20"/>
        <v>0</v>
      </c>
      <c r="R5" s="4">
        <f t="shared" si="20"/>
        <v>0</v>
      </c>
      <c r="S5" s="4">
        <f t="shared" si="20"/>
        <v>0</v>
      </c>
      <c r="T5" s="4">
        <f t="shared" si="20"/>
        <v>0</v>
      </c>
      <c r="W5" s="1" t="str">
        <f t="shared" si="3"/>
        <v>False</v>
      </c>
      <c r="X5" s="1" t="str">
        <f t="shared" si="3"/>
        <v>False</v>
      </c>
      <c r="Y5" s="1" t="str">
        <f t="shared" si="3"/>
        <v>False</v>
      </c>
      <c r="Z5" s="1" t="str">
        <f t="shared" si="3"/>
        <v>False</v>
      </c>
      <c r="AA5" s="1" t="str">
        <f t="shared" si="3"/>
        <v>False</v>
      </c>
      <c r="AB5" s="1" t="s">
        <v>443</v>
      </c>
      <c r="AC5" s="4">
        <f t="shared" ref="AC5:AH5" si="21">IF(ISNUMBER(SEARCH(AC$1,$AB5)), 1, 0)</f>
        <v>0</v>
      </c>
      <c r="AD5" s="4">
        <f t="shared" si="21"/>
        <v>1</v>
      </c>
      <c r="AE5" s="4">
        <f t="shared" si="21"/>
        <v>1</v>
      </c>
      <c r="AF5" s="4">
        <f t="shared" si="21"/>
        <v>1</v>
      </c>
      <c r="AG5" s="4">
        <f t="shared" si="21"/>
        <v>0</v>
      </c>
      <c r="AH5" s="4">
        <f t="shared" si="21"/>
        <v>1</v>
      </c>
      <c r="AI5" s="1">
        <f t="shared" si="5"/>
        <v>4</v>
      </c>
      <c r="AL5" s="4">
        <f t="shared" ref="AL5:AS5" si="22">IF(ISNUMBER(SEARCH(AL$1,$AK5)), 1, 0)</f>
        <v>0</v>
      </c>
      <c r="AM5" s="4">
        <f t="shared" si="22"/>
        <v>0</v>
      </c>
      <c r="AN5" s="4">
        <f t="shared" si="22"/>
        <v>0</v>
      </c>
      <c r="AO5" s="4">
        <f t="shared" si="22"/>
        <v>0</v>
      </c>
      <c r="AP5" s="4">
        <f t="shared" si="22"/>
        <v>0</v>
      </c>
      <c r="AQ5" s="4">
        <f t="shared" si="22"/>
        <v>0</v>
      </c>
      <c r="AR5" s="4">
        <f t="shared" si="22"/>
        <v>0</v>
      </c>
      <c r="AS5" s="4">
        <f t="shared" si="22"/>
        <v>0</v>
      </c>
      <c r="AV5" s="1">
        <f t="shared" si="7"/>
        <v>0</v>
      </c>
      <c r="AW5" s="1">
        <f t="shared" si="8"/>
        <v>0</v>
      </c>
      <c r="AX5" s="1">
        <f t="shared" si="9"/>
        <v>0</v>
      </c>
      <c r="BB5" s="4">
        <f t="shared" ref="BB5:BJ5" si="23">IF(ISNUMBER(SEARCH(BB$1,$BA5)), 1, 0)</f>
        <v>0</v>
      </c>
      <c r="BC5" s="4">
        <f t="shared" si="23"/>
        <v>0</v>
      </c>
      <c r="BD5" s="4">
        <f t="shared" si="23"/>
        <v>0</v>
      </c>
      <c r="BE5" s="4">
        <f t="shared" si="23"/>
        <v>0</v>
      </c>
      <c r="BF5" s="4">
        <f t="shared" si="23"/>
        <v>0</v>
      </c>
      <c r="BG5" s="4">
        <f t="shared" si="23"/>
        <v>0</v>
      </c>
      <c r="BH5" s="4">
        <f t="shared" si="23"/>
        <v>0</v>
      </c>
      <c r="BI5" s="4">
        <f t="shared" si="23"/>
        <v>0</v>
      </c>
      <c r="BJ5" s="4">
        <f t="shared" si="23"/>
        <v>0</v>
      </c>
      <c r="BK5" s="4">
        <f t="shared" si="11"/>
        <v>0</v>
      </c>
      <c r="BO5" s="4">
        <f t="shared" ref="BO5:BU5" si="24">IF(ISNUMBER(SEARCH(BO$1,$BN5)), 1, 0)</f>
        <v>0</v>
      </c>
      <c r="BP5" s="4">
        <f t="shared" si="24"/>
        <v>0</v>
      </c>
      <c r="BQ5" s="4">
        <f t="shared" si="24"/>
        <v>0</v>
      </c>
      <c r="BR5" s="4">
        <f t="shared" si="24"/>
        <v>0</v>
      </c>
      <c r="BS5" s="4">
        <f t="shared" si="24"/>
        <v>0</v>
      </c>
      <c r="BT5" s="4">
        <f t="shared" si="24"/>
        <v>0</v>
      </c>
      <c r="BU5" s="4">
        <f t="shared" si="24"/>
        <v>0</v>
      </c>
      <c r="CB5" s="1" t="s">
        <v>48</v>
      </c>
      <c r="CC5" s="1" t="s">
        <v>48</v>
      </c>
      <c r="CD5" s="1" t="s">
        <v>444</v>
      </c>
      <c r="CF5" s="1" t="s">
        <v>387</v>
      </c>
      <c r="CG5" s="1" t="s">
        <v>388</v>
      </c>
      <c r="CH5" s="1" t="s">
        <v>445</v>
      </c>
      <c r="CJ5" s="1" t="s">
        <v>446</v>
      </c>
      <c r="CL5" s="1" t="s">
        <v>447</v>
      </c>
      <c r="CM5" s="1" t="s">
        <v>48</v>
      </c>
      <c r="CN5" s="1" t="s">
        <v>448</v>
      </c>
      <c r="CR5" s="1" t="s">
        <v>449</v>
      </c>
      <c r="CU5" s="1" t="s">
        <v>449</v>
      </c>
      <c r="CX5" s="1" t="s">
        <v>450</v>
      </c>
      <c r="CZ5" s="1" t="s">
        <v>451</v>
      </c>
      <c r="DC5" s="1" t="s">
        <v>238</v>
      </c>
    </row>
    <row r="6" spans="1:107" ht="15.75" customHeight="1" x14ac:dyDescent="0.25">
      <c r="A6" s="1" t="b">
        <v>1</v>
      </c>
      <c r="B6" s="3">
        <v>46158.708622685182</v>
      </c>
      <c r="C6" s="1" t="s">
        <v>390</v>
      </c>
      <c r="D6" s="1" t="s">
        <v>391</v>
      </c>
      <c r="E6" s="4">
        <f t="shared" ref="E6:K6" si="25">IF(ISNUMBER(SEARCH(E$1,$D6)), SEARCH(E$1,$D6), 0)</f>
        <v>1</v>
      </c>
      <c r="F6" s="4">
        <f t="shared" si="25"/>
        <v>30</v>
      </c>
      <c r="G6" s="4">
        <f t="shared" si="25"/>
        <v>105</v>
      </c>
      <c r="H6" s="4">
        <f t="shared" si="25"/>
        <v>161</v>
      </c>
      <c r="I6" s="4">
        <f t="shared" si="25"/>
        <v>199</v>
      </c>
      <c r="J6" s="4">
        <f t="shared" si="25"/>
        <v>231</v>
      </c>
      <c r="K6" s="4">
        <f t="shared" si="25"/>
        <v>268</v>
      </c>
      <c r="L6" s="4">
        <f t="shared" si="1"/>
        <v>268</v>
      </c>
      <c r="N6" s="1" t="s">
        <v>160</v>
      </c>
      <c r="O6" s="4">
        <f t="shared" ref="O6:T6" si="26">IF(ISNUMBER(SEARCH(O$1,$N6)), 1, 0)</f>
        <v>1</v>
      </c>
      <c r="P6" s="4">
        <f t="shared" si="26"/>
        <v>1</v>
      </c>
      <c r="Q6" s="4">
        <f t="shared" si="26"/>
        <v>1</v>
      </c>
      <c r="R6" s="4">
        <f t="shared" si="26"/>
        <v>1</v>
      </c>
      <c r="S6" s="4">
        <f t="shared" si="26"/>
        <v>1</v>
      </c>
      <c r="T6" s="4">
        <f t="shared" si="26"/>
        <v>1</v>
      </c>
      <c r="W6" s="1" t="str">
        <f t="shared" si="3"/>
        <v>False</v>
      </c>
      <c r="X6" s="1" t="str">
        <f t="shared" si="3"/>
        <v>False</v>
      </c>
      <c r="Y6" s="1" t="str">
        <f t="shared" si="3"/>
        <v>False</v>
      </c>
      <c r="Z6" s="1" t="str">
        <f t="shared" si="3"/>
        <v>False</v>
      </c>
      <c r="AA6" s="1" t="str">
        <f t="shared" si="3"/>
        <v>False</v>
      </c>
      <c r="AB6" s="1" t="s">
        <v>392</v>
      </c>
      <c r="AC6" s="4">
        <f t="shared" ref="AC6:AH6" si="27">IF(ISNUMBER(SEARCH(AC$1,$AB6)), 1, 0)</f>
        <v>0</v>
      </c>
      <c r="AD6" s="4">
        <f t="shared" si="27"/>
        <v>1</v>
      </c>
      <c r="AE6" s="4">
        <f t="shared" si="27"/>
        <v>1</v>
      </c>
      <c r="AF6" s="4">
        <f t="shared" si="27"/>
        <v>0</v>
      </c>
      <c r="AG6" s="4">
        <f t="shared" si="27"/>
        <v>0</v>
      </c>
      <c r="AH6" s="4">
        <f t="shared" si="27"/>
        <v>0</v>
      </c>
      <c r="AI6" s="1">
        <f t="shared" si="5"/>
        <v>2</v>
      </c>
      <c r="AL6" s="4">
        <f t="shared" ref="AL6:AS6" si="28">IF(ISNUMBER(SEARCH(AL$1,$AK6)), 1, 0)</f>
        <v>0</v>
      </c>
      <c r="AM6" s="4">
        <f t="shared" si="28"/>
        <v>0</v>
      </c>
      <c r="AN6" s="4">
        <f t="shared" si="28"/>
        <v>0</v>
      </c>
      <c r="AO6" s="4">
        <f t="shared" si="28"/>
        <v>0</v>
      </c>
      <c r="AP6" s="4">
        <f t="shared" si="28"/>
        <v>0</v>
      </c>
      <c r="AQ6" s="4">
        <f t="shared" si="28"/>
        <v>0</v>
      </c>
      <c r="AR6" s="4">
        <f t="shared" si="28"/>
        <v>0</v>
      </c>
      <c r="AS6" s="4">
        <f t="shared" si="28"/>
        <v>0</v>
      </c>
      <c r="AV6" s="1">
        <f t="shared" si="7"/>
        <v>0</v>
      </c>
      <c r="AW6" s="1">
        <f t="shared" si="8"/>
        <v>0</v>
      </c>
      <c r="AX6" s="1">
        <f t="shared" si="9"/>
        <v>0</v>
      </c>
      <c r="BB6" s="4">
        <f t="shared" ref="BB6:BJ6" si="29">IF(ISNUMBER(SEARCH(BB$1,$BA6)), 1, 0)</f>
        <v>0</v>
      </c>
      <c r="BC6" s="4">
        <f t="shared" si="29"/>
        <v>0</v>
      </c>
      <c r="BD6" s="4">
        <f t="shared" si="29"/>
        <v>0</v>
      </c>
      <c r="BE6" s="4">
        <f t="shared" si="29"/>
        <v>0</v>
      </c>
      <c r="BF6" s="4">
        <f t="shared" si="29"/>
        <v>0</v>
      </c>
      <c r="BG6" s="4">
        <f t="shared" si="29"/>
        <v>0</v>
      </c>
      <c r="BH6" s="4">
        <f t="shared" si="29"/>
        <v>0</v>
      </c>
      <c r="BI6" s="4">
        <f t="shared" si="29"/>
        <v>0</v>
      </c>
      <c r="BJ6" s="4">
        <f t="shared" si="29"/>
        <v>0</v>
      </c>
      <c r="BK6" s="4">
        <f t="shared" si="11"/>
        <v>0</v>
      </c>
      <c r="BO6" s="4">
        <f t="shared" ref="BO6:BU6" si="30">IF(ISNUMBER(SEARCH(BO$1,$BN6)), 1, 0)</f>
        <v>0</v>
      </c>
      <c r="BP6" s="4">
        <f t="shared" si="30"/>
        <v>0</v>
      </c>
      <c r="BQ6" s="4">
        <f t="shared" si="30"/>
        <v>0</v>
      </c>
      <c r="BR6" s="4">
        <f t="shared" si="30"/>
        <v>0</v>
      </c>
      <c r="BS6" s="4">
        <f t="shared" si="30"/>
        <v>0</v>
      </c>
      <c r="BT6" s="4">
        <f t="shared" si="30"/>
        <v>0</v>
      </c>
      <c r="BU6" s="4">
        <f t="shared" si="30"/>
        <v>0</v>
      </c>
      <c r="CB6" s="1" t="s">
        <v>48</v>
      </c>
      <c r="CC6" s="1" t="s">
        <v>48</v>
      </c>
    </row>
    <row r="7" spans="1:107" ht="15.75" customHeight="1" x14ac:dyDescent="0.25">
      <c r="A7" s="1" t="b">
        <v>1</v>
      </c>
      <c r="B7" s="3">
        <v>46164.742569444446</v>
      </c>
      <c r="C7" s="1" t="s">
        <v>543</v>
      </c>
      <c r="D7" s="1" t="s">
        <v>544</v>
      </c>
      <c r="E7" s="4">
        <f t="shared" ref="E7:K7" si="31">IF(ISNUMBER(SEARCH(E$1,$D7)), SEARCH(E$1,$D7), 0)</f>
        <v>1</v>
      </c>
      <c r="F7" s="4">
        <f t="shared" si="31"/>
        <v>30</v>
      </c>
      <c r="G7" s="4">
        <f t="shared" si="31"/>
        <v>0</v>
      </c>
      <c r="H7" s="4">
        <f t="shared" si="31"/>
        <v>0</v>
      </c>
      <c r="I7" s="4">
        <f t="shared" si="31"/>
        <v>105</v>
      </c>
      <c r="J7" s="4">
        <f t="shared" si="31"/>
        <v>0</v>
      </c>
      <c r="K7" s="4">
        <f t="shared" si="31"/>
        <v>137</v>
      </c>
      <c r="L7" s="4">
        <f t="shared" si="1"/>
        <v>137</v>
      </c>
      <c r="N7" s="1" t="s">
        <v>187</v>
      </c>
      <c r="O7" s="4">
        <f t="shared" ref="O7:T7" si="32">IF(ISNUMBER(SEARCH(O$1,$N7)), 1, 0)</f>
        <v>1</v>
      </c>
      <c r="P7" s="4">
        <f t="shared" si="32"/>
        <v>1</v>
      </c>
      <c r="Q7" s="4">
        <f t="shared" si="32"/>
        <v>1</v>
      </c>
      <c r="R7" s="4">
        <f t="shared" si="32"/>
        <v>1</v>
      </c>
      <c r="S7" s="4">
        <f t="shared" si="32"/>
        <v>1</v>
      </c>
      <c r="T7" s="4">
        <f t="shared" si="32"/>
        <v>1</v>
      </c>
      <c r="W7" s="1" t="str">
        <f t="shared" si="3"/>
        <v>False</v>
      </c>
      <c r="X7" s="1" t="str">
        <f t="shared" si="3"/>
        <v>False</v>
      </c>
      <c r="Y7" s="1" t="str">
        <f t="shared" si="3"/>
        <v>False</v>
      </c>
      <c r="Z7" s="1" t="str">
        <f t="shared" si="3"/>
        <v>False</v>
      </c>
      <c r="AA7" s="1" t="str">
        <f t="shared" si="3"/>
        <v>False</v>
      </c>
      <c r="AB7" s="1" t="s">
        <v>29</v>
      </c>
      <c r="AC7" s="4">
        <f t="shared" ref="AC7:AH7" si="33">IF(ISNUMBER(SEARCH(AC$1,$AB7)), 1, 0)</f>
        <v>0</v>
      </c>
      <c r="AD7" s="4">
        <f t="shared" si="33"/>
        <v>1</v>
      </c>
      <c r="AE7" s="4">
        <f t="shared" si="33"/>
        <v>0</v>
      </c>
      <c r="AF7" s="4">
        <f t="shared" si="33"/>
        <v>0</v>
      </c>
      <c r="AG7" s="4">
        <f t="shared" si="33"/>
        <v>0</v>
      </c>
      <c r="AH7" s="4">
        <f t="shared" si="33"/>
        <v>0</v>
      </c>
      <c r="AI7" s="1">
        <f t="shared" si="5"/>
        <v>1</v>
      </c>
      <c r="AK7" s="1" t="s">
        <v>506</v>
      </c>
      <c r="AL7" s="4">
        <f t="shared" ref="AL7:AS7" si="34">IF(ISNUMBER(SEARCH(AL$1,$AK7)), 1, 0)</f>
        <v>1</v>
      </c>
      <c r="AM7" s="4">
        <f t="shared" si="34"/>
        <v>1</v>
      </c>
      <c r="AN7" s="4">
        <f t="shared" si="34"/>
        <v>0</v>
      </c>
      <c r="AO7" s="4">
        <f t="shared" si="34"/>
        <v>0</v>
      </c>
      <c r="AP7" s="4">
        <f t="shared" si="34"/>
        <v>0</v>
      </c>
      <c r="AQ7" s="4">
        <f t="shared" si="34"/>
        <v>0</v>
      </c>
      <c r="AR7" s="4">
        <f t="shared" si="34"/>
        <v>0</v>
      </c>
      <c r="AS7" s="4">
        <f t="shared" si="34"/>
        <v>0</v>
      </c>
      <c r="AU7" s="1" t="s">
        <v>48</v>
      </c>
      <c r="AV7" s="1">
        <f t="shared" si="7"/>
        <v>0</v>
      </c>
      <c r="AW7" s="1">
        <f t="shared" si="8"/>
        <v>1</v>
      </c>
      <c r="AX7" s="1">
        <f t="shared" si="9"/>
        <v>0</v>
      </c>
      <c r="AY7" s="1" t="s">
        <v>48</v>
      </c>
      <c r="BA7" s="1" t="s">
        <v>545</v>
      </c>
      <c r="BB7" s="4">
        <f t="shared" ref="BB7:BJ7" si="35">IF(ISNUMBER(SEARCH(BB$1,$BA7)), 1, 0)</f>
        <v>1</v>
      </c>
      <c r="BC7" s="4">
        <f t="shared" si="35"/>
        <v>0</v>
      </c>
      <c r="BD7" s="4">
        <f t="shared" si="35"/>
        <v>1</v>
      </c>
      <c r="BE7" s="4">
        <f t="shared" si="35"/>
        <v>0</v>
      </c>
      <c r="BF7" s="4">
        <f t="shared" si="35"/>
        <v>1</v>
      </c>
      <c r="BG7" s="4">
        <f t="shared" si="35"/>
        <v>0</v>
      </c>
      <c r="BH7" s="4">
        <f t="shared" si="35"/>
        <v>0</v>
      </c>
      <c r="BI7" s="4">
        <f t="shared" si="35"/>
        <v>0</v>
      </c>
      <c r="BJ7" s="4">
        <f t="shared" si="35"/>
        <v>1</v>
      </c>
      <c r="BK7" s="4">
        <f t="shared" si="11"/>
        <v>4</v>
      </c>
      <c r="BM7" s="1" t="s">
        <v>232</v>
      </c>
      <c r="BN7" s="1" t="s">
        <v>546</v>
      </c>
      <c r="BO7" s="4">
        <f t="shared" ref="BO7:BU7" si="36">IF(ISNUMBER(SEARCH(BO$1,$BN7)), 1, 0)</f>
        <v>0</v>
      </c>
      <c r="BP7" s="4">
        <f t="shared" si="36"/>
        <v>0</v>
      </c>
      <c r="BQ7" s="4">
        <f t="shared" si="36"/>
        <v>0</v>
      </c>
      <c r="BR7" s="4">
        <f t="shared" si="36"/>
        <v>0</v>
      </c>
      <c r="BS7" s="4">
        <f t="shared" si="36"/>
        <v>1</v>
      </c>
      <c r="BT7" s="4">
        <f t="shared" si="36"/>
        <v>0</v>
      </c>
      <c r="BU7" s="4">
        <f t="shared" si="36"/>
        <v>1</v>
      </c>
      <c r="BW7" s="1" t="s">
        <v>547</v>
      </c>
      <c r="BZ7" s="1" t="s">
        <v>548</v>
      </c>
      <c r="CH7" s="1" t="s">
        <v>520</v>
      </c>
      <c r="CJ7" s="1" t="s">
        <v>549</v>
      </c>
      <c r="CL7" s="1" t="s">
        <v>177</v>
      </c>
      <c r="CM7" s="1" t="s">
        <v>49</v>
      </c>
      <c r="CX7" s="1" t="s">
        <v>550</v>
      </c>
      <c r="CZ7" s="1" t="s">
        <v>178</v>
      </c>
      <c r="DC7" s="1" t="s">
        <v>180</v>
      </c>
    </row>
    <row r="8" spans="1:107" ht="15.75" customHeight="1" x14ac:dyDescent="0.25">
      <c r="A8" s="1" t="b">
        <v>0</v>
      </c>
      <c r="B8" s="3">
        <v>46155.403379629628</v>
      </c>
      <c r="C8" s="1" t="s">
        <v>363</v>
      </c>
      <c r="D8" s="1" t="s">
        <v>364</v>
      </c>
      <c r="E8" s="4">
        <f t="shared" ref="E8:K8" si="37">IF(ISNUMBER(SEARCH(E$1,$D8)), SEARCH(E$1,$D8), 0)</f>
        <v>0</v>
      </c>
      <c r="F8" s="4">
        <f t="shared" si="37"/>
        <v>1</v>
      </c>
      <c r="G8" s="4">
        <f t="shared" si="37"/>
        <v>76</v>
      </c>
      <c r="H8" s="4">
        <f t="shared" si="37"/>
        <v>0</v>
      </c>
      <c r="I8" s="4">
        <f t="shared" si="37"/>
        <v>0</v>
      </c>
      <c r="J8" s="4">
        <f t="shared" si="37"/>
        <v>0</v>
      </c>
      <c r="K8" s="4">
        <f t="shared" si="37"/>
        <v>132</v>
      </c>
      <c r="L8" s="4">
        <f t="shared" si="1"/>
        <v>132</v>
      </c>
      <c r="N8" s="1" t="s">
        <v>187</v>
      </c>
      <c r="O8" s="4">
        <f t="shared" ref="O8:T8" si="38">IF(ISNUMBER(SEARCH(O$1,$N8)), 1, 0)</f>
        <v>1</v>
      </c>
      <c r="P8" s="4">
        <f t="shared" si="38"/>
        <v>1</v>
      </c>
      <c r="Q8" s="4">
        <f t="shared" si="38"/>
        <v>1</v>
      </c>
      <c r="R8" s="4">
        <f t="shared" si="38"/>
        <v>1</v>
      </c>
      <c r="S8" s="4">
        <f t="shared" si="38"/>
        <v>1</v>
      </c>
      <c r="T8" s="4">
        <f t="shared" si="38"/>
        <v>1</v>
      </c>
      <c r="W8" s="1" t="str">
        <f t="shared" si="3"/>
        <v>False</v>
      </c>
      <c r="X8" s="1" t="str">
        <f t="shared" si="3"/>
        <v>False</v>
      </c>
      <c r="Y8" s="1" t="str">
        <f t="shared" si="3"/>
        <v>False</v>
      </c>
      <c r="Z8" s="1" t="str">
        <f t="shared" si="3"/>
        <v>False</v>
      </c>
      <c r="AA8" s="1" t="str">
        <f t="shared" si="3"/>
        <v>False</v>
      </c>
      <c r="AB8" s="1" t="s">
        <v>31</v>
      </c>
      <c r="AC8" s="4">
        <f t="shared" ref="AC8:AH8" si="39">IF(ISNUMBER(SEARCH(AC$1,$AB8)), 1, 0)</f>
        <v>0</v>
      </c>
      <c r="AD8" s="4">
        <f t="shared" si="39"/>
        <v>0</v>
      </c>
      <c r="AE8" s="4">
        <f t="shared" si="39"/>
        <v>0</v>
      </c>
      <c r="AF8" s="4">
        <f t="shared" si="39"/>
        <v>1</v>
      </c>
      <c r="AG8" s="4">
        <f t="shared" si="39"/>
        <v>0</v>
      </c>
      <c r="AH8" s="4">
        <f t="shared" si="39"/>
        <v>0</v>
      </c>
      <c r="AI8" s="1">
        <f t="shared" si="5"/>
        <v>1</v>
      </c>
      <c r="AK8" s="1" t="s">
        <v>365</v>
      </c>
      <c r="AL8" s="4">
        <f t="shared" ref="AL8:AS8" si="40">IF(ISNUMBER(SEARCH(AL$1,$AK8)), 1, 0)</f>
        <v>1</v>
      </c>
      <c r="AM8" s="4">
        <f t="shared" si="40"/>
        <v>1</v>
      </c>
      <c r="AN8" s="4">
        <f t="shared" si="40"/>
        <v>1</v>
      </c>
      <c r="AO8" s="4">
        <f t="shared" si="40"/>
        <v>1</v>
      </c>
      <c r="AP8" s="4">
        <f t="shared" si="40"/>
        <v>1</v>
      </c>
      <c r="AQ8" s="4">
        <f t="shared" si="40"/>
        <v>1</v>
      </c>
      <c r="AR8" s="4">
        <f t="shared" si="40"/>
        <v>1</v>
      </c>
      <c r="AS8" s="4">
        <f t="shared" si="40"/>
        <v>1</v>
      </c>
      <c r="AU8" s="1" t="s">
        <v>47</v>
      </c>
      <c r="AV8" s="1">
        <f t="shared" si="7"/>
        <v>1</v>
      </c>
      <c r="AW8" s="1">
        <f t="shared" si="8"/>
        <v>0</v>
      </c>
      <c r="AX8" s="1">
        <f t="shared" si="9"/>
        <v>0</v>
      </c>
      <c r="AY8" s="1" t="s">
        <v>47</v>
      </c>
      <c r="AZ8" s="1" t="s">
        <v>48</v>
      </c>
      <c r="BA8" s="1" t="s">
        <v>165</v>
      </c>
      <c r="BB8" s="4">
        <f t="shared" ref="BB8:BJ8" si="41">IF(ISNUMBER(SEARCH(BB$1,$BA8)), 1, 0)</f>
        <v>1</v>
      </c>
      <c r="BC8" s="4">
        <f t="shared" si="41"/>
        <v>1</v>
      </c>
      <c r="BD8" s="4">
        <f t="shared" si="41"/>
        <v>1</v>
      </c>
      <c r="BE8" s="4">
        <f t="shared" si="41"/>
        <v>1</v>
      </c>
      <c r="BF8" s="4">
        <f t="shared" si="41"/>
        <v>1</v>
      </c>
      <c r="BG8" s="4">
        <f t="shared" si="41"/>
        <v>1</v>
      </c>
      <c r="BH8" s="4">
        <f t="shared" si="41"/>
        <v>1</v>
      </c>
      <c r="BI8" s="4">
        <f t="shared" si="41"/>
        <v>1</v>
      </c>
      <c r="BJ8" s="4">
        <f t="shared" si="41"/>
        <v>1</v>
      </c>
      <c r="BK8" s="4">
        <f t="shared" si="11"/>
        <v>9</v>
      </c>
      <c r="BO8" s="4">
        <f t="shared" ref="BO8:BU8" si="42">IF(ISNUMBER(SEARCH(BO$1,$BN8)), 1, 0)</f>
        <v>0</v>
      </c>
      <c r="BP8" s="4">
        <f t="shared" si="42"/>
        <v>0</v>
      </c>
      <c r="BQ8" s="4">
        <f t="shared" si="42"/>
        <v>0</v>
      </c>
      <c r="BR8" s="4">
        <f t="shared" si="42"/>
        <v>0</v>
      </c>
      <c r="BS8" s="4">
        <f t="shared" si="42"/>
        <v>0</v>
      </c>
      <c r="BT8" s="4">
        <f t="shared" si="42"/>
        <v>0</v>
      </c>
      <c r="BU8" s="4">
        <f t="shared" si="42"/>
        <v>0</v>
      </c>
    </row>
    <row r="9" spans="1:107" ht="15.75" customHeight="1" x14ac:dyDescent="0.25">
      <c r="A9" s="1" t="b">
        <v>1</v>
      </c>
      <c r="B9" s="3">
        <v>46150.640046296299</v>
      </c>
      <c r="C9" s="1" t="s">
        <v>191</v>
      </c>
      <c r="D9" s="1" t="s">
        <v>192</v>
      </c>
      <c r="E9" s="4">
        <f t="shared" ref="E9:K9" si="43">IF(ISNUMBER(SEARCH(E$1,$D9)), SEARCH(E$1,$D9), 0)</f>
        <v>1</v>
      </c>
      <c r="F9" s="4">
        <f t="shared" si="43"/>
        <v>30</v>
      </c>
      <c r="G9" s="4">
        <f t="shared" si="43"/>
        <v>0</v>
      </c>
      <c r="H9" s="4">
        <f t="shared" si="43"/>
        <v>0</v>
      </c>
      <c r="I9" s="4">
        <f t="shared" si="43"/>
        <v>0</v>
      </c>
      <c r="J9" s="4">
        <f t="shared" si="43"/>
        <v>0</v>
      </c>
      <c r="K9" s="4">
        <f t="shared" si="43"/>
        <v>105</v>
      </c>
      <c r="L9" s="4">
        <f t="shared" si="1"/>
        <v>105</v>
      </c>
      <c r="N9" s="1" t="s">
        <v>193</v>
      </c>
      <c r="O9" s="4">
        <f t="shared" ref="O9:T9" si="44">IF(ISNUMBER(SEARCH(O$1,$N9)), 1, 0)</f>
        <v>1</v>
      </c>
      <c r="P9" s="4">
        <f t="shared" si="44"/>
        <v>1</v>
      </c>
      <c r="Q9" s="4">
        <f t="shared" si="44"/>
        <v>1</v>
      </c>
      <c r="R9" s="4">
        <f t="shared" si="44"/>
        <v>0</v>
      </c>
      <c r="S9" s="4">
        <f t="shared" si="44"/>
        <v>0</v>
      </c>
      <c r="T9" s="4">
        <f t="shared" si="44"/>
        <v>0</v>
      </c>
      <c r="U9" s="1" t="s">
        <v>194</v>
      </c>
      <c r="W9" s="1" t="str">
        <f t="shared" si="3"/>
        <v>False</v>
      </c>
      <c r="X9" s="1" t="str">
        <f t="shared" si="3"/>
        <v>False</v>
      </c>
      <c r="Y9" s="1" t="str">
        <f t="shared" si="3"/>
        <v>False</v>
      </c>
      <c r="Z9" s="1" t="str">
        <f t="shared" si="3"/>
        <v>False</v>
      </c>
      <c r="AA9" s="1" t="str">
        <f t="shared" si="3"/>
        <v>False</v>
      </c>
      <c r="AB9" s="1" t="s">
        <v>183</v>
      </c>
      <c r="AC9" s="4">
        <f t="shared" ref="AC9:AH9" si="45">IF(ISNUMBER(SEARCH(AC$1,$AB9)), 1, 0)</f>
        <v>0</v>
      </c>
      <c r="AD9" s="4">
        <f t="shared" si="45"/>
        <v>0</v>
      </c>
      <c r="AE9" s="4">
        <f t="shared" si="45"/>
        <v>0</v>
      </c>
      <c r="AF9" s="4">
        <f t="shared" si="45"/>
        <v>0</v>
      </c>
      <c r="AG9" s="4">
        <f t="shared" si="45"/>
        <v>0</v>
      </c>
      <c r="AH9" s="4">
        <f t="shared" si="45"/>
        <v>0</v>
      </c>
      <c r="AI9" s="1">
        <f t="shared" si="5"/>
        <v>0</v>
      </c>
      <c r="AJ9" s="1" t="s">
        <v>195</v>
      </c>
      <c r="AK9" s="1" t="s">
        <v>196</v>
      </c>
      <c r="AL9" s="4">
        <f t="shared" ref="AL9:AS9" si="46">IF(ISNUMBER(SEARCH(AL$1,$AK9)), 1, 0)</f>
        <v>0</v>
      </c>
      <c r="AM9" s="4">
        <f t="shared" si="46"/>
        <v>0</v>
      </c>
      <c r="AN9" s="4">
        <f t="shared" si="46"/>
        <v>0</v>
      </c>
      <c r="AO9" s="4">
        <f t="shared" si="46"/>
        <v>0</v>
      </c>
      <c r="AP9" s="4">
        <f t="shared" si="46"/>
        <v>0</v>
      </c>
      <c r="AQ9" s="4">
        <f t="shared" si="46"/>
        <v>1</v>
      </c>
      <c r="AR9" s="4">
        <f t="shared" si="46"/>
        <v>1</v>
      </c>
      <c r="AS9" s="4">
        <f t="shared" si="46"/>
        <v>1</v>
      </c>
      <c r="AU9" s="1" t="s">
        <v>49</v>
      </c>
      <c r="AV9" s="1">
        <f t="shared" si="7"/>
        <v>0</v>
      </c>
      <c r="AW9" s="1">
        <f t="shared" si="8"/>
        <v>0</v>
      </c>
      <c r="AX9" s="1">
        <f t="shared" si="9"/>
        <v>1</v>
      </c>
      <c r="AY9" s="1" t="s">
        <v>48</v>
      </c>
      <c r="BA9" s="1" t="s">
        <v>197</v>
      </c>
      <c r="BB9" s="4">
        <f t="shared" ref="BB9:BJ9" si="47">IF(ISNUMBER(SEARCH(BB$1,$BA9)), 1, 0)</f>
        <v>0</v>
      </c>
      <c r="BC9" s="4">
        <f t="shared" si="47"/>
        <v>0</v>
      </c>
      <c r="BD9" s="4">
        <f t="shared" si="47"/>
        <v>1</v>
      </c>
      <c r="BE9" s="4">
        <f t="shared" si="47"/>
        <v>1</v>
      </c>
      <c r="BF9" s="4">
        <f t="shared" si="47"/>
        <v>1</v>
      </c>
      <c r="BG9" s="4">
        <f t="shared" si="47"/>
        <v>0</v>
      </c>
      <c r="BH9" s="4">
        <f t="shared" si="47"/>
        <v>0</v>
      </c>
      <c r="BI9" s="4">
        <f t="shared" si="47"/>
        <v>0</v>
      </c>
      <c r="BJ9" s="4">
        <f t="shared" si="47"/>
        <v>1</v>
      </c>
      <c r="BK9" s="4">
        <f t="shared" si="11"/>
        <v>4</v>
      </c>
      <c r="BM9" s="1" t="s">
        <v>166</v>
      </c>
      <c r="BN9" s="1" t="s">
        <v>198</v>
      </c>
      <c r="BO9" s="4">
        <f t="shared" ref="BO9:BU9" si="48">IF(ISNUMBER(SEARCH(BO$1,$BN9)), 1, 0)</f>
        <v>1</v>
      </c>
      <c r="BP9" s="4">
        <f t="shared" si="48"/>
        <v>1</v>
      </c>
      <c r="BQ9" s="4">
        <f t="shared" si="48"/>
        <v>0</v>
      </c>
      <c r="BR9" s="4">
        <f t="shared" si="48"/>
        <v>1</v>
      </c>
      <c r="BS9" s="4">
        <f t="shared" si="48"/>
        <v>0</v>
      </c>
      <c r="BT9" s="4">
        <f t="shared" si="48"/>
        <v>0</v>
      </c>
      <c r="BU9" s="4">
        <f t="shared" si="48"/>
        <v>1</v>
      </c>
      <c r="BV9" s="1" t="s">
        <v>199</v>
      </c>
      <c r="CM9" s="1" t="s">
        <v>48</v>
      </c>
      <c r="CN9" s="1" t="s">
        <v>200</v>
      </c>
      <c r="CO9" s="1" t="s">
        <v>201</v>
      </c>
      <c r="CX9" s="1" t="s">
        <v>202</v>
      </c>
      <c r="CY9" s="1" t="s">
        <v>195</v>
      </c>
      <c r="CZ9" s="1" t="s">
        <v>203</v>
      </c>
      <c r="DA9" s="1" t="s">
        <v>204</v>
      </c>
      <c r="DB9" s="1" t="s">
        <v>205</v>
      </c>
      <c r="DC9" s="1" t="s">
        <v>180</v>
      </c>
    </row>
    <row r="10" spans="1:107" ht="15.75" customHeight="1" x14ac:dyDescent="0.25">
      <c r="A10" s="1" t="b">
        <v>1</v>
      </c>
      <c r="B10" s="3">
        <v>46164.703969907408</v>
      </c>
      <c r="C10" s="1" t="s">
        <v>528</v>
      </c>
      <c r="D10" s="1" t="s">
        <v>192</v>
      </c>
      <c r="E10" s="4">
        <f t="shared" ref="E10:K10" si="49">IF(ISNUMBER(SEARCH(E$1,$D10)), SEARCH(E$1,$D10), 0)</f>
        <v>1</v>
      </c>
      <c r="F10" s="4">
        <f t="shared" si="49"/>
        <v>30</v>
      </c>
      <c r="G10" s="4">
        <f t="shared" si="49"/>
        <v>0</v>
      </c>
      <c r="H10" s="4">
        <f t="shared" si="49"/>
        <v>0</v>
      </c>
      <c r="I10" s="4">
        <f t="shared" si="49"/>
        <v>0</v>
      </c>
      <c r="J10" s="4">
        <f t="shared" si="49"/>
        <v>0</v>
      </c>
      <c r="K10" s="4">
        <f t="shared" si="49"/>
        <v>105</v>
      </c>
      <c r="L10" s="4">
        <f t="shared" si="1"/>
        <v>105</v>
      </c>
      <c r="N10" s="1" t="s">
        <v>187</v>
      </c>
      <c r="O10" s="4">
        <f t="shared" ref="O10:T10" si="50">IF(ISNUMBER(SEARCH(O$1,$N10)), 1, 0)</f>
        <v>1</v>
      </c>
      <c r="P10" s="4">
        <f t="shared" si="50"/>
        <v>1</v>
      </c>
      <c r="Q10" s="4">
        <f t="shared" si="50"/>
        <v>1</v>
      </c>
      <c r="R10" s="4">
        <f t="shared" si="50"/>
        <v>1</v>
      </c>
      <c r="S10" s="4">
        <f t="shared" si="50"/>
        <v>1</v>
      </c>
      <c r="T10" s="4">
        <f t="shared" si="50"/>
        <v>1</v>
      </c>
      <c r="V10" s="1" t="s">
        <v>26</v>
      </c>
      <c r="W10" s="1" t="str">
        <f t="shared" si="3"/>
        <v>False</v>
      </c>
      <c r="X10" s="1" t="str">
        <f t="shared" si="3"/>
        <v>False</v>
      </c>
      <c r="Y10" s="1" t="str">
        <f t="shared" si="3"/>
        <v>False</v>
      </c>
      <c r="Z10" s="1" t="str">
        <f t="shared" si="3"/>
        <v>False</v>
      </c>
      <c r="AA10" s="1" t="str">
        <f t="shared" si="3"/>
        <v>True</v>
      </c>
      <c r="AB10" s="1" t="s">
        <v>529</v>
      </c>
      <c r="AC10" s="4">
        <f t="shared" ref="AC10:AH10" si="51">IF(ISNUMBER(SEARCH(AC$1,$AB10)), 1, 0)</f>
        <v>1</v>
      </c>
      <c r="AD10" s="4">
        <f t="shared" si="51"/>
        <v>1</v>
      </c>
      <c r="AE10" s="4">
        <f t="shared" si="51"/>
        <v>0</v>
      </c>
      <c r="AF10" s="4">
        <f t="shared" si="51"/>
        <v>0</v>
      </c>
      <c r="AG10" s="4">
        <f t="shared" si="51"/>
        <v>1</v>
      </c>
      <c r="AH10" s="4">
        <f t="shared" si="51"/>
        <v>1</v>
      </c>
      <c r="AI10" s="1">
        <f t="shared" si="5"/>
        <v>4</v>
      </c>
      <c r="AK10" s="1" t="s">
        <v>492</v>
      </c>
      <c r="AL10" s="4">
        <f t="shared" ref="AL10:AS10" si="52">IF(ISNUMBER(SEARCH(AL$1,$AK10)), 1, 0)</f>
        <v>1</v>
      </c>
      <c r="AM10" s="4">
        <f t="shared" si="52"/>
        <v>1</v>
      </c>
      <c r="AN10" s="4">
        <f t="shared" si="52"/>
        <v>1</v>
      </c>
      <c r="AO10" s="4">
        <f t="shared" si="52"/>
        <v>1</v>
      </c>
      <c r="AP10" s="4">
        <f t="shared" si="52"/>
        <v>1</v>
      </c>
      <c r="AQ10" s="4">
        <f t="shared" si="52"/>
        <v>1</v>
      </c>
      <c r="AR10" s="4">
        <f t="shared" si="52"/>
        <v>1</v>
      </c>
      <c r="AS10" s="4">
        <f t="shared" si="52"/>
        <v>0</v>
      </c>
      <c r="AU10" s="1" t="s">
        <v>48</v>
      </c>
      <c r="AV10" s="1">
        <f t="shared" si="7"/>
        <v>0</v>
      </c>
      <c r="AW10" s="1">
        <f t="shared" si="8"/>
        <v>1</v>
      </c>
      <c r="AX10" s="1">
        <f t="shared" si="9"/>
        <v>0</v>
      </c>
      <c r="AY10" s="1" t="s">
        <v>48</v>
      </c>
      <c r="BA10" s="1" t="s">
        <v>530</v>
      </c>
      <c r="BB10" s="4">
        <f t="shared" ref="BB10:BJ10" si="53">IF(ISNUMBER(SEARCH(BB$1,$BA10)), 1, 0)</f>
        <v>1</v>
      </c>
      <c r="BC10" s="4">
        <f t="shared" si="53"/>
        <v>1</v>
      </c>
      <c r="BD10" s="4">
        <f t="shared" si="53"/>
        <v>1</v>
      </c>
      <c r="BE10" s="4">
        <f t="shared" si="53"/>
        <v>1</v>
      </c>
      <c r="BF10" s="4">
        <f t="shared" si="53"/>
        <v>1</v>
      </c>
      <c r="BG10" s="4">
        <f t="shared" si="53"/>
        <v>1</v>
      </c>
      <c r="BH10" s="4">
        <f t="shared" si="53"/>
        <v>0</v>
      </c>
      <c r="BI10" s="4">
        <f t="shared" si="53"/>
        <v>1</v>
      </c>
      <c r="BJ10" s="4">
        <f t="shared" si="53"/>
        <v>1</v>
      </c>
      <c r="BK10" s="4">
        <f t="shared" si="11"/>
        <v>8</v>
      </c>
      <c r="BM10" s="1" t="s">
        <v>232</v>
      </c>
      <c r="BN10" s="1" t="s">
        <v>531</v>
      </c>
      <c r="BO10" s="4">
        <f t="shared" ref="BO10:BU10" si="54">IF(ISNUMBER(SEARCH(BO$1,$BN10)), 1, 0)</f>
        <v>1</v>
      </c>
      <c r="BP10" s="4">
        <f t="shared" si="54"/>
        <v>0</v>
      </c>
      <c r="BQ10" s="4">
        <f t="shared" si="54"/>
        <v>0</v>
      </c>
      <c r="BR10" s="4">
        <f t="shared" si="54"/>
        <v>1</v>
      </c>
      <c r="BS10" s="4">
        <f t="shared" si="54"/>
        <v>1</v>
      </c>
      <c r="BT10" s="4">
        <f t="shared" si="54"/>
        <v>1</v>
      </c>
      <c r="BU10" s="4">
        <f t="shared" si="54"/>
        <v>0</v>
      </c>
      <c r="BW10" s="1" t="s">
        <v>532</v>
      </c>
      <c r="BZ10" s="1" t="s">
        <v>533</v>
      </c>
      <c r="CM10" s="1" t="s">
        <v>47</v>
      </c>
      <c r="CQ10" s="1" t="s">
        <v>48</v>
      </c>
      <c r="CX10" s="1" t="s">
        <v>534</v>
      </c>
      <c r="CZ10" s="1" t="s">
        <v>214</v>
      </c>
      <c r="DC10" s="1" t="s">
        <v>180</v>
      </c>
    </row>
    <row r="11" spans="1:107" ht="15.75" customHeight="1" x14ac:dyDescent="0.25">
      <c r="A11" s="1" t="b">
        <v>0</v>
      </c>
      <c r="B11" s="3">
        <v>46157.592962962961</v>
      </c>
      <c r="C11" s="1" t="s">
        <v>379</v>
      </c>
      <c r="D11" s="1" t="s">
        <v>192</v>
      </c>
      <c r="E11" s="4">
        <f t="shared" ref="E11:K11" si="55">IF(ISNUMBER(SEARCH(E$1,$D11)), SEARCH(E$1,$D11), 0)</f>
        <v>1</v>
      </c>
      <c r="F11" s="4">
        <f t="shared" si="55"/>
        <v>30</v>
      </c>
      <c r="G11" s="4">
        <f t="shared" si="55"/>
        <v>0</v>
      </c>
      <c r="H11" s="4">
        <f t="shared" si="55"/>
        <v>0</v>
      </c>
      <c r="I11" s="4">
        <f t="shared" si="55"/>
        <v>0</v>
      </c>
      <c r="J11" s="4">
        <f t="shared" si="55"/>
        <v>0</v>
      </c>
      <c r="K11" s="4">
        <f t="shared" si="55"/>
        <v>105</v>
      </c>
      <c r="L11" s="4">
        <f t="shared" si="1"/>
        <v>105</v>
      </c>
      <c r="N11" s="1" t="s">
        <v>187</v>
      </c>
      <c r="O11" s="4">
        <f t="shared" ref="O11:T11" si="56">IF(ISNUMBER(SEARCH(O$1,$N11)), 1, 0)</f>
        <v>1</v>
      </c>
      <c r="P11" s="4">
        <f t="shared" si="56"/>
        <v>1</v>
      </c>
      <c r="Q11" s="4">
        <f t="shared" si="56"/>
        <v>1</v>
      </c>
      <c r="R11" s="4">
        <f t="shared" si="56"/>
        <v>1</v>
      </c>
      <c r="S11" s="4">
        <f t="shared" si="56"/>
        <v>1</v>
      </c>
      <c r="T11" s="4">
        <f t="shared" si="56"/>
        <v>1</v>
      </c>
      <c r="V11" s="1" t="s">
        <v>26</v>
      </c>
      <c r="W11" s="1" t="str">
        <f t="shared" si="3"/>
        <v>False</v>
      </c>
      <c r="X11" s="1" t="str">
        <f t="shared" si="3"/>
        <v>False</v>
      </c>
      <c r="Y11" s="1" t="str">
        <f t="shared" si="3"/>
        <v>False</v>
      </c>
      <c r="Z11" s="1" t="str">
        <f t="shared" si="3"/>
        <v>False</v>
      </c>
      <c r="AA11" s="1" t="str">
        <f t="shared" si="3"/>
        <v>True</v>
      </c>
      <c r="AB11" s="1" t="s">
        <v>380</v>
      </c>
      <c r="AC11" s="4">
        <f t="shared" ref="AC11:AH11" si="57">IF(ISNUMBER(SEARCH(AC$1,$AB11)), 1, 0)</f>
        <v>1</v>
      </c>
      <c r="AD11" s="4">
        <f t="shared" si="57"/>
        <v>0</v>
      </c>
      <c r="AE11" s="4">
        <f t="shared" si="57"/>
        <v>1</v>
      </c>
      <c r="AF11" s="4">
        <f t="shared" si="57"/>
        <v>1</v>
      </c>
      <c r="AG11" s="4">
        <f t="shared" si="57"/>
        <v>0</v>
      </c>
      <c r="AH11" s="4">
        <f t="shared" si="57"/>
        <v>0</v>
      </c>
      <c r="AI11" s="1">
        <f t="shared" si="5"/>
        <v>3</v>
      </c>
      <c r="AK11" s="1" t="s">
        <v>381</v>
      </c>
      <c r="AL11" s="4">
        <f t="shared" ref="AL11:AS11" si="58">IF(ISNUMBER(SEARCH(AL$1,$AK11)), 1, 0)</f>
        <v>1</v>
      </c>
      <c r="AM11" s="4">
        <f t="shared" si="58"/>
        <v>1</v>
      </c>
      <c r="AN11" s="4">
        <f t="shared" si="58"/>
        <v>1</v>
      </c>
      <c r="AO11" s="4">
        <f t="shared" si="58"/>
        <v>1</v>
      </c>
      <c r="AP11" s="4">
        <f t="shared" si="58"/>
        <v>1</v>
      </c>
      <c r="AQ11" s="4">
        <f t="shared" si="58"/>
        <v>1</v>
      </c>
      <c r="AR11" s="4">
        <f t="shared" si="58"/>
        <v>0</v>
      </c>
      <c r="AS11" s="4">
        <f t="shared" si="58"/>
        <v>0</v>
      </c>
      <c r="AU11" s="1" t="s">
        <v>47</v>
      </c>
      <c r="AV11" s="1">
        <f t="shared" si="7"/>
        <v>1</v>
      </c>
      <c r="AW11" s="1">
        <f t="shared" si="8"/>
        <v>0</v>
      </c>
      <c r="AX11" s="1">
        <f t="shared" si="9"/>
        <v>0</v>
      </c>
      <c r="AY11" s="1" t="s">
        <v>48</v>
      </c>
      <c r="BA11" s="1" t="s">
        <v>358</v>
      </c>
      <c r="BB11" s="4">
        <f t="shared" ref="BB11:BJ11" si="59">IF(ISNUMBER(SEARCH(BB$1,$BA11)), 1, 0)</f>
        <v>1</v>
      </c>
      <c r="BC11" s="4">
        <f t="shared" si="59"/>
        <v>1</v>
      </c>
      <c r="BD11" s="4">
        <f t="shared" si="59"/>
        <v>1</v>
      </c>
      <c r="BE11" s="4">
        <f t="shared" si="59"/>
        <v>1</v>
      </c>
      <c r="BF11" s="4">
        <f t="shared" si="59"/>
        <v>1</v>
      </c>
      <c r="BG11" s="4">
        <f t="shared" si="59"/>
        <v>0</v>
      </c>
      <c r="BH11" s="4">
        <f t="shared" si="59"/>
        <v>0</v>
      </c>
      <c r="BI11" s="4">
        <f t="shared" si="59"/>
        <v>1</v>
      </c>
      <c r="BJ11" s="4">
        <f t="shared" si="59"/>
        <v>1</v>
      </c>
      <c r="BK11" s="4">
        <f t="shared" si="11"/>
        <v>7</v>
      </c>
      <c r="BM11" s="1" t="s">
        <v>232</v>
      </c>
      <c r="BN11" s="1" t="s">
        <v>382</v>
      </c>
      <c r="BO11" s="4">
        <f t="shared" ref="BO11:BU11" si="60">IF(ISNUMBER(SEARCH(BO$1,$BN11)), 1, 0)</f>
        <v>1</v>
      </c>
      <c r="BP11" s="4">
        <f t="shared" si="60"/>
        <v>1</v>
      </c>
      <c r="BQ11" s="4">
        <f t="shared" si="60"/>
        <v>1</v>
      </c>
      <c r="BR11" s="4">
        <f t="shared" si="60"/>
        <v>1</v>
      </c>
      <c r="BS11" s="4">
        <f t="shared" si="60"/>
        <v>1</v>
      </c>
      <c r="BT11" s="4">
        <f t="shared" si="60"/>
        <v>1</v>
      </c>
      <c r="BU11" s="4">
        <f t="shared" si="60"/>
        <v>0</v>
      </c>
    </row>
    <row r="12" spans="1:107" ht="15.75" customHeight="1" x14ac:dyDescent="0.25">
      <c r="A12" s="1" t="b">
        <v>1</v>
      </c>
      <c r="B12" s="3">
        <v>46164.020451388889</v>
      </c>
      <c r="C12" s="1" t="s">
        <v>464</v>
      </c>
      <c r="D12" s="1" t="s">
        <v>192</v>
      </c>
      <c r="E12" s="4">
        <f t="shared" ref="E12:K12" si="61">IF(ISNUMBER(SEARCH(E$1,$D12)), SEARCH(E$1,$D12), 0)</f>
        <v>1</v>
      </c>
      <c r="F12" s="4">
        <f t="shared" si="61"/>
        <v>30</v>
      </c>
      <c r="G12" s="4">
        <f t="shared" si="61"/>
        <v>0</v>
      </c>
      <c r="H12" s="4">
        <f t="shared" si="61"/>
        <v>0</v>
      </c>
      <c r="I12" s="4">
        <f t="shared" si="61"/>
        <v>0</v>
      </c>
      <c r="J12" s="4">
        <f t="shared" si="61"/>
        <v>0</v>
      </c>
      <c r="K12" s="4">
        <f t="shared" si="61"/>
        <v>105</v>
      </c>
      <c r="L12" s="4">
        <f t="shared" si="1"/>
        <v>105</v>
      </c>
      <c r="N12" s="1" t="s">
        <v>294</v>
      </c>
      <c r="O12" s="4">
        <f t="shared" ref="O12:T12" si="62">IF(ISNUMBER(SEARCH(O$1,$N12)), 1, 0)</f>
        <v>1</v>
      </c>
      <c r="P12" s="4">
        <f t="shared" si="62"/>
        <v>1</v>
      </c>
      <c r="Q12" s="4">
        <f t="shared" si="62"/>
        <v>0</v>
      </c>
      <c r="R12" s="4">
        <f t="shared" si="62"/>
        <v>0</v>
      </c>
      <c r="S12" s="4">
        <f t="shared" si="62"/>
        <v>0</v>
      </c>
      <c r="T12" s="4">
        <f t="shared" si="62"/>
        <v>0</v>
      </c>
      <c r="V12" s="1" t="s">
        <v>26</v>
      </c>
      <c r="W12" s="1" t="str">
        <f t="shared" si="3"/>
        <v>False</v>
      </c>
      <c r="X12" s="1" t="str">
        <f t="shared" si="3"/>
        <v>False</v>
      </c>
      <c r="Y12" s="1" t="str">
        <f t="shared" si="3"/>
        <v>False</v>
      </c>
      <c r="Z12" s="1" t="str">
        <f t="shared" si="3"/>
        <v>False</v>
      </c>
      <c r="AA12" s="1" t="str">
        <f t="shared" si="3"/>
        <v>True</v>
      </c>
      <c r="AB12" s="1" t="s">
        <v>28</v>
      </c>
      <c r="AC12" s="4">
        <f t="shared" ref="AC12:AH12" si="63">IF(ISNUMBER(SEARCH(AC$1,$AB12)), 1, 0)</f>
        <v>1</v>
      </c>
      <c r="AD12" s="4">
        <f t="shared" si="63"/>
        <v>0</v>
      </c>
      <c r="AE12" s="4">
        <f t="shared" si="63"/>
        <v>0</v>
      </c>
      <c r="AF12" s="4">
        <f t="shared" si="63"/>
        <v>0</v>
      </c>
      <c r="AG12" s="4">
        <f t="shared" si="63"/>
        <v>0</v>
      </c>
      <c r="AH12" s="4">
        <f t="shared" si="63"/>
        <v>0</v>
      </c>
      <c r="AI12" s="1">
        <f t="shared" si="5"/>
        <v>1</v>
      </c>
      <c r="AK12" s="1" t="s">
        <v>259</v>
      </c>
      <c r="AL12" s="4">
        <f t="shared" ref="AL12:AS12" si="64">IF(ISNUMBER(SEARCH(AL$1,$AK12)), 1, 0)</f>
        <v>1</v>
      </c>
      <c r="AM12" s="4">
        <f t="shared" si="64"/>
        <v>1</v>
      </c>
      <c r="AN12" s="4">
        <f t="shared" si="64"/>
        <v>0</v>
      </c>
      <c r="AO12" s="4">
        <f t="shared" si="64"/>
        <v>1</v>
      </c>
      <c r="AP12" s="4">
        <f t="shared" si="64"/>
        <v>0</v>
      </c>
      <c r="AQ12" s="4">
        <f t="shared" si="64"/>
        <v>0</v>
      </c>
      <c r="AR12" s="4">
        <f t="shared" si="64"/>
        <v>0</v>
      </c>
      <c r="AS12" s="4">
        <f t="shared" si="64"/>
        <v>0</v>
      </c>
      <c r="AU12" s="1" t="s">
        <v>48</v>
      </c>
      <c r="AV12" s="1">
        <f t="shared" si="7"/>
        <v>0</v>
      </c>
      <c r="AW12" s="1">
        <f t="shared" si="8"/>
        <v>1</v>
      </c>
      <c r="AX12" s="1">
        <f t="shared" si="9"/>
        <v>0</v>
      </c>
      <c r="AY12" s="1" t="s">
        <v>48</v>
      </c>
      <c r="BA12" s="1" t="s">
        <v>325</v>
      </c>
      <c r="BB12" s="4">
        <f t="shared" ref="BB12:BJ12" si="65">IF(ISNUMBER(SEARCH(BB$1,$BA12)), 1, 0)</f>
        <v>1</v>
      </c>
      <c r="BC12" s="4">
        <f t="shared" si="65"/>
        <v>1</v>
      </c>
      <c r="BD12" s="4">
        <f t="shared" si="65"/>
        <v>1</v>
      </c>
      <c r="BE12" s="4">
        <f t="shared" si="65"/>
        <v>0</v>
      </c>
      <c r="BF12" s="4">
        <f t="shared" si="65"/>
        <v>1</v>
      </c>
      <c r="BG12" s="4">
        <f t="shared" si="65"/>
        <v>0</v>
      </c>
      <c r="BH12" s="4">
        <f t="shared" si="65"/>
        <v>0</v>
      </c>
      <c r="BI12" s="4">
        <f t="shared" si="65"/>
        <v>0</v>
      </c>
      <c r="BJ12" s="4">
        <f t="shared" si="65"/>
        <v>1</v>
      </c>
      <c r="BK12" s="4">
        <f t="shared" si="11"/>
        <v>5</v>
      </c>
      <c r="BM12" s="1" t="s">
        <v>232</v>
      </c>
      <c r="BN12" s="1" t="s">
        <v>340</v>
      </c>
      <c r="BO12" s="4">
        <f t="shared" ref="BO12:BU12" si="66">IF(ISNUMBER(SEARCH(BO$1,$BN12)), 1, 0)</f>
        <v>1</v>
      </c>
      <c r="BP12" s="4">
        <f t="shared" si="66"/>
        <v>1</v>
      </c>
      <c r="BQ12" s="4">
        <f t="shared" si="66"/>
        <v>0</v>
      </c>
      <c r="BR12" s="4">
        <f t="shared" si="66"/>
        <v>0</v>
      </c>
      <c r="BS12" s="4">
        <f t="shared" si="66"/>
        <v>0</v>
      </c>
      <c r="BT12" s="4">
        <f t="shared" si="66"/>
        <v>0</v>
      </c>
      <c r="BU12" s="4">
        <f t="shared" si="66"/>
        <v>0</v>
      </c>
      <c r="BW12" s="1" t="s">
        <v>255</v>
      </c>
      <c r="BZ12" s="1" t="s">
        <v>465</v>
      </c>
      <c r="CM12" s="1" t="s">
        <v>47</v>
      </c>
      <c r="CQ12" s="1" t="s">
        <v>47</v>
      </c>
      <c r="CX12" s="1" t="s">
        <v>466</v>
      </c>
      <c r="CZ12" s="1" t="s">
        <v>467</v>
      </c>
      <c r="DC12" s="1" t="s">
        <v>238</v>
      </c>
    </row>
    <row r="13" spans="1:107" ht="15.75" customHeight="1" x14ac:dyDescent="0.25">
      <c r="A13" s="1" t="b">
        <v>0</v>
      </c>
      <c r="B13" s="3">
        <v>46167.59337962963</v>
      </c>
      <c r="C13" s="1" t="s">
        <v>703</v>
      </c>
      <c r="D13" s="1" t="s">
        <v>192</v>
      </c>
      <c r="E13" s="4">
        <f t="shared" ref="E13:K13" si="67">IF(ISNUMBER(SEARCH(E$1,$D13)), SEARCH(E$1,$D13), 0)</f>
        <v>1</v>
      </c>
      <c r="F13" s="4">
        <f t="shared" si="67"/>
        <v>30</v>
      </c>
      <c r="G13" s="4">
        <f t="shared" si="67"/>
        <v>0</v>
      </c>
      <c r="H13" s="4">
        <f t="shared" si="67"/>
        <v>0</v>
      </c>
      <c r="I13" s="4">
        <f t="shared" si="67"/>
        <v>0</v>
      </c>
      <c r="J13" s="4">
        <f t="shared" si="67"/>
        <v>0</v>
      </c>
      <c r="K13" s="4">
        <f t="shared" si="67"/>
        <v>105</v>
      </c>
      <c r="L13" s="4">
        <f t="shared" si="1"/>
        <v>105</v>
      </c>
      <c r="N13" s="1" t="s">
        <v>240</v>
      </c>
      <c r="O13" s="4">
        <f t="shared" ref="O13:T13" si="68">IF(ISNUMBER(SEARCH(O$1,$N13)), 1, 0)</f>
        <v>1</v>
      </c>
      <c r="P13" s="4">
        <f t="shared" si="68"/>
        <v>1</v>
      </c>
      <c r="Q13" s="4">
        <f t="shared" si="68"/>
        <v>1</v>
      </c>
      <c r="R13" s="4">
        <f t="shared" si="68"/>
        <v>1</v>
      </c>
      <c r="S13" s="4">
        <f t="shared" si="68"/>
        <v>0</v>
      </c>
      <c r="T13" s="4">
        <f t="shared" si="68"/>
        <v>0</v>
      </c>
      <c r="W13" s="1" t="str">
        <f t="shared" ref="W13:AA19" si="69">IF(W$1=$V13, "True", "False")</f>
        <v>False</v>
      </c>
      <c r="X13" s="1" t="str">
        <f t="shared" si="69"/>
        <v>False</v>
      </c>
      <c r="Y13" s="1" t="str">
        <f t="shared" si="69"/>
        <v>False</v>
      </c>
      <c r="Z13" s="1" t="str">
        <f t="shared" si="69"/>
        <v>False</v>
      </c>
      <c r="AA13" s="1" t="str">
        <f t="shared" si="69"/>
        <v>False</v>
      </c>
      <c r="AB13" s="1" t="s">
        <v>31</v>
      </c>
      <c r="AC13" s="4">
        <f t="shared" ref="AC13:AH13" si="70">IF(ISNUMBER(SEARCH(AC$1,$AB13)), 1, 0)</f>
        <v>0</v>
      </c>
      <c r="AD13" s="4">
        <f t="shared" si="70"/>
        <v>0</v>
      </c>
      <c r="AE13" s="4">
        <f t="shared" si="70"/>
        <v>0</v>
      </c>
      <c r="AF13" s="4">
        <f t="shared" si="70"/>
        <v>1</v>
      </c>
      <c r="AG13" s="4">
        <f t="shared" si="70"/>
        <v>0</v>
      </c>
      <c r="AH13" s="4">
        <f t="shared" si="70"/>
        <v>0</v>
      </c>
      <c r="AI13" s="1">
        <f t="shared" si="5"/>
        <v>1</v>
      </c>
      <c r="AK13" s="1" t="s">
        <v>183</v>
      </c>
      <c r="AL13" s="4">
        <f t="shared" ref="AL13:AS13" si="71">IF(ISNUMBER(SEARCH(AL$1,$AK13)), 1, 0)</f>
        <v>0</v>
      </c>
      <c r="AM13" s="4">
        <f t="shared" si="71"/>
        <v>0</v>
      </c>
      <c r="AN13" s="4">
        <f t="shared" si="71"/>
        <v>0</v>
      </c>
      <c r="AO13" s="4">
        <f t="shared" si="71"/>
        <v>0</v>
      </c>
      <c r="AP13" s="4">
        <f t="shared" si="71"/>
        <v>0</v>
      </c>
      <c r="AQ13" s="4">
        <f t="shared" si="71"/>
        <v>0</v>
      </c>
      <c r="AR13" s="4">
        <f t="shared" si="71"/>
        <v>0</v>
      </c>
      <c r="AS13" s="4">
        <f t="shared" si="71"/>
        <v>0</v>
      </c>
      <c r="AT13" s="1" t="s">
        <v>704</v>
      </c>
      <c r="AU13" s="1" t="s">
        <v>47</v>
      </c>
      <c r="AV13" s="1">
        <f t="shared" si="7"/>
        <v>1</v>
      </c>
      <c r="AW13" s="1">
        <f t="shared" si="8"/>
        <v>0</v>
      </c>
      <c r="AX13" s="1">
        <f t="shared" si="9"/>
        <v>0</v>
      </c>
      <c r="AY13" s="1" t="s">
        <v>48</v>
      </c>
      <c r="BA13" s="1" t="s">
        <v>705</v>
      </c>
      <c r="BB13" s="4">
        <f t="shared" ref="BB13:BJ13" si="72">IF(ISNUMBER(SEARCH(BB$1,$BA13)), 1, 0)</f>
        <v>0</v>
      </c>
      <c r="BC13" s="4">
        <f t="shared" si="72"/>
        <v>1</v>
      </c>
      <c r="BD13" s="4">
        <f t="shared" si="72"/>
        <v>1</v>
      </c>
      <c r="BE13" s="4">
        <f t="shared" si="72"/>
        <v>0</v>
      </c>
      <c r="BF13" s="4">
        <f t="shared" si="72"/>
        <v>1</v>
      </c>
      <c r="BG13" s="4">
        <f t="shared" si="72"/>
        <v>1</v>
      </c>
      <c r="BH13" s="4">
        <f t="shared" si="72"/>
        <v>0</v>
      </c>
      <c r="BI13" s="4">
        <f t="shared" si="72"/>
        <v>0</v>
      </c>
      <c r="BJ13" s="4">
        <f t="shared" si="72"/>
        <v>1</v>
      </c>
      <c r="BK13" s="4">
        <f t="shared" si="11"/>
        <v>5</v>
      </c>
      <c r="BL13" s="1" t="s">
        <v>706</v>
      </c>
      <c r="BM13" s="1" t="s">
        <v>166</v>
      </c>
      <c r="BN13" s="1" t="s">
        <v>404</v>
      </c>
      <c r="BO13" s="4">
        <f t="shared" ref="BO13:BU13" si="73">IF(ISNUMBER(SEARCH(BO$1,$BN13)), 1, 0)</f>
        <v>0</v>
      </c>
      <c r="BP13" s="4">
        <f t="shared" si="73"/>
        <v>0</v>
      </c>
      <c r="BQ13" s="4">
        <f t="shared" si="73"/>
        <v>0</v>
      </c>
      <c r="BR13" s="4">
        <f t="shared" si="73"/>
        <v>0</v>
      </c>
      <c r="BS13" s="4">
        <f t="shared" si="73"/>
        <v>0</v>
      </c>
      <c r="BT13" s="4">
        <f t="shared" si="73"/>
        <v>0</v>
      </c>
      <c r="BU13" s="4">
        <f t="shared" si="73"/>
        <v>0</v>
      </c>
      <c r="BV13" s="1" t="s">
        <v>707</v>
      </c>
    </row>
    <row r="14" spans="1:107" ht="15.75" customHeight="1" x14ac:dyDescent="0.25">
      <c r="A14" s="1" t="b">
        <v>0</v>
      </c>
      <c r="B14" s="3">
        <v>46170.117094907408</v>
      </c>
      <c r="C14" s="1" t="s">
        <v>754</v>
      </c>
      <c r="D14" s="1" t="s">
        <v>755</v>
      </c>
      <c r="E14" s="4">
        <f t="shared" ref="E14:K14" si="74">IF(ISNUMBER(SEARCH(E$1,$D14)), SEARCH(E$1,$D14), 0)</f>
        <v>0</v>
      </c>
      <c r="F14" s="4">
        <f t="shared" si="74"/>
        <v>0</v>
      </c>
      <c r="G14" s="4">
        <f t="shared" si="74"/>
        <v>1</v>
      </c>
      <c r="H14" s="4">
        <f t="shared" si="74"/>
        <v>0</v>
      </c>
      <c r="I14" s="4">
        <f t="shared" si="74"/>
        <v>57</v>
      </c>
      <c r="J14" s="4">
        <f t="shared" si="74"/>
        <v>0</v>
      </c>
      <c r="K14" s="4">
        <f t="shared" si="74"/>
        <v>89</v>
      </c>
      <c r="L14" s="4">
        <f t="shared" si="1"/>
        <v>89</v>
      </c>
      <c r="N14" s="1" t="s">
        <v>272</v>
      </c>
      <c r="O14" s="4">
        <f t="shared" ref="O14:T14" si="75">IF(ISNUMBER(SEARCH(O$1,$N14)), 1, 0)</f>
        <v>1</v>
      </c>
      <c r="P14" s="4">
        <f t="shared" si="75"/>
        <v>1</v>
      </c>
      <c r="Q14" s="4">
        <f t="shared" si="75"/>
        <v>1</v>
      </c>
      <c r="R14" s="4">
        <f t="shared" si="75"/>
        <v>1</v>
      </c>
      <c r="S14" s="4">
        <f t="shared" si="75"/>
        <v>1</v>
      </c>
      <c r="T14" s="4">
        <f t="shared" si="75"/>
        <v>0</v>
      </c>
      <c r="W14" s="1" t="str">
        <f t="shared" si="69"/>
        <v>False</v>
      </c>
      <c r="X14" s="1" t="str">
        <f t="shared" si="69"/>
        <v>False</v>
      </c>
      <c r="Y14" s="1" t="str">
        <f t="shared" si="69"/>
        <v>False</v>
      </c>
      <c r="Z14" s="1" t="str">
        <f t="shared" si="69"/>
        <v>False</v>
      </c>
      <c r="AA14" s="1" t="str">
        <f t="shared" si="69"/>
        <v>False</v>
      </c>
      <c r="AB14" s="1" t="s">
        <v>31</v>
      </c>
      <c r="AC14" s="4">
        <f t="shared" ref="AC14:AH14" si="76">IF(ISNUMBER(SEARCH(AC$1,$AB14)), 1, 0)</f>
        <v>0</v>
      </c>
      <c r="AD14" s="4">
        <f t="shared" si="76"/>
        <v>0</v>
      </c>
      <c r="AE14" s="4">
        <f t="shared" si="76"/>
        <v>0</v>
      </c>
      <c r="AF14" s="4">
        <f t="shared" si="76"/>
        <v>1</v>
      </c>
      <c r="AG14" s="4">
        <f t="shared" si="76"/>
        <v>0</v>
      </c>
      <c r="AH14" s="4">
        <f t="shared" si="76"/>
        <v>0</v>
      </c>
      <c r="AI14" s="1">
        <f t="shared" si="5"/>
        <v>1</v>
      </c>
      <c r="AK14" s="1" t="s">
        <v>410</v>
      </c>
      <c r="AL14" s="4">
        <f t="shared" ref="AL14:AS14" si="77">IF(ISNUMBER(SEARCH(AL$1,$AK14)), 1, 0)</f>
        <v>1</v>
      </c>
      <c r="AM14" s="4">
        <f t="shared" si="77"/>
        <v>0</v>
      </c>
      <c r="AN14" s="4">
        <f t="shared" si="77"/>
        <v>1</v>
      </c>
      <c r="AO14" s="4">
        <f t="shared" si="77"/>
        <v>1</v>
      </c>
      <c r="AP14" s="4">
        <f t="shared" si="77"/>
        <v>0</v>
      </c>
      <c r="AQ14" s="4">
        <f t="shared" si="77"/>
        <v>0</v>
      </c>
      <c r="AR14" s="4">
        <f t="shared" si="77"/>
        <v>0</v>
      </c>
      <c r="AS14" s="4">
        <f t="shared" si="77"/>
        <v>0</v>
      </c>
      <c r="AU14" s="1" t="s">
        <v>47</v>
      </c>
      <c r="AV14" s="1">
        <f t="shared" si="7"/>
        <v>1</v>
      </c>
      <c r="AW14" s="1">
        <f t="shared" si="8"/>
        <v>0</v>
      </c>
      <c r="AX14" s="1">
        <f t="shared" si="9"/>
        <v>0</v>
      </c>
      <c r="AY14" s="1" t="s">
        <v>48</v>
      </c>
      <c r="BA14" s="1" t="s">
        <v>247</v>
      </c>
      <c r="BB14" s="4">
        <f t="shared" ref="BB14:BJ14" si="78">IF(ISNUMBER(SEARCH(BB$1,$BA14)), 1, 0)</f>
        <v>1</v>
      </c>
      <c r="BC14" s="4">
        <f t="shared" si="78"/>
        <v>1</v>
      </c>
      <c r="BD14" s="4">
        <f t="shared" si="78"/>
        <v>1</v>
      </c>
      <c r="BE14" s="4">
        <f t="shared" si="78"/>
        <v>1</v>
      </c>
      <c r="BF14" s="4">
        <f t="shared" si="78"/>
        <v>1</v>
      </c>
      <c r="BG14" s="4">
        <f t="shared" si="78"/>
        <v>0</v>
      </c>
      <c r="BH14" s="4">
        <f t="shared" si="78"/>
        <v>1</v>
      </c>
      <c r="BI14" s="4">
        <f t="shared" si="78"/>
        <v>0</v>
      </c>
      <c r="BJ14" s="4">
        <f t="shared" si="78"/>
        <v>1</v>
      </c>
      <c r="BK14" s="4">
        <f t="shared" si="11"/>
        <v>7</v>
      </c>
      <c r="BM14" s="1" t="s">
        <v>166</v>
      </c>
      <c r="BN14" s="1" t="s">
        <v>756</v>
      </c>
      <c r="BO14" s="4">
        <f t="shared" ref="BO14:BU14" si="79">IF(ISNUMBER(SEARCH(BO$1,$BN14)), 1, 0)</f>
        <v>1</v>
      </c>
      <c r="BP14" s="4">
        <f t="shared" si="79"/>
        <v>0</v>
      </c>
      <c r="BQ14" s="4">
        <f t="shared" si="79"/>
        <v>1</v>
      </c>
      <c r="BR14" s="4">
        <f t="shared" si="79"/>
        <v>0</v>
      </c>
      <c r="BS14" s="4">
        <f t="shared" si="79"/>
        <v>0</v>
      </c>
      <c r="BT14" s="4">
        <f t="shared" si="79"/>
        <v>1</v>
      </c>
      <c r="BU14" s="4">
        <f t="shared" si="79"/>
        <v>1</v>
      </c>
    </row>
    <row r="15" spans="1:107" ht="15.75" customHeight="1" x14ac:dyDescent="0.25">
      <c r="A15" s="1" t="b">
        <v>1</v>
      </c>
      <c r="B15" s="3">
        <v>46159.038958333331</v>
      </c>
      <c r="C15" s="1" t="s">
        <v>393</v>
      </c>
      <c r="D15" s="1" t="s">
        <v>394</v>
      </c>
      <c r="E15" s="4">
        <f t="shared" ref="E15:K15" si="80">IF(ISNUMBER(SEARCH(E$1,$D15)), SEARCH(E$1,$D15), 0)</f>
        <v>1</v>
      </c>
      <c r="F15" s="4">
        <f t="shared" si="80"/>
        <v>0</v>
      </c>
      <c r="G15" s="4">
        <f t="shared" si="80"/>
        <v>30</v>
      </c>
      <c r="H15" s="4">
        <f t="shared" si="80"/>
        <v>0</v>
      </c>
      <c r="I15" s="4">
        <f t="shared" si="80"/>
        <v>0</v>
      </c>
      <c r="J15" s="4">
        <f t="shared" si="80"/>
        <v>0</v>
      </c>
      <c r="K15" s="4">
        <f t="shared" si="80"/>
        <v>86</v>
      </c>
      <c r="L15" s="4">
        <f t="shared" si="1"/>
        <v>86</v>
      </c>
      <c r="N15" s="1" t="s">
        <v>328</v>
      </c>
      <c r="O15" s="4">
        <f t="shared" ref="O15:T15" si="81">IF(ISNUMBER(SEARCH(O$1,$N15)), 1, 0)</f>
        <v>1</v>
      </c>
      <c r="P15" s="4">
        <f t="shared" si="81"/>
        <v>1</v>
      </c>
      <c r="Q15" s="4">
        <f t="shared" si="81"/>
        <v>1</v>
      </c>
      <c r="R15" s="4">
        <f t="shared" si="81"/>
        <v>0</v>
      </c>
      <c r="S15" s="4">
        <f t="shared" si="81"/>
        <v>0</v>
      </c>
      <c r="T15" s="4">
        <f t="shared" si="81"/>
        <v>0</v>
      </c>
      <c r="V15" s="1" t="s">
        <v>25</v>
      </c>
      <c r="W15" s="1" t="str">
        <f t="shared" si="69"/>
        <v>False</v>
      </c>
      <c r="X15" s="1" t="str">
        <f t="shared" si="69"/>
        <v>False</v>
      </c>
      <c r="Y15" s="1" t="str">
        <f t="shared" si="69"/>
        <v>False</v>
      </c>
      <c r="Z15" s="1" t="str">
        <f t="shared" si="69"/>
        <v>True</v>
      </c>
      <c r="AA15" s="1" t="str">
        <f t="shared" si="69"/>
        <v>False</v>
      </c>
      <c r="AB15" s="1" t="s">
        <v>395</v>
      </c>
      <c r="AC15" s="4">
        <f t="shared" ref="AC15:AH15" si="82">IF(ISNUMBER(SEARCH(AC$1,$AB15)), 1, 0)</f>
        <v>1</v>
      </c>
      <c r="AD15" s="4">
        <f t="shared" si="82"/>
        <v>1</v>
      </c>
      <c r="AE15" s="4">
        <f t="shared" si="82"/>
        <v>1</v>
      </c>
      <c r="AF15" s="4">
        <f t="shared" si="82"/>
        <v>0</v>
      </c>
      <c r="AG15" s="4">
        <f t="shared" si="82"/>
        <v>1</v>
      </c>
      <c r="AH15" s="4">
        <f t="shared" si="82"/>
        <v>1</v>
      </c>
      <c r="AI15" s="1">
        <f t="shared" si="5"/>
        <v>5</v>
      </c>
      <c r="AK15" s="1" t="s">
        <v>396</v>
      </c>
      <c r="AL15" s="4">
        <f t="shared" ref="AL15:AS15" si="83">IF(ISNUMBER(SEARCH(AL$1,$AK15)), 1, 0)</f>
        <v>0</v>
      </c>
      <c r="AM15" s="4">
        <f t="shared" si="83"/>
        <v>1</v>
      </c>
      <c r="AN15" s="4">
        <f t="shared" si="83"/>
        <v>1</v>
      </c>
      <c r="AO15" s="4">
        <f t="shared" si="83"/>
        <v>0</v>
      </c>
      <c r="AP15" s="4">
        <f t="shared" si="83"/>
        <v>1</v>
      </c>
      <c r="AQ15" s="4">
        <f t="shared" si="83"/>
        <v>1</v>
      </c>
      <c r="AR15" s="4">
        <f t="shared" si="83"/>
        <v>0</v>
      </c>
      <c r="AS15" s="4">
        <f t="shared" si="83"/>
        <v>0</v>
      </c>
      <c r="AU15" s="1" t="s">
        <v>47</v>
      </c>
      <c r="AV15" s="1">
        <f t="shared" si="7"/>
        <v>1</v>
      </c>
      <c r="AW15" s="1">
        <f t="shared" si="8"/>
        <v>0</v>
      </c>
      <c r="AX15" s="1">
        <f t="shared" si="9"/>
        <v>0</v>
      </c>
      <c r="AY15" s="1" t="s">
        <v>48</v>
      </c>
      <c r="BA15" s="1" t="s">
        <v>397</v>
      </c>
      <c r="BB15" s="4">
        <f t="shared" ref="BB15:BJ15" si="84">IF(ISNUMBER(SEARCH(BB$1,$BA15)), 1, 0)</f>
        <v>1</v>
      </c>
      <c r="BC15" s="4">
        <f t="shared" si="84"/>
        <v>1</v>
      </c>
      <c r="BD15" s="4">
        <f t="shared" si="84"/>
        <v>1</v>
      </c>
      <c r="BE15" s="4">
        <f t="shared" si="84"/>
        <v>1</v>
      </c>
      <c r="BF15" s="4">
        <f t="shared" si="84"/>
        <v>1</v>
      </c>
      <c r="BG15" s="4">
        <f t="shared" si="84"/>
        <v>0</v>
      </c>
      <c r="BH15" s="4">
        <f t="shared" si="84"/>
        <v>0</v>
      </c>
      <c r="BI15" s="4">
        <f t="shared" si="84"/>
        <v>0</v>
      </c>
      <c r="BJ15" s="4">
        <f t="shared" si="84"/>
        <v>0</v>
      </c>
      <c r="BK15" s="4">
        <f t="shared" si="11"/>
        <v>5</v>
      </c>
      <c r="BM15" s="1" t="s">
        <v>166</v>
      </c>
      <c r="BN15" s="1" t="s">
        <v>398</v>
      </c>
      <c r="BO15" s="4">
        <f t="shared" ref="BO15:BU15" si="85">IF(ISNUMBER(SEARCH(BO$1,$BN15)), 1, 0)</f>
        <v>1</v>
      </c>
      <c r="BP15" s="4">
        <f t="shared" si="85"/>
        <v>1</v>
      </c>
      <c r="BQ15" s="4">
        <f t="shared" si="85"/>
        <v>1</v>
      </c>
      <c r="BR15" s="4">
        <f t="shared" si="85"/>
        <v>1</v>
      </c>
      <c r="BS15" s="4">
        <f t="shared" si="85"/>
        <v>1</v>
      </c>
      <c r="BT15" s="4">
        <f t="shared" si="85"/>
        <v>0</v>
      </c>
      <c r="BU15" s="4">
        <f t="shared" si="85"/>
        <v>0</v>
      </c>
      <c r="CM15" s="1" t="s">
        <v>49</v>
      </c>
      <c r="CU15" s="1" t="s">
        <v>399</v>
      </c>
      <c r="DC15" s="1" t="s">
        <v>238</v>
      </c>
    </row>
    <row r="16" spans="1:107" ht="15.75" customHeight="1" x14ac:dyDescent="0.25">
      <c r="A16" s="1" t="b">
        <v>1</v>
      </c>
      <c r="B16" s="3">
        <v>46152.460173611114</v>
      </c>
      <c r="C16" s="1" t="s">
        <v>285</v>
      </c>
      <c r="D16" s="1" t="s">
        <v>286</v>
      </c>
      <c r="E16" s="4">
        <f t="shared" ref="E16:K16" si="86">IF(ISNUMBER(SEARCH(E$1,$D16)), SEARCH(E$1,$D16), 0)</f>
        <v>1</v>
      </c>
      <c r="F16" s="4">
        <f t="shared" si="86"/>
        <v>0</v>
      </c>
      <c r="G16" s="4">
        <f t="shared" si="86"/>
        <v>0</v>
      </c>
      <c r="H16" s="4">
        <f t="shared" si="86"/>
        <v>0</v>
      </c>
      <c r="I16" s="4">
        <f t="shared" si="86"/>
        <v>0</v>
      </c>
      <c r="J16" s="4">
        <f t="shared" si="86"/>
        <v>30</v>
      </c>
      <c r="K16" s="4">
        <f t="shared" si="86"/>
        <v>67</v>
      </c>
      <c r="L16" s="4">
        <f t="shared" si="1"/>
        <v>67</v>
      </c>
      <c r="N16" s="1" t="s">
        <v>208</v>
      </c>
      <c r="O16" s="4">
        <f t="shared" ref="O16:T16" si="87">IF(ISNUMBER(SEARCH(O$1,$N16)), 1, 0)</f>
        <v>1</v>
      </c>
      <c r="P16" s="4">
        <f t="shared" si="87"/>
        <v>1</v>
      </c>
      <c r="Q16" s="4">
        <f t="shared" si="87"/>
        <v>0</v>
      </c>
      <c r="R16" s="4">
        <f t="shared" si="87"/>
        <v>1</v>
      </c>
      <c r="S16" s="4">
        <f t="shared" si="87"/>
        <v>0</v>
      </c>
      <c r="T16" s="4">
        <f t="shared" si="87"/>
        <v>0</v>
      </c>
      <c r="V16" s="1" t="s">
        <v>25</v>
      </c>
      <c r="W16" s="1" t="str">
        <f t="shared" si="69"/>
        <v>False</v>
      </c>
      <c r="X16" s="1" t="str">
        <f t="shared" si="69"/>
        <v>False</v>
      </c>
      <c r="Y16" s="1" t="str">
        <f t="shared" si="69"/>
        <v>False</v>
      </c>
      <c r="Z16" s="1" t="str">
        <f t="shared" si="69"/>
        <v>True</v>
      </c>
      <c r="AA16" s="1" t="str">
        <f t="shared" si="69"/>
        <v>False</v>
      </c>
      <c r="AB16" s="1" t="s">
        <v>287</v>
      </c>
      <c r="AC16" s="4">
        <f t="shared" ref="AC16:AH16" si="88">IF(ISNUMBER(SEARCH(AC$1,$AB16)), 1, 0)</f>
        <v>0</v>
      </c>
      <c r="AD16" s="4">
        <f t="shared" si="88"/>
        <v>0</v>
      </c>
      <c r="AE16" s="4">
        <f t="shared" si="88"/>
        <v>0</v>
      </c>
      <c r="AF16" s="4">
        <f t="shared" si="88"/>
        <v>1</v>
      </c>
      <c r="AG16" s="4">
        <f t="shared" si="88"/>
        <v>1</v>
      </c>
      <c r="AH16" s="4">
        <f t="shared" si="88"/>
        <v>0</v>
      </c>
      <c r="AI16" s="1">
        <f t="shared" si="5"/>
        <v>2</v>
      </c>
      <c r="AK16" s="1" t="s">
        <v>288</v>
      </c>
      <c r="AL16" s="4">
        <f t="shared" ref="AL16:AS16" si="89">IF(ISNUMBER(SEARCH(AL$1,$AK16)), 1, 0)</f>
        <v>0</v>
      </c>
      <c r="AM16" s="4">
        <f t="shared" si="89"/>
        <v>1</v>
      </c>
      <c r="AN16" s="4">
        <f t="shared" si="89"/>
        <v>0</v>
      </c>
      <c r="AO16" s="4">
        <f t="shared" si="89"/>
        <v>1</v>
      </c>
      <c r="AP16" s="4">
        <f t="shared" si="89"/>
        <v>0</v>
      </c>
      <c r="AQ16" s="4">
        <f t="shared" si="89"/>
        <v>0</v>
      </c>
      <c r="AR16" s="4">
        <f t="shared" si="89"/>
        <v>0</v>
      </c>
      <c r="AS16" s="4">
        <f t="shared" si="89"/>
        <v>0</v>
      </c>
      <c r="AU16" s="1" t="s">
        <v>48</v>
      </c>
      <c r="AV16" s="1">
        <f t="shared" si="7"/>
        <v>0</v>
      </c>
      <c r="AW16" s="1">
        <f t="shared" si="8"/>
        <v>1</v>
      </c>
      <c r="AX16" s="1">
        <f t="shared" si="9"/>
        <v>0</v>
      </c>
      <c r="AY16" s="1" t="s">
        <v>48</v>
      </c>
      <c r="BA16" s="1" t="s">
        <v>289</v>
      </c>
      <c r="BB16" s="4">
        <f t="shared" ref="BB16:BJ16" si="90">IF(ISNUMBER(SEARCH(BB$1,$BA16)), 1, 0)</f>
        <v>0</v>
      </c>
      <c r="BC16" s="4">
        <f t="shared" si="90"/>
        <v>1</v>
      </c>
      <c r="BD16" s="4">
        <f t="shared" si="90"/>
        <v>1</v>
      </c>
      <c r="BE16" s="4">
        <f t="shared" si="90"/>
        <v>1</v>
      </c>
      <c r="BF16" s="4">
        <f t="shared" si="90"/>
        <v>0</v>
      </c>
      <c r="BG16" s="4">
        <f t="shared" si="90"/>
        <v>0</v>
      </c>
      <c r="BH16" s="4">
        <f t="shared" si="90"/>
        <v>1</v>
      </c>
      <c r="BI16" s="4">
        <f t="shared" si="90"/>
        <v>0</v>
      </c>
      <c r="BJ16" s="4">
        <f t="shared" si="90"/>
        <v>1</v>
      </c>
      <c r="BK16" s="4">
        <f t="shared" si="11"/>
        <v>5</v>
      </c>
      <c r="BM16" s="1" t="s">
        <v>166</v>
      </c>
      <c r="BN16" s="1" t="s">
        <v>290</v>
      </c>
      <c r="BO16" s="4">
        <f t="shared" ref="BO16:BU16" si="91">IF(ISNUMBER(SEARCH(BO$1,$BN16)), 1, 0)</f>
        <v>0</v>
      </c>
      <c r="BP16" s="4">
        <f t="shared" si="91"/>
        <v>0</v>
      </c>
      <c r="BQ16" s="4">
        <f t="shared" si="91"/>
        <v>0</v>
      </c>
      <c r="BR16" s="4">
        <f t="shared" si="91"/>
        <v>1</v>
      </c>
      <c r="BS16" s="4">
        <f t="shared" si="91"/>
        <v>0</v>
      </c>
      <c r="BT16" s="4">
        <f t="shared" si="91"/>
        <v>1</v>
      </c>
      <c r="BU16" s="4">
        <f t="shared" si="91"/>
        <v>0</v>
      </c>
      <c r="BW16" s="1" t="s">
        <v>220</v>
      </c>
      <c r="BY16" s="1" t="s">
        <v>291</v>
      </c>
      <c r="BZ16" s="1" t="s">
        <v>278</v>
      </c>
      <c r="CM16" s="1" t="s">
        <v>47</v>
      </c>
      <c r="CQ16" s="1" t="s">
        <v>48</v>
      </c>
      <c r="CR16" s="1" t="s">
        <v>214</v>
      </c>
      <c r="CT16" s="1" t="s">
        <v>292</v>
      </c>
      <c r="DC16" s="1" t="s">
        <v>238</v>
      </c>
    </row>
    <row r="17" spans="1:107" ht="15.75" customHeight="1" x14ac:dyDescent="0.25">
      <c r="A17" s="1" t="b">
        <v>1</v>
      </c>
      <c r="B17" s="3">
        <v>46152.990335648145</v>
      </c>
      <c r="C17" s="1" t="s">
        <v>304</v>
      </c>
      <c r="D17" s="1" t="s">
        <v>305</v>
      </c>
      <c r="E17" s="4">
        <f t="shared" ref="E17:K17" si="92">IF(ISNUMBER(SEARCH(E$1,$D17)), SEARCH(E$1,$D17), 0)</f>
        <v>1</v>
      </c>
      <c r="F17" s="4">
        <f t="shared" si="92"/>
        <v>0</v>
      </c>
      <c r="G17" s="4">
        <f t="shared" si="92"/>
        <v>0</v>
      </c>
      <c r="H17" s="4">
        <f t="shared" si="92"/>
        <v>0</v>
      </c>
      <c r="I17" s="4">
        <f t="shared" si="92"/>
        <v>0</v>
      </c>
      <c r="J17" s="4">
        <f t="shared" si="92"/>
        <v>0</v>
      </c>
      <c r="K17" s="4">
        <f t="shared" si="92"/>
        <v>30</v>
      </c>
      <c r="L17" s="4">
        <f t="shared" si="1"/>
        <v>30</v>
      </c>
      <c r="N17" s="1" t="s">
        <v>306</v>
      </c>
      <c r="O17" s="4">
        <f t="shared" ref="O17:T17" si="93">IF(ISNUMBER(SEARCH(O$1,$N17)), 1, 0)</f>
        <v>1</v>
      </c>
      <c r="P17" s="4">
        <f t="shared" si="93"/>
        <v>1</v>
      </c>
      <c r="Q17" s="4">
        <f t="shared" si="93"/>
        <v>0</v>
      </c>
      <c r="R17" s="4">
        <f t="shared" si="93"/>
        <v>0</v>
      </c>
      <c r="S17" s="4">
        <f t="shared" si="93"/>
        <v>1</v>
      </c>
      <c r="T17" s="4">
        <f t="shared" si="93"/>
        <v>0</v>
      </c>
      <c r="V17" s="1" t="s">
        <v>22</v>
      </c>
      <c r="W17" s="1" t="str">
        <f t="shared" si="69"/>
        <v>True</v>
      </c>
      <c r="X17" s="1" t="str">
        <f t="shared" si="69"/>
        <v>False</v>
      </c>
      <c r="Y17" s="1" t="str">
        <f t="shared" si="69"/>
        <v>False</v>
      </c>
      <c r="Z17" s="1" t="str">
        <f t="shared" si="69"/>
        <v>False</v>
      </c>
      <c r="AA17" s="1" t="str">
        <f t="shared" si="69"/>
        <v>False</v>
      </c>
      <c r="AB17" s="1" t="s">
        <v>183</v>
      </c>
      <c r="AC17" s="4">
        <f t="shared" ref="AC17:AH17" si="94">IF(ISNUMBER(SEARCH(AC$1,$AB17)), 1, 0)</f>
        <v>0</v>
      </c>
      <c r="AD17" s="4">
        <f t="shared" si="94"/>
        <v>0</v>
      </c>
      <c r="AE17" s="4">
        <f t="shared" si="94"/>
        <v>0</v>
      </c>
      <c r="AF17" s="4">
        <f t="shared" si="94"/>
        <v>0</v>
      </c>
      <c r="AG17" s="4">
        <f t="shared" si="94"/>
        <v>0</v>
      </c>
      <c r="AH17" s="4">
        <f t="shared" si="94"/>
        <v>0</v>
      </c>
      <c r="AI17" s="1">
        <f t="shared" si="5"/>
        <v>0</v>
      </c>
      <c r="AJ17" s="1" t="s">
        <v>184</v>
      </c>
      <c r="AK17" s="1" t="s">
        <v>307</v>
      </c>
      <c r="AL17" s="4">
        <f t="shared" ref="AL17:AS17" si="95">IF(ISNUMBER(SEARCH(AL$1,$AK17)), 1, 0)</f>
        <v>1</v>
      </c>
      <c r="AM17" s="4">
        <f t="shared" si="95"/>
        <v>0</v>
      </c>
      <c r="AN17" s="4">
        <f t="shared" si="95"/>
        <v>1</v>
      </c>
      <c r="AO17" s="4">
        <f t="shared" si="95"/>
        <v>0</v>
      </c>
      <c r="AP17" s="4">
        <f t="shared" si="95"/>
        <v>0</v>
      </c>
      <c r="AQ17" s="4">
        <f t="shared" si="95"/>
        <v>0</v>
      </c>
      <c r="AR17" s="4">
        <f t="shared" si="95"/>
        <v>0</v>
      </c>
      <c r="AS17" s="4">
        <f t="shared" si="95"/>
        <v>0</v>
      </c>
      <c r="AU17" s="1" t="s">
        <v>47</v>
      </c>
      <c r="AV17" s="1">
        <f t="shared" si="7"/>
        <v>1</v>
      </c>
      <c r="AW17" s="1">
        <f t="shared" si="8"/>
        <v>0</v>
      </c>
      <c r="AX17" s="1">
        <f t="shared" si="9"/>
        <v>0</v>
      </c>
      <c r="AY17" s="1" t="s">
        <v>47</v>
      </c>
      <c r="AZ17" s="1" t="s">
        <v>47</v>
      </c>
      <c r="BA17" s="1" t="s">
        <v>308</v>
      </c>
      <c r="BB17" s="4">
        <f t="shared" ref="BB17:BJ17" si="96">IF(ISNUMBER(SEARCH(BB$1,$BA17)), 1, 0)</f>
        <v>1</v>
      </c>
      <c r="BC17" s="4">
        <f t="shared" si="96"/>
        <v>1</v>
      </c>
      <c r="BD17" s="4">
        <f t="shared" si="96"/>
        <v>0</v>
      </c>
      <c r="BE17" s="4">
        <f t="shared" si="96"/>
        <v>1</v>
      </c>
      <c r="BF17" s="4">
        <f t="shared" si="96"/>
        <v>1</v>
      </c>
      <c r="BG17" s="4">
        <f t="shared" si="96"/>
        <v>1</v>
      </c>
      <c r="BH17" s="4">
        <f t="shared" si="96"/>
        <v>0</v>
      </c>
      <c r="BI17" s="4">
        <f t="shared" si="96"/>
        <v>0</v>
      </c>
      <c r="BJ17" s="4">
        <f t="shared" si="96"/>
        <v>1</v>
      </c>
      <c r="BK17" s="4">
        <f t="shared" si="11"/>
        <v>6</v>
      </c>
      <c r="BO17" s="4">
        <f t="shared" ref="BO17:BU17" si="97">IF(ISNUMBER(SEARCH(BO$1,$BN17)), 1, 0)</f>
        <v>0</v>
      </c>
      <c r="BP17" s="4">
        <f t="shared" si="97"/>
        <v>0</v>
      </c>
      <c r="BQ17" s="4">
        <f t="shared" si="97"/>
        <v>0</v>
      </c>
      <c r="BR17" s="4">
        <f t="shared" si="97"/>
        <v>0</v>
      </c>
      <c r="BS17" s="4">
        <f t="shared" si="97"/>
        <v>0</v>
      </c>
      <c r="BT17" s="4">
        <f t="shared" si="97"/>
        <v>0</v>
      </c>
      <c r="BU17" s="4">
        <f t="shared" si="97"/>
        <v>0</v>
      </c>
      <c r="DC17" s="1" t="s">
        <v>180</v>
      </c>
    </row>
    <row r="18" spans="1:107" ht="15.75" customHeight="1" x14ac:dyDescent="0.25">
      <c r="A18" s="1" t="b">
        <v>1</v>
      </c>
      <c r="B18" s="3">
        <v>46164.595046296294</v>
      </c>
      <c r="C18" s="1" t="s">
        <v>499</v>
      </c>
      <c r="D18" s="1" t="s">
        <v>305</v>
      </c>
      <c r="E18" s="4">
        <f t="shared" ref="E18:K18" si="98">IF(ISNUMBER(SEARCH(E$1,$D18)), SEARCH(E$1,$D18), 0)</f>
        <v>1</v>
      </c>
      <c r="F18" s="4">
        <f t="shared" si="98"/>
        <v>0</v>
      </c>
      <c r="G18" s="4">
        <f t="shared" si="98"/>
        <v>0</v>
      </c>
      <c r="H18" s="4">
        <f t="shared" si="98"/>
        <v>0</v>
      </c>
      <c r="I18" s="4">
        <f t="shared" si="98"/>
        <v>0</v>
      </c>
      <c r="J18" s="4">
        <f t="shared" si="98"/>
        <v>0</v>
      </c>
      <c r="K18" s="4">
        <f t="shared" si="98"/>
        <v>30</v>
      </c>
      <c r="L18" s="4">
        <f t="shared" si="1"/>
        <v>30</v>
      </c>
      <c r="N18" s="1" t="s">
        <v>385</v>
      </c>
      <c r="O18" s="4">
        <f t="shared" ref="O18:T18" si="99">IF(ISNUMBER(SEARCH(O$1,$N18)), 1, 0)</f>
        <v>1</v>
      </c>
      <c r="P18" s="4">
        <f t="shared" si="99"/>
        <v>1</v>
      </c>
      <c r="Q18" s="4">
        <f t="shared" si="99"/>
        <v>0</v>
      </c>
      <c r="R18" s="4">
        <f t="shared" si="99"/>
        <v>1</v>
      </c>
      <c r="S18" s="4">
        <f t="shared" si="99"/>
        <v>1</v>
      </c>
      <c r="T18" s="4">
        <f t="shared" si="99"/>
        <v>0</v>
      </c>
      <c r="V18" s="1" t="s">
        <v>24</v>
      </c>
      <c r="W18" s="1" t="str">
        <f t="shared" si="69"/>
        <v>False</v>
      </c>
      <c r="X18" s="1" t="str">
        <f t="shared" si="69"/>
        <v>False</v>
      </c>
      <c r="Y18" s="1" t="str">
        <f t="shared" si="69"/>
        <v>True</v>
      </c>
      <c r="Z18" s="1" t="str">
        <f t="shared" si="69"/>
        <v>False</v>
      </c>
      <c r="AA18" s="1" t="str">
        <f t="shared" si="69"/>
        <v>False</v>
      </c>
      <c r="AB18" s="1" t="s">
        <v>31</v>
      </c>
      <c r="AC18" s="4">
        <f t="shared" ref="AC18:AH18" si="100">IF(ISNUMBER(SEARCH(AC$1,$AB18)), 1, 0)</f>
        <v>0</v>
      </c>
      <c r="AD18" s="4">
        <f t="shared" si="100"/>
        <v>0</v>
      </c>
      <c r="AE18" s="4">
        <f t="shared" si="100"/>
        <v>0</v>
      </c>
      <c r="AF18" s="4">
        <f t="shared" si="100"/>
        <v>1</v>
      </c>
      <c r="AG18" s="4">
        <f t="shared" si="100"/>
        <v>0</v>
      </c>
      <c r="AH18" s="4">
        <f t="shared" si="100"/>
        <v>0</v>
      </c>
      <c r="AI18" s="1">
        <f t="shared" si="5"/>
        <v>1</v>
      </c>
      <c r="AK18" s="1" t="s">
        <v>346</v>
      </c>
      <c r="AL18" s="4">
        <f t="shared" ref="AL18:AS18" si="101">IF(ISNUMBER(SEARCH(AL$1,$AK18)), 1, 0)</f>
        <v>0</v>
      </c>
      <c r="AM18" s="4">
        <f t="shared" si="101"/>
        <v>1</v>
      </c>
      <c r="AN18" s="4">
        <f t="shared" si="101"/>
        <v>1</v>
      </c>
      <c r="AO18" s="4">
        <f t="shared" si="101"/>
        <v>1</v>
      </c>
      <c r="AP18" s="4">
        <f t="shared" si="101"/>
        <v>0</v>
      </c>
      <c r="AQ18" s="4">
        <f t="shared" si="101"/>
        <v>0</v>
      </c>
      <c r="AR18" s="4">
        <f t="shared" si="101"/>
        <v>0</v>
      </c>
      <c r="AS18" s="4">
        <f t="shared" si="101"/>
        <v>0</v>
      </c>
      <c r="AU18" s="1" t="s">
        <v>48</v>
      </c>
      <c r="AV18" s="1">
        <f t="shared" si="7"/>
        <v>0</v>
      </c>
      <c r="AW18" s="1">
        <f t="shared" si="8"/>
        <v>1</v>
      </c>
      <c r="AX18" s="1">
        <f t="shared" si="9"/>
        <v>0</v>
      </c>
      <c r="AY18" s="1" t="s">
        <v>48</v>
      </c>
      <c r="BA18" s="1" t="s">
        <v>500</v>
      </c>
      <c r="BB18" s="4">
        <f t="shared" ref="BB18:BJ18" si="102">IF(ISNUMBER(SEARCH(BB$1,$BA18)), 1, 0)</f>
        <v>0</v>
      </c>
      <c r="BC18" s="4">
        <f t="shared" si="102"/>
        <v>1</v>
      </c>
      <c r="BD18" s="4">
        <f t="shared" si="102"/>
        <v>0</v>
      </c>
      <c r="BE18" s="4">
        <f t="shared" si="102"/>
        <v>0</v>
      </c>
      <c r="BF18" s="4">
        <f t="shared" si="102"/>
        <v>0</v>
      </c>
      <c r="BG18" s="4">
        <f t="shared" si="102"/>
        <v>0</v>
      </c>
      <c r="BH18" s="4">
        <f t="shared" si="102"/>
        <v>0</v>
      </c>
      <c r="BI18" s="4">
        <f t="shared" si="102"/>
        <v>0</v>
      </c>
      <c r="BJ18" s="4">
        <f t="shared" si="102"/>
        <v>1</v>
      </c>
      <c r="BK18" s="4">
        <f t="shared" si="11"/>
        <v>2</v>
      </c>
      <c r="BM18" s="1" t="s">
        <v>218</v>
      </c>
      <c r="BN18" s="1" t="s">
        <v>501</v>
      </c>
      <c r="BO18" s="4">
        <f t="shared" ref="BO18:BU18" si="103">IF(ISNUMBER(SEARCH(BO$1,$BN18)), 1, 0)</f>
        <v>1</v>
      </c>
      <c r="BP18" s="4">
        <f t="shared" si="103"/>
        <v>1</v>
      </c>
      <c r="BQ18" s="4">
        <f t="shared" si="103"/>
        <v>1</v>
      </c>
      <c r="BR18" s="4">
        <f t="shared" si="103"/>
        <v>1</v>
      </c>
      <c r="BS18" s="4">
        <f t="shared" si="103"/>
        <v>0</v>
      </c>
      <c r="BT18" s="4">
        <f t="shared" si="103"/>
        <v>1</v>
      </c>
      <c r="BU18" s="4">
        <f t="shared" si="103"/>
        <v>0</v>
      </c>
      <c r="BY18" s="1" t="s">
        <v>502</v>
      </c>
      <c r="BZ18" s="1" t="s">
        <v>234</v>
      </c>
      <c r="CM18" s="1" t="s">
        <v>47</v>
      </c>
      <c r="CQ18" s="1" t="s">
        <v>48</v>
      </c>
      <c r="DC18" s="1" t="s">
        <v>180</v>
      </c>
    </row>
    <row r="19" spans="1:107" ht="15.75" customHeight="1" x14ac:dyDescent="0.25">
      <c r="A19" s="1" t="b">
        <v>1</v>
      </c>
      <c r="B19" s="3">
        <v>46150.921782407408</v>
      </c>
      <c r="C19" s="1" t="s">
        <v>216</v>
      </c>
      <c r="D19" s="1" t="s">
        <v>10</v>
      </c>
      <c r="E19" s="4">
        <f t="shared" ref="E19:K19" si="104">IF(ISNUMBER(SEARCH(E$1,$D19)), SEARCH(E$1,$D19), 0)</f>
        <v>0</v>
      </c>
      <c r="F19" s="4">
        <f t="shared" si="104"/>
        <v>0</v>
      </c>
      <c r="G19" s="4">
        <f t="shared" si="104"/>
        <v>0</v>
      </c>
      <c r="H19" s="4">
        <f t="shared" si="104"/>
        <v>0</v>
      </c>
      <c r="I19" s="4">
        <f t="shared" si="104"/>
        <v>0</v>
      </c>
      <c r="J19" s="4">
        <f t="shared" si="104"/>
        <v>0</v>
      </c>
      <c r="K19" s="4">
        <f t="shared" si="104"/>
        <v>1</v>
      </c>
      <c r="L19" s="4">
        <f t="shared" si="1"/>
        <v>1</v>
      </c>
      <c r="N19" s="1" t="s">
        <v>14</v>
      </c>
      <c r="O19" s="4">
        <f t="shared" ref="O19:T19" si="105">IF(ISNUMBER(SEARCH(O$1,$N19)), 1, 0)</f>
        <v>1</v>
      </c>
      <c r="P19" s="4">
        <f t="shared" si="105"/>
        <v>0</v>
      </c>
      <c r="Q19" s="4">
        <f t="shared" si="105"/>
        <v>0</v>
      </c>
      <c r="R19" s="4">
        <f t="shared" si="105"/>
        <v>0</v>
      </c>
      <c r="S19" s="4">
        <f t="shared" si="105"/>
        <v>0</v>
      </c>
      <c r="T19" s="4">
        <f t="shared" si="105"/>
        <v>0</v>
      </c>
      <c r="V19" s="1" t="s">
        <v>25</v>
      </c>
      <c r="W19" s="1" t="str">
        <f t="shared" si="69"/>
        <v>False</v>
      </c>
      <c r="X19" s="1" t="str">
        <f t="shared" si="69"/>
        <v>False</v>
      </c>
      <c r="Y19" s="1" t="str">
        <f t="shared" si="69"/>
        <v>False</v>
      </c>
      <c r="Z19" s="1" t="str">
        <f t="shared" si="69"/>
        <v>True</v>
      </c>
      <c r="AA19" s="1" t="str">
        <f t="shared" si="69"/>
        <v>False</v>
      </c>
      <c r="AB19" s="1" t="s">
        <v>28</v>
      </c>
      <c r="AC19" s="4">
        <f t="shared" ref="AC19:AH19" si="106">IF(ISNUMBER(SEARCH(AC$1,$AB19)), 1, 0)</f>
        <v>1</v>
      </c>
      <c r="AD19" s="4">
        <f t="shared" si="106"/>
        <v>0</v>
      </c>
      <c r="AE19" s="4">
        <f t="shared" si="106"/>
        <v>0</v>
      </c>
      <c r="AF19" s="4">
        <f t="shared" si="106"/>
        <v>0</v>
      </c>
      <c r="AG19" s="4">
        <f t="shared" si="106"/>
        <v>0</v>
      </c>
      <c r="AH19" s="4">
        <f t="shared" si="106"/>
        <v>0</v>
      </c>
      <c r="AI19" s="1">
        <f t="shared" si="5"/>
        <v>1</v>
      </c>
      <c r="AK19" s="1" t="s">
        <v>38</v>
      </c>
      <c r="AL19" s="4">
        <f t="shared" ref="AL19:AS19" si="107">IF(ISNUMBER(SEARCH(AL$1,$AK19)), 1, 0)</f>
        <v>0</v>
      </c>
      <c r="AM19" s="4">
        <f t="shared" si="107"/>
        <v>1</v>
      </c>
      <c r="AN19" s="4">
        <f t="shared" si="107"/>
        <v>0</v>
      </c>
      <c r="AO19" s="4">
        <f t="shared" si="107"/>
        <v>0</v>
      </c>
      <c r="AP19" s="4">
        <f t="shared" si="107"/>
        <v>0</v>
      </c>
      <c r="AQ19" s="4">
        <f t="shared" si="107"/>
        <v>0</v>
      </c>
      <c r="AR19" s="4">
        <f t="shared" si="107"/>
        <v>0</v>
      </c>
      <c r="AS19" s="4">
        <f t="shared" si="107"/>
        <v>0</v>
      </c>
      <c r="AU19" s="1" t="s">
        <v>48</v>
      </c>
      <c r="AV19" s="1">
        <f t="shared" si="7"/>
        <v>0</v>
      </c>
      <c r="AW19" s="1">
        <f t="shared" si="8"/>
        <v>1</v>
      </c>
      <c r="AX19" s="1">
        <f t="shared" si="9"/>
        <v>0</v>
      </c>
      <c r="AY19" s="1" t="s">
        <v>48</v>
      </c>
      <c r="BA19" s="1" t="s">
        <v>217</v>
      </c>
      <c r="BB19" s="4">
        <f t="shared" ref="BB19:BJ19" si="108">IF(ISNUMBER(SEARCH(BB$1,$BA19)), 1, 0)</f>
        <v>0</v>
      </c>
      <c r="BC19" s="4">
        <f t="shared" si="108"/>
        <v>0</v>
      </c>
      <c r="BD19" s="4">
        <f t="shared" si="108"/>
        <v>0</v>
      </c>
      <c r="BE19" s="4">
        <f t="shared" si="108"/>
        <v>0</v>
      </c>
      <c r="BF19" s="4">
        <f t="shared" si="108"/>
        <v>0</v>
      </c>
      <c r="BG19" s="4">
        <f t="shared" si="108"/>
        <v>0</v>
      </c>
      <c r="BH19" s="4">
        <f t="shared" si="108"/>
        <v>1</v>
      </c>
      <c r="BI19" s="4">
        <f t="shared" si="108"/>
        <v>1</v>
      </c>
      <c r="BJ19" s="4">
        <f t="shared" si="108"/>
        <v>0</v>
      </c>
      <c r="BK19" s="4">
        <f t="shared" si="11"/>
        <v>2</v>
      </c>
      <c r="BM19" s="1" t="s">
        <v>218</v>
      </c>
      <c r="BN19" s="1" t="s">
        <v>219</v>
      </c>
      <c r="BO19" s="4">
        <f t="shared" ref="BO19:BU19" si="109">IF(ISNUMBER(SEARCH(BO$1,$BN19)), 1, 0)</f>
        <v>1</v>
      </c>
      <c r="BP19" s="4">
        <f t="shared" si="109"/>
        <v>0</v>
      </c>
      <c r="BQ19" s="4">
        <f t="shared" si="109"/>
        <v>0</v>
      </c>
      <c r="BR19" s="4">
        <f t="shared" si="109"/>
        <v>0</v>
      </c>
      <c r="BS19" s="4">
        <f t="shared" si="109"/>
        <v>0</v>
      </c>
      <c r="BT19" s="4">
        <f t="shared" si="109"/>
        <v>1</v>
      </c>
      <c r="BU19" s="4">
        <f t="shared" si="109"/>
        <v>0</v>
      </c>
      <c r="BW19" s="1" t="s">
        <v>220</v>
      </c>
      <c r="CM19" s="1" t="s">
        <v>47</v>
      </c>
      <c r="CQ19" s="1" t="s">
        <v>47</v>
      </c>
      <c r="DC19" s="1" t="s">
        <v>180</v>
      </c>
    </row>
    <row r="20" spans="1:107" ht="15.75" customHeight="1" x14ac:dyDescent="0.25">
      <c r="A20" s="1"/>
      <c r="B20" s="3"/>
      <c r="C20" s="1"/>
      <c r="D20" s="1"/>
      <c r="N20" s="1"/>
      <c r="O20" s="4">
        <f>SUM(O$2:O19)</f>
        <v>16</v>
      </c>
      <c r="P20" s="4">
        <f>SUM(P$2:P19)</f>
        <v>15</v>
      </c>
      <c r="Q20" s="4">
        <f>SUM(Q$2:Q19)</f>
        <v>10</v>
      </c>
      <c r="R20" s="4">
        <f>SUM(R$2:R19)</f>
        <v>11</v>
      </c>
      <c r="S20" s="4">
        <f>SUM(S$2:S19)</f>
        <v>9</v>
      </c>
      <c r="T20" s="4">
        <f>SUM(T$2:T19)</f>
        <v>7</v>
      </c>
      <c r="V20" s="1"/>
      <c r="W20" s="1"/>
      <c r="X20" s="1"/>
      <c r="Y20" s="1"/>
      <c r="Z20" s="1"/>
      <c r="AA20" s="1"/>
      <c r="AB20" s="1"/>
      <c r="AC20" s="4">
        <f>SUM(AC$2:AC19)</f>
        <v>6</v>
      </c>
      <c r="AD20" s="4">
        <f>SUM(AD$2:AD19)</f>
        <v>6</v>
      </c>
      <c r="AE20" s="4">
        <f>SUM(AE$2:AE19)</f>
        <v>5</v>
      </c>
      <c r="AF20" s="4">
        <f>SUM(AF$2:AF19)</f>
        <v>8</v>
      </c>
      <c r="AG20" s="4">
        <f>SUM(AG$2:AG19)</f>
        <v>3</v>
      </c>
      <c r="AH20" s="4">
        <f>SUM(AH$2:AH19)</f>
        <v>4</v>
      </c>
      <c r="AI20" s="1"/>
      <c r="AK20" s="1"/>
      <c r="AL20" s="4">
        <f>SUM(AL$2:AL19)</f>
        <v>8</v>
      </c>
      <c r="AM20" s="4">
        <f>SUM(AM$2:AM19)</f>
        <v>11</v>
      </c>
      <c r="AN20" s="4">
        <f>SUM(AN$2:AN19)</f>
        <v>9</v>
      </c>
      <c r="AO20" s="4">
        <f>SUM(AO$2:AO19)</f>
        <v>9</v>
      </c>
      <c r="AP20" s="4">
        <f>SUM(AP$2:AP19)</f>
        <v>5</v>
      </c>
      <c r="AQ20" s="4">
        <f>SUM(AQ$2:AQ19)</f>
        <v>7</v>
      </c>
      <c r="AR20" s="4">
        <f>SUM(AR$2:AR19)</f>
        <v>5</v>
      </c>
      <c r="AS20" s="4">
        <f>SUM(AS$2:AS19)</f>
        <v>4</v>
      </c>
      <c r="AU20" s="1"/>
      <c r="AV20" s="4">
        <f>SUM(AV$2:AV19)</f>
        <v>6</v>
      </c>
      <c r="AW20" s="4">
        <f>SUM(AW$2:AW19)</f>
        <v>8</v>
      </c>
      <c r="AX20" s="4">
        <f>SUM(AX$2:AX19)</f>
        <v>1</v>
      </c>
      <c r="AY20" s="1"/>
      <c r="BA20" s="1"/>
      <c r="BB20" s="4">
        <f>SUM(BB$2:BB19)</f>
        <v>9</v>
      </c>
      <c r="BC20" s="4">
        <f>SUM(BC$2:BC19)</f>
        <v>11</v>
      </c>
      <c r="BD20" s="4">
        <f>SUM(BD$2:BD19)</f>
        <v>11</v>
      </c>
      <c r="BE20" s="4">
        <f>SUM(BE$2:BE19)</f>
        <v>9</v>
      </c>
      <c r="BF20" s="4">
        <f>SUM(BF$2:BF19)</f>
        <v>11</v>
      </c>
      <c r="BG20" s="4">
        <f>SUM(BG$2:BG19)</f>
        <v>5</v>
      </c>
      <c r="BH20" s="4">
        <f>SUM(BH$2:BH19)</f>
        <v>6</v>
      </c>
      <c r="BI20" s="4">
        <f>SUM(BI$2:BI19)</f>
        <v>6</v>
      </c>
      <c r="BJ20" s="4">
        <f>SUM(BJ$2:BJ19)</f>
        <v>13</v>
      </c>
      <c r="BM20" s="1"/>
      <c r="BN20" s="1"/>
      <c r="BO20" s="4">
        <f>SUM(BO$2:BO19)</f>
        <v>8</v>
      </c>
      <c r="BP20" s="4">
        <f>SUM(BP$2:BP19)</f>
        <v>5</v>
      </c>
      <c r="BQ20" s="4">
        <f>SUM(BQ$2:BQ19)</f>
        <v>4</v>
      </c>
      <c r="BR20" s="4">
        <f>SUM(BR$2:BR19)</f>
        <v>6</v>
      </c>
      <c r="BS20" s="4">
        <f>SUM(BS$2:BS19)</f>
        <v>4</v>
      </c>
      <c r="BT20" s="4">
        <f>SUM(BT$2:BT19)</f>
        <v>6</v>
      </c>
      <c r="BU20" s="4">
        <f>SUM(BU$2:BU19)</f>
        <v>3</v>
      </c>
      <c r="CU20" s="1"/>
      <c r="CW20" s="1"/>
      <c r="CX20" s="1"/>
      <c r="CZ20" s="1"/>
      <c r="DB20" s="1"/>
      <c r="DC20" s="1"/>
    </row>
    <row r="21" spans="1:107" ht="15.75" customHeight="1" x14ac:dyDescent="0.25">
      <c r="A21" s="1"/>
      <c r="B21" s="3"/>
      <c r="C21" s="1"/>
      <c r="D21" s="1"/>
      <c r="N21" s="1"/>
      <c r="O21" s="4">
        <f>(O20/COUNT(O$2:O19))*100</f>
        <v>94.117647058823522</v>
      </c>
      <c r="P21" s="4">
        <f>(P20/COUNT(P$2:P19))*100</f>
        <v>88.235294117647058</v>
      </c>
      <c r="Q21" s="4">
        <f>(Q20/COUNT(Q$2:Q19))*100</f>
        <v>58.82352941176471</v>
      </c>
      <c r="R21" s="4">
        <f>(R20/COUNT(R$2:R19))*100</f>
        <v>64.705882352941174</v>
      </c>
      <c r="S21" s="4">
        <f>(S20/COUNT(S$2:S19))*100</f>
        <v>52.941176470588239</v>
      </c>
      <c r="T21" s="4">
        <f>(T20/COUNT(T$2:T19))*100</f>
        <v>41.17647058823529</v>
      </c>
      <c r="V21" s="1"/>
      <c r="W21" s="1"/>
      <c r="X21" s="1"/>
      <c r="Y21" s="1"/>
      <c r="Z21" s="1"/>
      <c r="AA21" s="1"/>
      <c r="AB21" s="1"/>
      <c r="AC21" s="4">
        <f>(AC20/COUNT(AC$2:AC19))*100</f>
        <v>35.294117647058826</v>
      </c>
      <c r="AD21" s="4">
        <f>(AD20/COUNT(AD$2:AD19))*100</f>
        <v>35.294117647058826</v>
      </c>
      <c r="AE21" s="4">
        <f>(AE20/COUNT(AE$2:AE19))*100</f>
        <v>29.411764705882355</v>
      </c>
      <c r="AF21" s="4">
        <f>(AF20/COUNT(AF$2:AF19))*100</f>
        <v>47.058823529411761</v>
      </c>
      <c r="AG21" s="4">
        <f>(AG20/COUNT(AG$2:AG19))*100</f>
        <v>17.647058823529413</v>
      </c>
      <c r="AH21" s="4">
        <f>(AH20/COUNT(AH$2:AH19))*100</f>
        <v>23.52941176470588</v>
      </c>
      <c r="AI21" s="1"/>
      <c r="AK21" s="1"/>
      <c r="AL21" s="4">
        <f>(AL20/COUNT(AL$2:AL19))*100</f>
        <v>47.058823529411761</v>
      </c>
      <c r="AM21" s="4">
        <f>(AM20/COUNT(AM$2:AM19))*100</f>
        <v>64.705882352941174</v>
      </c>
      <c r="AN21" s="4">
        <f>(AN20/COUNT(AN$2:AN19))*100</f>
        <v>52.941176470588239</v>
      </c>
      <c r="AO21" s="4">
        <f>(AO20/COUNT(AO$2:AO19))*100</f>
        <v>52.941176470588239</v>
      </c>
      <c r="AP21" s="4">
        <f>(AP20/COUNT(AP$2:AP19))*100</f>
        <v>29.411764705882355</v>
      </c>
      <c r="AQ21" s="4">
        <f>(AQ20/COUNT(AQ$2:AQ19))*100</f>
        <v>41.17647058823529</v>
      </c>
      <c r="AR21" s="4">
        <f>(AR20/COUNT(AR$2:AR19))*100</f>
        <v>29.411764705882355</v>
      </c>
      <c r="AS21" s="4">
        <f>(AS20/COUNT(AS$2:AS19))*100</f>
        <v>23.52941176470588</v>
      </c>
      <c r="AU21" s="1"/>
      <c r="AV21" s="4">
        <f>(AV20/COUNT(AV$2:AV19))*100</f>
        <v>35.294117647058826</v>
      </c>
      <c r="AW21" s="4">
        <f>(AW20/COUNT(AW$2:AW19))*100</f>
        <v>47.058823529411761</v>
      </c>
      <c r="AX21" s="4">
        <f>(AX20/COUNT(AX$2:AX19))*100</f>
        <v>5.8823529411764701</v>
      </c>
      <c r="AY21" s="1"/>
      <c r="BA21" s="1"/>
      <c r="BB21" s="4">
        <f>(BB20/COUNT(BB$2:BB19))*100</f>
        <v>52.941176470588239</v>
      </c>
      <c r="BC21" s="4">
        <f>(BC20/COUNT(BC$2:BC19))*100</f>
        <v>64.705882352941174</v>
      </c>
      <c r="BD21" s="4">
        <f>(BD20/COUNT(BD$2:BD19))*100</f>
        <v>64.705882352941174</v>
      </c>
      <c r="BE21" s="4">
        <f>(BE20/COUNT(BE$2:BE19))*100</f>
        <v>52.941176470588239</v>
      </c>
      <c r="BF21" s="4">
        <f>(BF20/COUNT(BF$2:BF19))*100</f>
        <v>64.705882352941174</v>
      </c>
      <c r="BG21" s="4">
        <f>(BG20/COUNT(BG$2:BG19))*100</f>
        <v>29.411764705882355</v>
      </c>
      <c r="BH21" s="4">
        <f>(BH20/COUNT(BH$2:BH19))*100</f>
        <v>35.294117647058826</v>
      </c>
      <c r="BI21" s="4">
        <f>(BI20/COUNT(BI$2:BI19))*100</f>
        <v>35.294117647058826</v>
      </c>
      <c r="BJ21" s="4">
        <f>(BJ20/COUNT(BJ$2:BJ19))*100</f>
        <v>76.470588235294116</v>
      </c>
      <c r="BM21" s="1"/>
      <c r="BN21" s="1"/>
      <c r="BO21" s="4">
        <f>(BO20/COUNT(BO$2:BO19))*100</f>
        <v>47.058823529411761</v>
      </c>
      <c r="BP21" s="4">
        <f>(BP20/COUNT(BP$2:BP19))*100</f>
        <v>29.411764705882355</v>
      </c>
      <c r="BQ21" s="4">
        <f>(BQ20/COUNT(BQ$2:BQ19))*100</f>
        <v>23.52941176470588</v>
      </c>
      <c r="BR21" s="4">
        <f>(BR20/COUNT(BR$2:BR19))*100</f>
        <v>35.294117647058826</v>
      </c>
      <c r="BS21" s="4">
        <f>(BS20/COUNT(BS$2:BS19))*100</f>
        <v>23.52941176470588</v>
      </c>
      <c r="BT21" s="4">
        <f>(BT20/COUNT(BT$2:BT19))*100</f>
        <v>35.294117647058826</v>
      </c>
      <c r="BU21" s="4">
        <f>(BU20/COUNT(BU$2:BU19))*100</f>
        <v>17.647058823529413</v>
      </c>
      <c r="CU21" s="1"/>
      <c r="CX21" s="1"/>
      <c r="CZ21" s="1"/>
      <c r="DC21" s="1"/>
    </row>
    <row r="22" spans="1:107" ht="15.75" customHeight="1" x14ac:dyDescent="0.25">
      <c r="A22" s="1"/>
      <c r="B22" s="3"/>
      <c r="C22" s="1"/>
      <c r="D22" s="1"/>
      <c r="N22" s="1"/>
      <c r="W22" s="1"/>
      <c r="X22" s="1"/>
      <c r="Y22" s="1"/>
      <c r="Z22" s="1"/>
      <c r="AA22" s="1"/>
      <c r="AB22" s="1"/>
      <c r="AI22" s="1"/>
      <c r="AJ22" s="1"/>
      <c r="AK22" s="1"/>
      <c r="AU22" s="1"/>
      <c r="AV22" s="1"/>
      <c r="AW22" s="1"/>
      <c r="AX22" s="1"/>
      <c r="AY22" s="1"/>
      <c r="BA22" s="1"/>
      <c r="BL22" s="1"/>
      <c r="BM22" s="1"/>
      <c r="BN22" s="1"/>
      <c r="BV22" s="1"/>
    </row>
    <row r="23" spans="1:107" ht="15.75" customHeight="1" x14ac:dyDescent="0.25">
      <c r="A23" s="1"/>
      <c r="B23" s="3"/>
      <c r="C23" s="1"/>
      <c r="D23" s="1"/>
      <c r="N23" s="1"/>
      <c r="V23" s="1"/>
      <c r="W23" s="1"/>
      <c r="X23" s="1"/>
      <c r="Y23" s="1"/>
      <c r="Z23" s="1"/>
      <c r="AA23" s="1"/>
      <c r="AB23" s="1"/>
      <c r="AI23" s="1"/>
      <c r="AJ23" s="1"/>
      <c r="AK23" s="1"/>
      <c r="AU23" s="1"/>
      <c r="AV23" s="1"/>
      <c r="AW23" s="1"/>
      <c r="AX23" s="1"/>
      <c r="AY23" s="1"/>
      <c r="BA23" s="1"/>
      <c r="BM23" s="1"/>
      <c r="BN23" s="1"/>
      <c r="BW23" s="1"/>
      <c r="BZ23" s="1"/>
      <c r="CR23" s="1"/>
      <c r="CT23" s="1"/>
      <c r="CU23" s="1"/>
      <c r="CW23" s="1"/>
      <c r="CX23" s="1"/>
      <c r="CZ23" s="1"/>
      <c r="DB23" s="1"/>
      <c r="DC23" s="1"/>
    </row>
    <row r="24" spans="1:107" ht="15.75" customHeight="1" x14ac:dyDescent="0.25">
      <c r="A24" s="1"/>
      <c r="B24" s="3"/>
      <c r="C24" s="1"/>
      <c r="D24" s="1"/>
      <c r="N24" s="1"/>
      <c r="V24" s="1"/>
      <c r="W24" s="1"/>
      <c r="X24" s="1"/>
      <c r="Y24" s="1"/>
      <c r="Z24" s="1"/>
      <c r="AA24" s="1"/>
      <c r="AB24" s="1"/>
      <c r="AI24" s="1"/>
      <c r="AJ24" s="1"/>
      <c r="AK24" s="1"/>
      <c r="AU24" s="1"/>
      <c r="AV24" s="1"/>
      <c r="AW24" s="1"/>
      <c r="AX24" s="1"/>
      <c r="AY24" s="1"/>
      <c r="BA24" s="1"/>
      <c r="BM24" s="1"/>
      <c r="BN24" s="1"/>
      <c r="BV24" s="1"/>
      <c r="BY24" s="1"/>
    </row>
    <row r="25" spans="1:107" ht="15.75" customHeight="1" x14ac:dyDescent="0.25">
      <c r="A25" s="1"/>
      <c r="B25" s="3"/>
      <c r="C25" s="1"/>
      <c r="D25" s="1"/>
      <c r="N25" s="1"/>
      <c r="V25" s="1"/>
      <c r="W25" s="1"/>
      <c r="X25" s="1"/>
      <c r="Y25" s="1"/>
      <c r="Z25" s="1"/>
      <c r="AA25" s="1"/>
      <c r="AB25" s="1"/>
      <c r="AI25" s="1"/>
      <c r="AJ25" s="1"/>
      <c r="AK25" s="1"/>
      <c r="AU25" s="1"/>
      <c r="AV25" s="1"/>
      <c r="AW25" s="1"/>
      <c r="AX25" s="1"/>
      <c r="AY25" s="1"/>
      <c r="AZ25" s="1"/>
      <c r="BA25" s="1"/>
      <c r="BW25" s="1"/>
      <c r="CX25" s="1"/>
      <c r="CZ25" s="1"/>
      <c r="DB25" s="1"/>
      <c r="DC25" s="1"/>
    </row>
    <row r="26" spans="1:107" ht="15.75" customHeight="1" x14ac:dyDescent="0.25">
      <c r="A26" s="1"/>
      <c r="B26" s="3"/>
      <c r="C26" s="1"/>
      <c r="D26" s="1"/>
      <c r="N26" s="1"/>
      <c r="U26" s="1"/>
      <c r="V26" s="1"/>
      <c r="W26" s="1"/>
      <c r="X26" s="1"/>
      <c r="Y26" s="1"/>
      <c r="Z26" s="1"/>
      <c r="AA26" s="1"/>
      <c r="AB26" s="1"/>
      <c r="AI26" s="1"/>
      <c r="AJ26" s="1"/>
      <c r="AK26" s="1"/>
      <c r="AT26" s="1"/>
      <c r="AU26" s="1"/>
      <c r="AV26" s="1"/>
      <c r="AW26" s="1"/>
      <c r="AX26" s="1"/>
      <c r="AY26" s="1"/>
      <c r="BA26" s="1"/>
      <c r="BM26" s="1"/>
      <c r="BN26" s="1"/>
      <c r="CX26" s="1"/>
      <c r="CZ26" s="1"/>
      <c r="DC26" s="1"/>
    </row>
    <row r="27" spans="1:107" ht="15.75" customHeight="1" x14ac:dyDescent="0.25">
      <c r="A27" s="1"/>
      <c r="B27" s="3"/>
      <c r="C27" s="1"/>
      <c r="D27" s="1"/>
      <c r="N27" s="1"/>
      <c r="W27" s="1"/>
      <c r="X27" s="1"/>
      <c r="Y27" s="1"/>
      <c r="Z27" s="1"/>
      <c r="AA27" s="1"/>
      <c r="AB27" s="1"/>
      <c r="AI27" s="1"/>
      <c r="AK27" s="1"/>
      <c r="AU27" s="1"/>
      <c r="AV27" s="1"/>
      <c r="AW27" s="1"/>
      <c r="AX27" s="1"/>
      <c r="AY27" s="1"/>
      <c r="BA27" s="1"/>
      <c r="BM27" s="1"/>
      <c r="BN27" s="1"/>
    </row>
    <row r="28" spans="1:107" ht="15.75" customHeight="1" x14ac:dyDescent="0.25">
      <c r="A28" s="1"/>
      <c r="B28" s="3"/>
      <c r="C28" s="1"/>
      <c r="D28" s="1"/>
      <c r="N28" s="1"/>
      <c r="W28" s="1"/>
      <c r="X28" s="1"/>
      <c r="Y28" s="1"/>
      <c r="Z28" s="1"/>
      <c r="AA28" s="1"/>
      <c r="AB28" s="1"/>
      <c r="AI28" s="1"/>
      <c r="AK28" s="1"/>
      <c r="AU28" s="1"/>
      <c r="AV28" s="1"/>
      <c r="AW28" s="1"/>
      <c r="AX28" s="1"/>
      <c r="AY28" s="1"/>
      <c r="BA28" s="1"/>
      <c r="BM28" s="1"/>
      <c r="BN28" s="1"/>
      <c r="CX28" s="1"/>
      <c r="CZ28" s="1"/>
      <c r="DC28" s="1"/>
    </row>
    <row r="29" spans="1:107" ht="15.75" customHeight="1" x14ac:dyDescent="0.25">
      <c r="A29" s="1"/>
      <c r="B29" s="3"/>
      <c r="C29" s="1"/>
      <c r="D29" s="1"/>
      <c r="N29" s="1"/>
      <c r="W29" s="1"/>
      <c r="X29" s="1"/>
      <c r="Y29" s="1"/>
      <c r="Z29" s="1"/>
      <c r="AA29" s="1"/>
      <c r="AB29" s="1"/>
      <c r="AI29" s="1"/>
      <c r="AK29" s="1"/>
      <c r="AU29" s="1"/>
      <c r="AV29" s="1"/>
      <c r="AW29" s="1"/>
      <c r="AX29" s="1"/>
      <c r="AY29" s="1"/>
      <c r="BA29" s="1"/>
      <c r="BM29" s="1"/>
      <c r="BN29" s="1"/>
      <c r="CX29" s="1"/>
      <c r="CZ29" s="1"/>
      <c r="DC29" s="1"/>
    </row>
    <row r="30" spans="1:107" ht="15.75" customHeight="1" x14ac:dyDescent="0.25">
      <c r="A30" s="1"/>
      <c r="B30" s="3"/>
      <c r="C30" s="1"/>
      <c r="D30" s="1"/>
      <c r="N30" s="1"/>
      <c r="V30" s="1"/>
      <c r="W30" s="1"/>
      <c r="X30" s="1"/>
      <c r="Y30" s="1"/>
      <c r="Z30" s="1"/>
      <c r="AA30" s="1"/>
      <c r="AB30" s="1"/>
      <c r="AI30" s="1"/>
      <c r="AK30" s="1"/>
      <c r="AU30" s="1"/>
      <c r="AV30" s="1"/>
      <c r="AW30" s="1"/>
      <c r="AX30" s="1"/>
      <c r="AY30" s="1"/>
      <c r="BA30" s="1"/>
      <c r="BM30" s="1"/>
      <c r="BN30" s="1"/>
      <c r="CX30" s="1"/>
      <c r="CZ30" s="1"/>
      <c r="DB30" s="1"/>
      <c r="DC30" s="1"/>
    </row>
    <row r="31" spans="1:107" ht="15.75" customHeight="1" x14ac:dyDescent="0.25">
      <c r="A31" s="1"/>
      <c r="B31" s="3"/>
      <c r="C31" s="1"/>
      <c r="D31" s="1"/>
      <c r="N31" s="1"/>
      <c r="W31" s="1"/>
      <c r="X31" s="1"/>
      <c r="Y31" s="1"/>
      <c r="Z31" s="1"/>
      <c r="AA31" s="1"/>
      <c r="AB31" s="1"/>
      <c r="AI31" s="1"/>
      <c r="AK31" s="1"/>
      <c r="AU31" s="1"/>
      <c r="AV31" s="1"/>
      <c r="AW31" s="1"/>
      <c r="AX31" s="1"/>
      <c r="AY31" s="1"/>
      <c r="BA31" s="1"/>
      <c r="BM31" s="1"/>
      <c r="BN31" s="1"/>
      <c r="BW31" s="1"/>
      <c r="BZ31" s="1"/>
      <c r="CA31" s="1"/>
      <c r="CX31" s="1"/>
      <c r="CZ31" s="1"/>
      <c r="DC31" s="1"/>
    </row>
    <row r="32" spans="1:107" ht="15.75" customHeight="1" x14ac:dyDescent="0.25">
      <c r="A32" s="1"/>
      <c r="B32" s="3"/>
      <c r="C32" s="1"/>
      <c r="D32" s="1"/>
      <c r="M32" s="1"/>
      <c r="N32" s="1"/>
      <c r="V32" s="1"/>
      <c r="W32" s="1"/>
      <c r="X32" s="1"/>
      <c r="Y32" s="1"/>
      <c r="Z32" s="1"/>
      <c r="AA32" s="1"/>
      <c r="AB32" s="1"/>
      <c r="AI32" s="1"/>
      <c r="AK32" s="1"/>
      <c r="AU32" s="1"/>
      <c r="AV32" s="1"/>
      <c r="AW32" s="1"/>
      <c r="AX32" s="1"/>
      <c r="AY32" s="1"/>
      <c r="BA32" s="1"/>
      <c r="BM32" s="1"/>
      <c r="BN32" s="1"/>
      <c r="BW32" s="1"/>
      <c r="BZ32" s="1"/>
      <c r="CX32" s="1"/>
      <c r="CZ32" s="1"/>
      <c r="DB32" s="1"/>
      <c r="DC32" s="1"/>
    </row>
    <row r="33" spans="1:107" ht="15.75" customHeight="1" x14ac:dyDescent="0.25">
      <c r="A33" s="1"/>
      <c r="B33" s="3"/>
      <c r="C33" s="1"/>
      <c r="D33" s="1"/>
      <c r="N33" s="1"/>
      <c r="V33" s="1"/>
      <c r="W33" s="1"/>
      <c r="X33" s="1"/>
      <c r="Y33" s="1"/>
      <c r="Z33" s="1"/>
      <c r="AA33" s="1"/>
      <c r="AB33" s="1"/>
      <c r="AI33" s="1"/>
      <c r="AK33" s="1"/>
      <c r="AU33" s="1"/>
      <c r="AV33" s="1"/>
      <c r="AW33" s="1"/>
      <c r="AX33" s="1"/>
      <c r="AY33" s="1"/>
      <c r="BA33" s="1"/>
      <c r="BM33" s="1"/>
      <c r="BN33" s="1"/>
    </row>
    <row r="34" spans="1:107" ht="15.75" customHeight="1" x14ac:dyDescent="0.25">
      <c r="A34" s="1"/>
      <c r="B34" s="3"/>
      <c r="C34" s="1"/>
      <c r="D34" s="1"/>
      <c r="N34" s="1"/>
      <c r="V34" s="1"/>
      <c r="W34" s="1"/>
      <c r="X34" s="1"/>
      <c r="Y34" s="1"/>
      <c r="Z34" s="1"/>
      <c r="AA34" s="1"/>
      <c r="AB34" s="1"/>
      <c r="AI34" s="1"/>
      <c r="AK34" s="1"/>
      <c r="AU34" s="1"/>
      <c r="AV34" s="1"/>
      <c r="AW34" s="1"/>
      <c r="AX34" s="1"/>
      <c r="AY34" s="1"/>
      <c r="BA34" s="1"/>
      <c r="BM34" s="1"/>
      <c r="BN34" s="1"/>
      <c r="BV34" s="1"/>
      <c r="CX34" s="1"/>
      <c r="CZ34" s="1"/>
      <c r="DB34" s="1"/>
      <c r="DC34" s="1"/>
    </row>
    <row r="35" spans="1:107" ht="15.75" customHeight="1" x14ac:dyDescent="0.25">
      <c r="A35" s="1"/>
      <c r="B35" s="3"/>
      <c r="C35" s="1"/>
      <c r="D35" s="1"/>
      <c r="N35" s="1"/>
      <c r="W35" s="1"/>
      <c r="X35" s="1"/>
      <c r="Y35" s="1"/>
      <c r="Z35" s="1"/>
      <c r="AA35" s="1"/>
      <c r="AB35" s="1"/>
      <c r="AI35" s="1"/>
      <c r="AK35" s="1"/>
      <c r="AU35" s="1"/>
      <c r="AV35" s="1"/>
      <c r="AW35" s="1"/>
      <c r="AX35" s="1"/>
      <c r="AY35" s="1"/>
      <c r="BA35" s="1"/>
      <c r="BM35" s="1"/>
      <c r="BN35" s="1"/>
      <c r="BW35" s="1"/>
      <c r="BY35" s="1"/>
      <c r="BZ35" s="1"/>
      <c r="CX35" s="1"/>
      <c r="CZ35" s="1"/>
      <c r="DC35" s="1"/>
    </row>
    <row r="36" spans="1:107" ht="15.75" customHeight="1" x14ac:dyDescent="0.25">
      <c r="A36" s="1"/>
      <c r="B36" s="3"/>
      <c r="C36" s="1"/>
      <c r="D36" s="1"/>
      <c r="N36" s="1"/>
      <c r="V36" s="1"/>
      <c r="W36" s="1"/>
      <c r="X36" s="1"/>
      <c r="Y36" s="1"/>
      <c r="Z36" s="1"/>
      <c r="AA36" s="1"/>
      <c r="AB36" s="1"/>
      <c r="AI36" s="1"/>
      <c r="AK36" s="1"/>
      <c r="AU36" s="1"/>
      <c r="AV36" s="1"/>
      <c r="AW36" s="1"/>
      <c r="AX36" s="1"/>
      <c r="AY36" s="1"/>
      <c r="BA36" s="1"/>
      <c r="BM36" s="1"/>
      <c r="BN36" s="1"/>
      <c r="BV36" s="1"/>
      <c r="BW36" s="1"/>
      <c r="BY36" s="1"/>
      <c r="CX36" s="1"/>
      <c r="CY36" s="1"/>
      <c r="CZ36" s="1"/>
      <c r="DB36" s="1"/>
      <c r="DC36" s="1"/>
    </row>
    <row r="37" spans="1:107" ht="15.75" customHeight="1" x14ac:dyDescent="0.25">
      <c r="A37" s="1"/>
      <c r="B37" s="3"/>
      <c r="C37" s="1"/>
      <c r="D37" s="1"/>
      <c r="N37" s="1"/>
      <c r="W37" s="1"/>
      <c r="X37" s="1"/>
      <c r="Y37" s="1"/>
      <c r="Z37" s="1"/>
      <c r="AA37" s="1"/>
      <c r="AB37" s="1"/>
      <c r="AI37" s="1"/>
      <c r="AK37" s="1"/>
      <c r="AU37" s="1"/>
      <c r="AV37" s="1"/>
      <c r="AW37" s="1"/>
      <c r="AX37" s="1"/>
      <c r="AY37" s="1"/>
      <c r="BA37" s="1"/>
      <c r="BM37" s="1"/>
      <c r="BN37" s="1"/>
      <c r="BW37" s="1"/>
      <c r="CX37" s="1"/>
      <c r="CZ37" s="1"/>
      <c r="DC37" s="1"/>
    </row>
    <row r="38" spans="1:107" ht="15.75" customHeight="1" x14ac:dyDescent="0.25">
      <c r="A38" s="1"/>
      <c r="B38" s="3"/>
      <c r="C38" s="1"/>
      <c r="D38" s="1"/>
      <c r="N38" s="1"/>
      <c r="V38" s="1"/>
      <c r="W38" s="1"/>
      <c r="X38" s="1"/>
      <c r="Y38" s="1"/>
      <c r="Z38" s="1"/>
      <c r="AA38" s="1"/>
      <c r="AB38" s="1"/>
      <c r="AI38" s="1"/>
      <c r="AK38" s="1"/>
      <c r="AU38" s="1"/>
      <c r="AV38" s="1"/>
      <c r="AW38" s="1"/>
      <c r="AX38" s="1"/>
      <c r="AY38" s="1"/>
      <c r="BA38" s="1"/>
      <c r="BM38" s="1"/>
      <c r="BN38" s="1"/>
    </row>
    <row r="39" spans="1:107" ht="15.75" customHeight="1" x14ac:dyDescent="0.25">
      <c r="A39" s="1"/>
      <c r="B39" s="3"/>
      <c r="C39" s="1"/>
      <c r="D39" s="1"/>
      <c r="N39" s="1"/>
      <c r="V39" s="1"/>
      <c r="W39" s="1"/>
      <c r="X39" s="1"/>
      <c r="Y39" s="1"/>
      <c r="Z39" s="1"/>
      <c r="AA39" s="1"/>
      <c r="AB39" s="1"/>
      <c r="AI39" s="1"/>
      <c r="AK39" s="1"/>
      <c r="AU39" s="1"/>
      <c r="AV39" s="1"/>
      <c r="AW39" s="1"/>
      <c r="AX39" s="1"/>
      <c r="AY39" s="1"/>
      <c r="BA39" s="1"/>
      <c r="BM39" s="1"/>
      <c r="BN39" s="1"/>
      <c r="CX39" s="1"/>
      <c r="DB39" s="1"/>
      <c r="DC39" s="1"/>
    </row>
    <row r="40" spans="1:107" ht="15.75" customHeight="1" x14ac:dyDescent="0.25">
      <c r="A40" s="1"/>
      <c r="B40" s="3"/>
      <c r="C40" s="1"/>
      <c r="D40" s="1"/>
      <c r="N40" s="1"/>
      <c r="V40" s="1"/>
      <c r="W40" s="1"/>
      <c r="X40" s="1"/>
      <c r="Y40" s="1"/>
      <c r="Z40" s="1"/>
      <c r="AA40" s="1"/>
      <c r="AB40" s="1"/>
      <c r="AI40" s="1"/>
      <c r="AJ40" s="1"/>
      <c r="AK40" s="1"/>
      <c r="AU40" s="1"/>
      <c r="AV40" s="1"/>
      <c r="AW40" s="1"/>
      <c r="AX40" s="1"/>
      <c r="AY40" s="1"/>
      <c r="BA40" s="1"/>
      <c r="BL40" s="1"/>
      <c r="BM40" s="1"/>
      <c r="CX40" s="1"/>
      <c r="CZ40" s="1"/>
      <c r="DA40" s="1"/>
      <c r="DB40" s="1"/>
      <c r="DC40" s="1"/>
    </row>
    <row r="41" spans="1:107" ht="15.75" customHeight="1" x14ac:dyDescent="0.25">
      <c r="A41" s="1"/>
      <c r="B41" s="3"/>
      <c r="C41" s="1"/>
      <c r="D41" s="1"/>
      <c r="N41" s="1"/>
      <c r="V41" s="1"/>
      <c r="W41" s="1"/>
      <c r="X41" s="1"/>
      <c r="Y41" s="1"/>
      <c r="Z41" s="1"/>
      <c r="AA41" s="1"/>
      <c r="AB41" s="1"/>
      <c r="AI41" s="1"/>
      <c r="AK41" s="1"/>
      <c r="AU41" s="1"/>
      <c r="AV41" s="1"/>
      <c r="AW41" s="1"/>
      <c r="AX41" s="1"/>
      <c r="AY41" s="1"/>
      <c r="BA41" s="1"/>
      <c r="BM41" s="1"/>
      <c r="BN41" s="1"/>
      <c r="BV41" s="1"/>
      <c r="CX41" s="1"/>
      <c r="CZ41" s="1"/>
      <c r="DB41" s="1"/>
    </row>
    <row r="42" spans="1:107" ht="15.75" customHeight="1" x14ac:dyDescent="0.25">
      <c r="A42" s="1"/>
      <c r="B42" s="3"/>
      <c r="C42" s="1"/>
      <c r="D42" s="1"/>
      <c r="N42" s="1"/>
      <c r="V42" s="1"/>
      <c r="W42" s="1"/>
      <c r="X42" s="1"/>
      <c r="Y42" s="1"/>
      <c r="Z42" s="1"/>
      <c r="AA42" s="1"/>
      <c r="AB42" s="1"/>
      <c r="AI42" s="1"/>
      <c r="AK42" s="1"/>
      <c r="AU42" s="1"/>
      <c r="AV42" s="1"/>
      <c r="AW42" s="1"/>
      <c r="AX42" s="1"/>
      <c r="AY42" s="1"/>
      <c r="BA42" s="1"/>
      <c r="BM42" s="1"/>
      <c r="BN42" s="1"/>
      <c r="BV42" s="1"/>
      <c r="CH42" s="1"/>
      <c r="CI42" s="1"/>
      <c r="CJ42" s="1"/>
      <c r="CK42" s="1"/>
      <c r="CL42" s="1"/>
      <c r="CX42" s="1"/>
      <c r="CZ42" s="1"/>
      <c r="DC42" s="1"/>
    </row>
    <row r="43" spans="1:107" ht="15.75" customHeight="1" x14ac:dyDescent="0.25">
      <c r="A43" s="1"/>
      <c r="B43" s="3"/>
      <c r="C43" s="1"/>
      <c r="D43" s="1"/>
      <c r="N43" s="1"/>
      <c r="V43" s="1"/>
      <c r="W43" s="1"/>
      <c r="X43" s="1"/>
      <c r="Y43" s="1"/>
      <c r="Z43" s="1"/>
      <c r="AA43" s="1"/>
      <c r="AB43" s="1"/>
      <c r="AI43" s="1"/>
      <c r="AK43" s="1"/>
      <c r="AU43" s="1"/>
      <c r="AV43" s="1"/>
      <c r="AW43" s="1"/>
      <c r="AX43" s="1"/>
      <c r="AY43" s="1"/>
      <c r="BA43" s="1"/>
      <c r="BM43" s="1"/>
      <c r="BN43" s="1"/>
      <c r="CH43" s="1"/>
      <c r="CI43" s="1"/>
      <c r="CJ43" s="1"/>
      <c r="CL43" s="1"/>
      <c r="CX43" s="1"/>
      <c r="CZ43" s="1"/>
      <c r="DB43" s="1"/>
    </row>
    <row r="44" spans="1:107" ht="15.75" customHeight="1" x14ac:dyDescent="0.25">
      <c r="A44" s="1"/>
      <c r="B44" s="3"/>
      <c r="C44" s="1"/>
      <c r="D44" s="1"/>
      <c r="N44" s="1"/>
      <c r="V44" s="1"/>
      <c r="W44" s="1"/>
      <c r="X44" s="1"/>
      <c r="Y44" s="1"/>
      <c r="Z44" s="1"/>
      <c r="AA44" s="1"/>
      <c r="AB44" s="1"/>
      <c r="AI44" s="1"/>
      <c r="AK44" s="1"/>
      <c r="AU44" s="1"/>
      <c r="AV44" s="1"/>
      <c r="AW44" s="1"/>
      <c r="AX44" s="1"/>
      <c r="AY44" s="1"/>
      <c r="BA44" s="1"/>
      <c r="BM44" s="1"/>
      <c r="BN44" s="1"/>
      <c r="BW44" s="1"/>
      <c r="CB44" s="1"/>
      <c r="CF44" s="1"/>
      <c r="CG44" s="1"/>
      <c r="CH44" s="1"/>
      <c r="CL44" s="1"/>
      <c r="CX44" s="1"/>
      <c r="CZ44" s="1"/>
      <c r="DB44" s="1"/>
      <c r="DC44" s="1"/>
    </row>
    <row r="45" spans="1:107" ht="15.75" customHeight="1" x14ac:dyDescent="0.25">
      <c r="A45" s="1"/>
      <c r="B45" s="3"/>
      <c r="C45" s="1"/>
      <c r="D45" s="1"/>
      <c r="N45" s="1"/>
      <c r="V45" s="1"/>
      <c r="W45" s="1"/>
      <c r="X45" s="1"/>
      <c r="Y45" s="1"/>
      <c r="Z45" s="1"/>
      <c r="AA45" s="1"/>
      <c r="AB45" s="1"/>
      <c r="AI45" s="1"/>
      <c r="AK45" s="1"/>
      <c r="AU45" s="1"/>
      <c r="AV45" s="1"/>
      <c r="AW45" s="1"/>
      <c r="AX45" s="1"/>
      <c r="AY45" s="1"/>
      <c r="BA45" s="1"/>
      <c r="BM45" s="1"/>
      <c r="BN45" s="1"/>
      <c r="CX45" s="1"/>
      <c r="CZ45" s="1"/>
      <c r="DB45" s="1"/>
      <c r="DC45" s="1"/>
    </row>
    <row r="46" spans="1:107" ht="15.75" customHeight="1" x14ac:dyDescent="0.25">
      <c r="A46" s="1"/>
      <c r="B46" s="3"/>
      <c r="C46" s="1"/>
      <c r="D46" s="1"/>
      <c r="N46" s="1"/>
      <c r="V46" s="1"/>
      <c r="W46" s="1"/>
      <c r="X46" s="1"/>
      <c r="Y46" s="1"/>
      <c r="Z46" s="1"/>
      <c r="AA46" s="1"/>
      <c r="AB46" s="1"/>
      <c r="AI46" s="1"/>
      <c r="AK46" s="1"/>
      <c r="AU46" s="1"/>
      <c r="AV46" s="1"/>
      <c r="AW46" s="1"/>
      <c r="AX46" s="1"/>
      <c r="AY46" s="1"/>
      <c r="BA46" s="1"/>
      <c r="BM46" s="1"/>
      <c r="BN46" s="1"/>
      <c r="CX46" s="1"/>
      <c r="CZ46" s="1"/>
      <c r="DB46" s="1"/>
      <c r="DC46" s="1"/>
    </row>
    <row r="47" spans="1:107" ht="15.75" customHeight="1" x14ac:dyDescent="0.25">
      <c r="A47" s="1"/>
      <c r="B47" s="3"/>
      <c r="C47" s="1"/>
      <c r="D47" s="1"/>
      <c r="N47" s="1"/>
      <c r="W47" s="1"/>
      <c r="X47" s="1"/>
      <c r="Y47" s="1"/>
      <c r="Z47" s="1"/>
      <c r="AA47" s="1"/>
      <c r="AB47" s="1"/>
      <c r="AI47" s="1"/>
      <c r="AK47" s="1"/>
      <c r="AU47" s="1"/>
      <c r="AV47" s="1"/>
      <c r="AW47" s="1"/>
      <c r="AX47" s="1"/>
      <c r="AY47" s="1"/>
      <c r="BA47" s="1"/>
      <c r="BM47" s="1"/>
      <c r="BN47" s="1"/>
      <c r="BW47" s="1"/>
      <c r="BZ47" s="1"/>
      <c r="CX47" s="1"/>
      <c r="CZ47" s="1"/>
      <c r="DB47" s="1"/>
      <c r="DC47" s="1"/>
    </row>
    <row r="48" spans="1:107" ht="15.75" customHeight="1" x14ac:dyDescent="0.25">
      <c r="A48" s="1"/>
      <c r="B48" s="3"/>
      <c r="C48" s="1"/>
      <c r="D48" s="1"/>
      <c r="N48" s="1"/>
      <c r="W48" s="1"/>
      <c r="X48" s="1"/>
      <c r="Y48" s="1"/>
      <c r="Z48" s="1"/>
      <c r="AA48" s="1"/>
      <c r="AB48" s="1"/>
      <c r="AI48" s="1"/>
      <c r="AK48" s="1"/>
      <c r="AU48" s="1"/>
      <c r="AV48" s="1"/>
      <c r="AW48" s="1"/>
      <c r="AX48" s="1"/>
      <c r="AY48" s="1"/>
      <c r="AZ48" s="1"/>
      <c r="BA48" s="1"/>
      <c r="BW48" s="1"/>
      <c r="CX48" s="1"/>
      <c r="CZ48" s="1"/>
      <c r="DB48" s="1"/>
      <c r="DC48" s="1"/>
    </row>
    <row r="49" spans="1:107" ht="15.75" customHeight="1" x14ac:dyDescent="0.25">
      <c r="A49" s="1"/>
      <c r="B49" s="3"/>
      <c r="C49" s="1"/>
      <c r="D49" s="1"/>
      <c r="N49" s="1"/>
      <c r="W49" s="1"/>
      <c r="X49" s="1"/>
      <c r="Y49" s="1"/>
      <c r="Z49" s="1"/>
      <c r="AA49" s="1"/>
      <c r="AB49" s="1"/>
      <c r="AI49" s="1"/>
      <c r="AJ49" s="1"/>
      <c r="AK49" s="1"/>
      <c r="AT49" s="1"/>
      <c r="AU49" s="1"/>
      <c r="AV49" s="1"/>
      <c r="AW49" s="1"/>
      <c r="AX49" s="1"/>
      <c r="AY49" s="1"/>
      <c r="BA49" s="1"/>
      <c r="BM49" s="1"/>
      <c r="BN49" s="1"/>
      <c r="BV49" s="1"/>
      <c r="BW49" s="1"/>
      <c r="BZ49" s="1"/>
      <c r="CX49" s="1"/>
      <c r="DC49" s="1"/>
    </row>
    <row r="50" spans="1:107" ht="15.75" customHeight="1" x14ac:dyDescent="0.25">
      <c r="A50" s="1"/>
      <c r="B50" s="3"/>
      <c r="C50" s="1"/>
      <c r="D50" s="1"/>
      <c r="N50" s="1"/>
      <c r="V50" s="1"/>
      <c r="W50" s="1"/>
      <c r="X50" s="1"/>
      <c r="Y50" s="1"/>
      <c r="Z50" s="1"/>
      <c r="AA50" s="1"/>
      <c r="AB50" s="1"/>
      <c r="AI50" s="1"/>
      <c r="AK50" s="1"/>
      <c r="AU50" s="1"/>
      <c r="AV50" s="1"/>
      <c r="AW50" s="1"/>
      <c r="AX50" s="1"/>
      <c r="AY50" s="1"/>
      <c r="BA50" s="1"/>
      <c r="BM50" s="1"/>
      <c r="BN50" s="1"/>
      <c r="BW50" s="1"/>
      <c r="CX50" s="1"/>
      <c r="CZ50" s="1"/>
      <c r="DC50" s="1"/>
    </row>
    <row r="51" spans="1:107" ht="15.75" customHeight="1" x14ac:dyDescent="0.25">
      <c r="A51" s="1"/>
      <c r="B51" s="3"/>
      <c r="C51" s="1"/>
      <c r="D51" s="1"/>
      <c r="N51" s="1"/>
      <c r="W51" s="1"/>
      <c r="X51" s="1"/>
      <c r="Y51" s="1"/>
      <c r="Z51" s="1"/>
      <c r="AA51" s="1"/>
      <c r="AB51" s="1"/>
      <c r="AI51" s="1"/>
      <c r="AJ51" s="1"/>
      <c r="AK51" s="1"/>
      <c r="AU51" s="1"/>
      <c r="AV51" s="1"/>
      <c r="AW51" s="1"/>
      <c r="AX51" s="1"/>
      <c r="AY51" s="1"/>
      <c r="BA51" s="1"/>
      <c r="BM51" s="1"/>
      <c r="BN51" s="1"/>
      <c r="CX51" s="1"/>
      <c r="CZ51" s="1"/>
      <c r="DC51" s="1"/>
    </row>
    <row r="52" spans="1:107" ht="15.75" customHeight="1" x14ac:dyDescent="0.25">
      <c r="A52" s="1"/>
      <c r="B52" s="3"/>
      <c r="C52" s="1"/>
      <c r="D52" s="1"/>
      <c r="N52" s="1"/>
      <c r="V52" s="1"/>
      <c r="W52" s="1"/>
      <c r="X52" s="1"/>
      <c r="Y52" s="1"/>
      <c r="Z52" s="1"/>
      <c r="AA52" s="1"/>
      <c r="AI52" s="1"/>
      <c r="AK52" s="1"/>
      <c r="AU52" s="1"/>
      <c r="AV52" s="1"/>
      <c r="AW52" s="1"/>
      <c r="AX52" s="1"/>
      <c r="AY52" s="1"/>
      <c r="BA52" s="1"/>
      <c r="BM52" s="1"/>
      <c r="BN52" s="1"/>
      <c r="CX52" s="1"/>
      <c r="CZ52" s="1"/>
      <c r="DA52" s="1"/>
      <c r="DB52" s="1"/>
      <c r="DC52" s="1"/>
    </row>
    <row r="53" spans="1:107" ht="15.75" customHeight="1" x14ac:dyDescent="0.25">
      <c r="A53" s="1"/>
      <c r="B53" s="3"/>
      <c r="C53" s="1"/>
      <c r="D53" s="1"/>
      <c r="N53" s="1"/>
      <c r="W53" s="1"/>
      <c r="X53" s="1"/>
      <c r="Y53" s="1"/>
      <c r="Z53" s="1"/>
      <c r="AA53" s="1"/>
      <c r="AB53" s="1"/>
      <c r="AI53" s="1"/>
      <c r="AK53" s="1"/>
      <c r="AU53" s="1"/>
      <c r="AV53" s="1"/>
      <c r="AW53" s="1"/>
      <c r="AX53" s="1"/>
      <c r="AY53" s="1"/>
      <c r="AZ53" s="1"/>
      <c r="CX53" s="1"/>
      <c r="CZ53" s="1"/>
      <c r="DC53" s="1"/>
    </row>
    <row r="54" spans="1:107" ht="15.75" customHeight="1" x14ac:dyDescent="0.25">
      <c r="A54" s="1"/>
      <c r="B54" s="3"/>
      <c r="C54" s="1"/>
      <c r="D54" s="1"/>
      <c r="N54" s="1"/>
      <c r="W54" s="1"/>
      <c r="X54" s="1"/>
      <c r="Y54" s="1"/>
      <c r="Z54" s="1"/>
      <c r="AA54" s="1"/>
      <c r="AB54" s="1"/>
      <c r="AI54" s="1"/>
      <c r="AK54" s="1"/>
      <c r="AU54" s="1"/>
      <c r="AV54" s="1"/>
      <c r="AW54" s="1"/>
      <c r="AX54" s="1"/>
      <c r="AY54" s="1"/>
      <c r="BA54" s="1"/>
      <c r="BM54" s="1"/>
      <c r="BN54" s="1"/>
      <c r="CX54" s="1"/>
      <c r="CZ54" s="1"/>
      <c r="DC54" s="1"/>
    </row>
    <row r="55" spans="1:107" ht="15.75" customHeight="1" x14ac:dyDescent="0.25">
      <c r="A55" s="1"/>
      <c r="B55" s="3"/>
      <c r="C55" s="1"/>
      <c r="D55" s="1"/>
      <c r="N55" s="1"/>
      <c r="W55" s="1"/>
      <c r="X55" s="1"/>
      <c r="Y55" s="1"/>
      <c r="Z55" s="1"/>
      <c r="AA55" s="1"/>
      <c r="AB55" s="1"/>
      <c r="AI55" s="1"/>
      <c r="AK55" s="1"/>
      <c r="AU55" s="1"/>
      <c r="AV55" s="1"/>
      <c r="AW55" s="1"/>
      <c r="AX55" s="1"/>
      <c r="AY55" s="1"/>
      <c r="BA55" s="1"/>
      <c r="BM55" s="1"/>
      <c r="BN55" s="1"/>
      <c r="CX55" s="1"/>
      <c r="CZ55" s="1"/>
      <c r="DC55" s="1"/>
    </row>
    <row r="56" spans="1:107" ht="15.75" customHeight="1" x14ac:dyDescent="0.25">
      <c r="A56" s="1"/>
      <c r="B56" s="3"/>
      <c r="C56" s="1"/>
      <c r="D56" s="1"/>
      <c r="N56" s="1"/>
      <c r="W56" s="1"/>
      <c r="X56" s="1"/>
      <c r="Y56" s="1"/>
      <c r="Z56" s="1"/>
      <c r="AA56" s="1"/>
      <c r="AB56" s="1"/>
      <c r="AI56" s="1"/>
      <c r="AK56" s="1"/>
      <c r="AU56" s="1"/>
      <c r="AV56" s="1"/>
      <c r="AW56" s="1"/>
      <c r="AX56" s="1"/>
      <c r="AY56" s="1"/>
      <c r="BA56" s="1"/>
      <c r="BM56" s="1"/>
      <c r="BN56" s="1"/>
      <c r="CH56" s="1"/>
      <c r="CJ56" s="1"/>
      <c r="CL56" s="1"/>
      <c r="CX56" s="1"/>
      <c r="CZ56" s="1"/>
      <c r="DC56" s="1"/>
    </row>
    <row r="57" spans="1:107" ht="15.75" customHeight="1" x14ac:dyDescent="0.25">
      <c r="A57" s="1"/>
      <c r="B57" s="3"/>
      <c r="C57" s="1"/>
      <c r="D57" s="1"/>
      <c r="N57" s="1"/>
      <c r="V57" s="1"/>
      <c r="W57" s="1"/>
      <c r="X57" s="1"/>
      <c r="Y57" s="1"/>
      <c r="Z57" s="1"/>
      <c r="AA57" s="1"/>
      <c r="AB57" s="1"/>
      <c r="AI57" s="1"/>
      <c r="AJ57" s="1"/>
      <c r="AK57" s="1"/>
      <c r="AU57" s="1"/>
      <c r="AV57" s="1"/>
      <c r="AW57" s="1"/>
      <c r="AX57" s="1"/>
      <c r="AY57" s="1"/>
      <c r="BA57" s="1"/>
      <c r="BM57" s="1"/>
      <c r="BN57" s="1"/>
      <c r="CH57" s="1"/>
      <c r="CI57" s="1"/>
      <c r="CJ57" s="1"/>
      <c r="CL57" s="1"/>
      <c r="CX57" s="1"/>
      <c r="CZ57" s="1"/>
      <c r="DB57" s="1"/>
      <c r="DC57" s="1"/>
    </row>
    <row r="58" spans="1:107" ht="15.75" customHeight="1" x14ac:dyDescent="0.25">
      <c r="A58" s="1"/>
      <c r="B58" s="3"/>
      <c r="C58" s="1"/>
      <c r="D58" s="1"/>
      <c r="N58" s="1"/>
      <c r="V58" s="1"/>
      <c r="W58" s="1"/>
      <c r="X58" s="1"/>
      <c r="Y58" s="1"/>
      <c r="Z58" s="1"/>
      <c r="AA58" s="1"/>
      <c r="AB58" s="1"/>
      <c r="AI58" s="1"/>
      <c r="AJ58" s="1"/>
      <c r="AK58" s="1"/>
      <c r="AU58" s="1"/>
      <c r="AV58" s="1"/>
      <c r="AW58" s="1"/>
      <c r="AX58" s="1"/>
      <c r="AY58" s="1"/>
      <c r="BA58" s="1"/>
      <c r="BM58" s="1"/>
      <c r="BN58" s="1"/>
      <c r="BV58" s="1"/>
      <c r="CH58" s="1"/>
      <c r="CI58" s="1"/>
      <c r="CL58" s="1"/>
      <c r="CX58" s="1"/>
      <c r="CZ58" s="1"/>
      <c r="DB58" s="1"/>
      <c r="DC58" s="1"/>
    </row>
    <row r="59" spans="1:107" ht="15.75" customHeight="1" x14ac:dyDescent="0.25">
      <c r="A59" s="1"/>
      <c r="B59" s="3"/>
      <c r="C59" s="1"/>
      <c r="D59" s="1"/>
      <c r="N59" s="1"/>
      <c r="V59" s="1"/>
      <c r="W59" s="1"/>
      <c r="X59" s="1"/>
      <c r="Y59" s="1"/>
      <c r="Z59" s="1"/>
      <c r="AA59" s="1"/>
      <c r="AB59" s="1"/>
      <c r="AI59" s="1"/>
      <c r="AK59" s="1"/>
      <c r="AU59" s="1"/>
      <c r="AV59" s="1"/>
      <c r="AW59" s="1"/>
      <c r="AX59" s="1"/>
      <c r="AY59" s="1"/>
      <c r="BA59" s="1"/>
      <c r="BM59" s="1"/>
      <c r="BN59" s="1"/>
      <c r="BW59" s="1"/>
      <c r="BZ59" s="1"/>
      <c r="CR59" s="1"/>
      <c r="CT59" s="1"/>
      <c r="CU59" s="1"/>
      <c r="CX59" s="1"/>
      <c r="CY59" s="1"/>
      <c r="CZ59" s="1"/>
      <c r="DC59" s="1"/>
    </row>
    <row r="60" spans="1:107" ht="15.75" customHeight="1" x14ac:dyDescent="0.25">
      <c r="A60" s="1"/>
      <c r="B60" s="3"/>
      <c r="C60" s="1"/>
      <c r="D60" s="1"/>
      <c r="N60" s="1"/>
      <c r="V60" s="1"/>
      <c r="W60" s="1"/>
      <c r="X60" s="1"/>
      <c r="Y60" s="1"/>
      <c r="Z60" s="1"/>
      <c r="AA60" s="1"/>
      <c r="AB60" s="1"/>
      <c r="AI60" s="1"/>
      <c r="AK60" s="1"/>
      <c r="AU60" s="1"/>
      <c r="AV60" s="1"/>
      <c r="AW60" s="1"/>
      <c r="AX60" s="1"/>
      <c r="AY60" s="1"/>
      <c r="BA60" s="1"/>
      <c r="BM60" s="1"/>
      <c r="BN60" s="1"/>
      <c r="BW60" s="1"/>
      <c r="BZ60" s="1"/>
      <c r="CX60" s="1"/>
      <c r="CZ60" s="1"/>
      <c r="DA60" s="1"/>
      <c r="DB60" s="1"/>
      <c r="DC60" s="1"/>
    </row>
    <row r="61" spans="1:107" ht="15.75" customHeight="1" x14ac:dyDescent="0.25">
      <c r="A61" s="1"/>
      <c r="B61" s="3"/>
      <c r="C61" s="1"/>
      <c r="D61" s="1"/>
      <c r="N61" s="1"/>
      <c r="V61" s="1"/>
      <c r="W61" s="1"/>
      <c r="X61" s="1"/>
      <c r="Y61" s="1"/>
      <c r="Z61" s="1"/>
      <c r="AA61" s="1"/>
      <c r="AB61" s="1"/>
      <c r="AI61" s="1"/>
      <c r="AK61" s="1"/>
      <c r="AU61" s="1"/>
      <c r="AV61" s="1"/>
      <c r="AW61" s="1"/>
      <c r="AX61" s="1"/>
      <c r="AY61" s="1"/>
      <c r="BA61" s="1"/>
      <c r="BM61" s="1"/>
      <c r="BN61" s="1"/>
      <c r="BW61" s="1"/>
      <c r="BZ61" s="1"/>
      <c r="CX61" s="1"/>
      <c r="CZ61" s="1"/>
      <c r="DC61" s="1"/>
    </row>
    <row r="62" spans="1:107" ht="15.75" customHeight="1" x14ac:dyDescent="0.25">
      <c r="A62" s="1"/>
      <c r="B62" s="3"/>
      <c r="C62" s="1"/>
      <c r="D62" s="1"/>
      <c r="N62" s="1"/>
      <c r="U62" s="1"/>
      <c r="V62" s="1"/>
      <c r="W62" s="1"/>
      <c r="X62" s="1"/>
      <c r="Y62" s="1"/>
      <c r="Z62" s="1"/>
      <c r="AA62" s="1"/>
      <c r="AB62" s="1"/>
      <c r="AI62" s="1"/>
      <c r="AK62" s="1"/>
      <c r="AT62" s="1"/>
      <c r="AU62" s="1"/>
      <c r="AV62" s="1"/>
      <c r="AW62" s="1"/>
      <c r="AX62" s="1"/>
      <c r="AY62" s="1"/>
      <c r="BA62" s="1"/>
      <c r="BM62" s="1"/>
      <c r="BN62" s="1"/>
      <c r="CX62" s="1"/>
      <c r="CZ62" s="1"/>
      <c r="DB62" s="1"/>
      <c r="DC62" s="1"/>
    </row>
    <row r="63" spans="1:107" ht="15.75" customHeight="1" x14ac:dyDescent="0.25">
      <c r="A63" s="1"/>
      <c r="B63" s="3"/>
      <c r="C63" s="1"/>
      <c r="D63" s="1"/>
      <c r="N63" s="1"/>
      <c r="W63" s="1"/>
      <c r="X63" s="1"/>
      <c r="Y63" s="1"/>
      <c r="Z63" s="1"/>
      <c r="AA63" s="1"/>
      <c r="AB63" s="1"/>
      <c r="AI63" s="1"/>
      <c r="AJ63" s="1"/>
      <c r="AK63" s="1"/>
      <c r="AU63" s="1"/>
      <c r="AV63" s="1"/>
      <c r="AW63" s="1"/>
      <c r="AX63" s="1"/>
      <c r="AY63" s="1"/>
      <c r="BA63" s="1"/>
      <c r="BM63" s="1"/>
      <c r="BN63" s="1"/>
      <c r="CX63" s="1"/>
      <c r="CZ63" s="1"/>
      <c r="DC63" s="1"/>
    </row>
    <row r="64" spans="1:107" ht="15.75" customHeight="1" x14ac:dyDescent="0.25">
      <c r="A64" s="1"/>
      <c r="B64" s="3"/>
      <c r="C64" s="1"/>
      <c r="D64" s="1"/>
      <c r="N64" s="1"/>
      <c r="V64" s="1"/>
      <c r="W64" s="1"/>
      <c r="X64" s="1"/>
      <c r="Y64" s="1"/>
      <c r="Z64" s="1"/>
      <c r="AA64" s="1"/>
      <c r="AB64" s="1"/>
      <c r="AI64" s="1"/>
      <c r="AK64" s="1"/>
      <c r="AU64" s="1"/>
      <c r="AV64" s="1"/>
      <c r="AW64" s="1"/>
      <c r="AX64" s="1"/>
      <c r="AY64" s="1"/>
      <c r="BA64" s="1"/>
      <c r="BM64" s="1"/>
      <c r="BN64" s="1"/>
      <c r="CX64" s="1"/>
      <c r="CZ64" s="1"/>
      <c r="DC64" s="1"/>
    </row>
    <row r="65" spans="1:107" ht="15.75" customHeight="1" x14ac:dyDescent="0.25">
      <c r="A65" s="1"/>
      <c r="B65" s="3"/>
      <c r="C65" s="1"/>
      <c r="D65" s="1"/>
      <c r="N65" s="1"/>
      <c r="V65" s="1"/>
      <c r="W65" s="1"/>
      <c r="X65" s="1"/>
      <c r="Y65" s="1"/>
      <c r="Z65" s="1"/>
      <c r="AA65" s="1"/>
      <c r="AB65" s="1"/>
      <c r="AI65" s="1"/>
      <c r="AK65" s="1"/>
      <c r="AU65" s="1"/>
      <c r="AV65" s="1"/>
      <c r="AW65" s="1"/>
      <c r="AX65" s="1"/>
      <c r="AY65" s="1"/>
      <c r="BA65" s="1"/>
      <c r="BM65" s="1"/>
      <c r="BN65" s="1"/>
      <c r="BV65" s="1"/>
      <c r="BW65" s="1"/>
      <c r="CX65" s="1"/>
      <c r="CY65" s="1"/>
      <c r="CZ65" s="1"/>
      <c r="DB65" s="1"/>
      <c r="DC65" s="1"/>
    </row>
    <row r="66" spans="1:107" ht="15.75" customHeight="1" x14ac:dyDescent="0.25">
      <c r="A66" s="1"/>
      <c r="B66" s="3"/>
      <c r="C66" s="1"/>
      <c r="D66" s="1"/>
      <c r="N66" s="1"/>
      <c r="W66" s="1"/>
      <c r="X66" s="1"/>
      <c r="Y66" s="1"/>
      <c r="Z66" s="1"/>
      <c r="AA66" s="1"/>
      <c r="AI66" s="1"/>
      <c r="AV66" s="1"/>
      <c r="AW66" s="1"/>
      <c r="AX66" s="1"/>
    </row>
    <row r="67" spans="1:107" ht="15.75" customHeight="1" x14ac:dyDescent="0.25">
      <c r="A67" s="1"/>
      <c r="B67" s="3"/>
      <c r="C67" s="1"/>
      <c r="D67" s="1"/>
      <c r="N67" s="1"/>
      <c r="W67" s="1"/>
      <c r="X67" s="1"/>
      <c r="Y67" s="1"/>
      <c r="Z67" s="1"/>
      <c r="AA67" s="1"/>
      <c r="AI67" s="1"/>
      <c r="AV67" s="1"/>
      <c r="AW67" s="1"/>
      <c r="AX67" s="1"/>
    </row>
    <row r="68" spans="1:107" ht="15.75" customHeight="1" x14ac:dyDescent="0.25">
      <c r="A68" s="1"/>
      <c r="B68" s="3"/>
      <c r="C68" s="1"/>
      <c r="D68" s="1"/>
      <c r="N68" s="1"/>
      <c r="W68" s="1"/>
      <c r="X68" s="1"/>
      <c r="Y68" s="1"/>
      <c r="Z68" s="1"/>
      <c r="AA68" s="1"/>
      <c r="AI68" s="1"/>
      <c r="AV68" s="1"/>
      <c r="AW68" s="1"/>
      <c r="AX68" s="1"/>
    </row>
    <row r="69" spans="1:107" ht="15.75" customHeight="1" x14ac:dyDescent="0.25">
      <c r="A69" s="1"/>
      <c r="B69" s="3"/>
      <c r="C69" s="1"/>
      <c r="D69" s="1"/>
      <c r="N69" s="1"/>
      <c r="V69" s="1"/>
      <c r="W69" s="1"/>
      <c r="X69" s="1"/>
      <c r="Y69" s="1"/>
      <c r="Z69" s="1"/>
      <c r="AA69" s="1"/>
      <c r="AB69" s="1"/>
      <c r="AI69" s="1"/>
      <c r="AK69" s="1"/>
      <c r="AU69" s="1"/>
      <c r="AV69" s="1"/>
      <c r="AW69" s="1"/>
      <c r="AX69" s="1"/>
      <c r="AY69" s="1"/>
      <c r="BA69" s="1"/>
      <c r="BM69" s="1"/>
      <c r="BN69" s="1"/>
      <c r="BW69" s="1"/>
      <c r="CB69" s="1"/>
      <c r="CF69" s="1"/>
      <c r="CG69" s="1"/>
      <c r="CU69" s="1"/>
    </row>
    <row r="70" spans="1:107" ht="15.75" customHeight="1" x14ac:dyDescent="0.25">
      <c r="A70" s="1"/>
      <c r="B70" s="3"/>
      <c r="C70" s="1"/>
      <c r="D70" s="1"/>
      <c r="N70" s="1"/>
      <c r="V70" s="1"/>
      <c r="W70" s="1"/>
      <c r="X70" s="1"/>
      <c r="Y70" s="1"/>
      <c r="Z70" s="1"/>
      <c r="AA70" s="1"/>
      <c r="AI70" s="1"/>
      <c r="AK70" s="1"/>
      <c r="AU70" s="1"/>
      <c r="AV70" s="1"/>
      <c r="AW70" s="1"/>
      <c r="AX70" s="1"/>
      <c r="AY70" s="1"/>
      <c r="BA70" s="1"/>
      <c r="BM70" s="1"/>
      <c r="BN70" s="1"/>
      <c r="BV70" s="1"/>
      <c r="DC70" s="1"/>
    </row>
    <row r="71" spans="1:107" ht="15.75" customHeight="1" x14ac:dyDescent="0.25">
      <c r="A71" s="1"/>
      <c r="B71" s="3"/>
      <c r="C71" s="1"/>
      <c r="D71" s="1"/>
      <c r="N71" s="1"/>
      <c r="V71" s="1"/>
      <c r="W71" s="1"/>
      <c r="X71" s="1"/>
      <c r="Y71" s="1"/>
      <c r="Z71" s="1"/>
      <c r="AA71" s="1"/>
      <c r="AB71" s="1"/>
      <c r="AI71" s="1"/>
      <c r="AJ71" s="1"/>
      <c r="AK71" s="1"/>
      <c r="AU71" s="1"/>
      <c r="AV71" s="1"/>
      <c r="AW71" s="1"/>
      <c r="AX71" s="1"/>
      <c r="AY71" s="1"/>
      <c r="BA71" s="1"/>
      <c r="BM71" s="1"/>
      <c r="BN71" s="1"/>
      <c r="DC71" s="1"/>
    </row>
    <row r="72" spans="1:107" ht="15.75" customHeight="1" x14ac:dyDescent="0.25">
      <c r="A72" s="1"/>
      <c r="B72" s="3"/>
      <c r="C72" s="1"/>
      <c r="D72" s="1"/>
      <c r="N72" s="1"/>
      <c r="V72" s="1"/>
      <c r="W72" s="1"/>
      <c r="X72" s="1"/>
      <c r="Y72" s="1"/>
      <c r="Z72" s="1"/>
      <c r="AA72" s="1"/>
      <c r="AB72" s="1"/>
      <c r="AI72" s="1"/>
      <c r="AK72" s="1"/>
      <c r="AU72" s="1"/>
      <c r="AV72" s="1"/>
      <c r="AW72" s="1"/>
      <c r="AX72" s="1"/>
      <c r="AY72" s="1"/>
      <c r="BA72" s="1"/>
      <c r="BM72" s="1"/>
      <c r="BN72" s="1"/>
      <c r="BW72" s="1"/>
      <c r="BZ72" s="1"/>
      <c r="DC72" s="1"/>
    </row>
    <row r="73" spans="1:107" ht="15.75" customHeight="1" x14ac:dyDescent="0.25">
      <c r="A73" s="1"/>
      <c r="B73" s="3"/>
      <c r="C73" s="1"/>
      <c r="D73" s="1"/>
      <c r="N73" s="1"/>
      <c r="V73" s="1"/>
      <c r="W73" s="1"/>
      <c r="X73" s="1"/>
      <c r="Y73" s="1"/>
      <c r="Z73" s="1"/>
      <c r="AA73" s="1"/>
      <c r="AB73" s="1"/>
      <c r="AI73" s="1"/>
      <c r="AK73" s="1"/>
      <c r="AU73" s="1"/>
      <c r="AV73" s="1"/>
      <c r="AW73" s="1"/>
      <c r="AX73" s="1"/>
      <c r="AY73" s="1"/>
      <c r="BA73" s="1"/>
      <c r="BM73" s="1"/>
      <c r="BN73" s="1"/>
      <c r="DC73" s="1"/>
    </row>
    <row r="74" spans="1:107" ht="15.75" customHeight="1" x14ac:dyDescent="0.25">
      <c r="A74" s="1"/>
      <c r="B74" s="3"/>
      <c r="C74" s="1"/>
      <c r="D74" s="1"/>
      <c r="N74" s="1"/>
      <c r="V74" s="1"/>
      <c r="W74" s="1"/>
      <c r="X74" s="1"/>
      <c r="Y74" s="1"/>
      <c r="Z74" s="1"/>
      <c r="AA74" s="1"/>
      <c r="AB74" s="1"/>
      <c r="AI74" s="1"/>
      <c r="AK74" s="1"/>
      <c r="AU74" s="1"/>
      <c r="AV74" s="1"/>
      <c r="AW74" s="1"/>
      <c r="AX74" s="1"/>
      <c r="AY74" s="1"/>
      <c r="BA74" s="1"/>
      <c r="BM74" s="1"/>
      <c r="BN74" s="1"/>
      <c r="BV74" s="1"/>
      <c r="DC74" s="1"/>
    </row>
    <row r="75" spans="1:107" ht="15.75" customHeight="1" x14ac:dyDescent="0.25">
      <c r="A75" s="1"/>
      <c r="B75" s="3"/>
      <c r="C75" s="1"/>
      <c r="D75" s="1"/>
      <c r="N75" s="1"/>
      <c r="V75" s="1"/>
      <c r="W75" s="1"/>
      <c r="X75" s="1"/>
      <c r="Y75" s="1"/>
      <c r="Z75" s="1"/>
      <c r="AA75" s="1"/>
      <c r="AB75" s="1"/>
      <c r="AI75" s="1"/>
      <c r="AJ75" s="1"/>
      <c r="AK75" s="1"/>
      <c r="AU75" s="1"/>
      <c r="AV75" s="1"/>
      <c r="AW75" s="1"/>
      <c r="AX75" s="1"/>
      <c r="AY75" s="1"/>
      <c r="AZ75" s="1"/>
      <c r="BA75" s="1"/>
      <c r="BW75" s="1"/>
      <c r="BY75" s="1"/>
      <c r="BZ75" s="1"/>
      <c r="CB75" s="1"/>
      <c r="CF75" s="1"/>
      <c r="CG75" s="1"/>
      <c r="DC75" s="1"/>
    </row>
    <row r="76" spans="1:107" ht="15.75" customHeight="1" x14ac:dyDescent="0.25">
      <c r="A76" s="1"/>
      <c r="B76" s="3"/>
      <c r="C76" s="1"/>
      <c r="D76" s="1"/>
      <c r="N76" s="1"/>
      <c r="U76" s="1"/>
      <c r="W76" s="1"/>
      <c r="X76" s="1"/>
      <c r="Y76" s="1"/>
      <c r="Z76" s="1"/>
      <c r="AA76" s="1"/>
      <c r="AB76" s="1"/>
      <c r="AI76" s="1"/>
      <c r="AJ76" s="1"/>
      <c r="AK76" s="1"/>
      <c r="AU76" s="1"/>
      <c r="AV76" s="1"/>
      <c r="AW76" s="1"/>
      <c r="AX76" s="1"/>
      <c r="AY76" s="1"/>
      <c r="BA76" s="1"/>
      <c r="BM76" s="1"/>
      <c r="BN76" s="1"/>
      <c r="BV76" s="1"/>
      <c r="BW76" s="1"/>
      <c r="BY76" s="1"/>
      <c r="BZ76" s="1"/>
      <c r="CA76" s="1"/>
      <c r="CH76" s="1"/>
      <c r="CI76" s="1"/>
      <c r="CJ76" s="1"/>
      <c r="CK76" s="1"/>
      <c r="CL76" s="1"/>
      <c r="CR76" s="1"/>
      <c r="CT76" s="1"/>
      <c r="DC76" s="1"/>
    </row>
    <row r="77" spans="1:107" ht="15.75" customHeight="1" x14ac:dyDescent="0.25">
      <c r="A77" s="1"/>
      <c r="B77" s="3"/>
      <c r="C77" s="1"/>
      <c r="D77" s="1"/>
      <c r="N77" s="1"/>
      <c r="V77" s="1"/>
      <c r="W77" s="1"/>
      <c r="X77" s="1"/>
      <c r="Y77" s="1"/>
      <c r="Z77" s="1"/>
      <c r="AA77" s="1"/>
      <c r="AB77" s="1"/>
      <c r="AI77" s="1"/>
      <c r="AK77" s="1"/>
      <c r="AU77" s="1"/>
      <c r="AV77" s="1"/>
      <c r="AW77" s="1"/>
      <c r="AX77" s="1"/>
      <c r="AY77" s="1"/>
      <c r="AZ77" s="1"/>
      <c r="BA77" s="1"/>
    </row>
    <row r="78" spans="1:107" ht="15.75" customHeight="1" x14ac:dyDescent="0.25">
      <c r="A78" s="1"/>
      <c r="B78" s="3"/>
      <c r="C78" s="1"/>
      <c r="D78" s="1"/>
      <c r="N78" s="1"/>
      <c r="V78" s="1"/>
      <c r="W78" s="1"/>
      <c r="X78" s="1"/>
      <c r="Y78" s="1"/>
      <c r="Z78" s="1"/>
      <c r="AA78" s="1"/>
      <c r="AB78" s="1"/>
      <c r="AI78" s="1"/>
      <c r="AK78" s="1"/>
      <c r="AU78" s="1"/>
      <c r="AV78" s="1"/>
      <c r="AW78" s="1"/>
      <c r="AX78" s="1"/>
      <c r="AY78" s="1"/>
      <c r="BA78" s="1"/>
      <c r="DC78" s="1"/>
    </row>
    <row r="79" spans="1:107" ht="15.75" customHeight="1" x14ac:dyDescent="0.25">
      <c r="A79" s="1"/>
      <c r="B79" s="3"/>
      <c r="C79" s="1"/>
      <c r="D79" s="1"/>
      <c r="N79" s="1"/>
      <c r="V79" s="1"/>
      <c r="W79" s="1"/>
      <c r="X79" s="1"/>
      <c r="Y79" s="1"/>
      <c r="Z79" s="1"/>
      <c r="AA79" s="1"/>
      <c r="AB79" s="1"/>
      <c r="AI79" s="1"/>
      <c r="AK79" s="1"/>
      <c r="AU79" s="1"/>
      <c r="AV79" s="1"/>
      <c r="AW79" s="1"/>
      <c r="AX79" s="1"/>
      <c r="AY79" s="1"/>
      <c r="AZ79" s="1"/>
      <c r="BA79" s="1"/>
      <c r="BW79" s="1"/>
      <c r="DC79" s="1"/>
    </row>
    <row r="80" spans="1:107" ht="15.75" customHeight="1" x14ac:dyDescent="0.25">
      <c r="A80" s="1"/>
      <c r="B80" s="3"/>
      <c r="C80" s="1"/>
      <c r="D80" s="1"/>
      <c r="N80" s="1"/>
      <c r="V80" s="1"/>
      <c r="W80" s="1"/>
      <c r="X80" s="1"/>
      <c r="Y80" s="1"/>
      <c r="Z80" s="1"/>
      <c r="AA80" s="1"/>
      <c r="AB80" s="1"/>
      <c r="AI80" s="1"/>
      <c r="AK80" s="1"/>
      <c r="AU80" s="1"/>
      <c r="AV80" s="1"/>
      <c r="AW80" s="1"/>
      <c r="AX80" s="1"/>
      <c r="AY80" s="1"/>
      <c r="BA80" s="1"/>
      <c r="BM80" s="1"/>
      <c r="BN80" s="1"/>
      <c r="DC80" s="1"/>
    </row>
    <row r="81" spans="1:107" ht="15.75" customHeight="1" x14ac:dyDescent="0.25">
      <c r="A81" s="1"/>
      <c r="B81" s="3"/>
      <c r="C81" s="1"/>
      <c r="D81" s="1"/>
      <c r="N81" s="1"/>
      <c r="V81" s="1"/>
      <c r="W81" s="1"/>
      <c r="X81" s="1"/>
      <c r="Y81" s="1"/>
      <c r="Z81" s="1"/>
      <c r="AA81" s="1"/>
      <c r="AB81" s="1"/>
      <c r="AI81" s="1"/>
      <c r="AJ81" s="1"/>
      <c r="AK81" s="1"/>
      <c r="AU81" s="1"/>
      <c r="AV81" s="1"/>
      <c r="AW81" s="1"/>
      <c r="AX81" s="1"/>
      <c r="AY81" s="1"/>
      <c r="AZ81" s="1"/>
      <c r="BA81" s="1"/>
      <c r="BW81" s="1"/>
      <c r="BZ81" s="1"/>
      <c r="DC81" s="1"/>
    </row>
    <row r="82" spans="1:107" ht="15.75" customHeight="1" x14ac:dyDescent="0.25">
      <c r="A82" s="1"/>
      <c r="B82" s="3"/>
      <c r="C82" s="1"/>
      <c r="D82" s="1"/>
      <c r="N82" s="1"/>
      <c r="V82" s="1"/>
      <c r="W82" s="1"/>
      <c r="X82" s="1"/>
      <c r="Y82" s="1"/>
      <c r="Z82" s="1"/>
      <c r="AA82" s="1"/>
      <c r="AB82" s="1"/>
      <c r="AI82" s="1"/>
      <c r="AJ82" s="1"/>
      <c r="AK82" s="1"/>
      <c r="AU82" s="1"/>
      <c r="AV82" s="1"/>
      <c r="AW82" s="1"/>
      <c r="AX82" s="1"/>
      <c r="AY82" s="1"/>
      <c r="BA82" s="1"/>
      <c r="BM82" s="1"/>
      <c r="BN82" s="1"/>
      <c r="BW82" s="1"/>
      <c r="BZ82" s="1"/>
      <c r="DC82" s="1"/>
    </row>
    <row r="83" spans="1:107" ht="15.75" customHeight="1" x14ac:dyDescent="0.25">
      <c r="A83" s="1"/>
      <c r="B83" s="3"/>
      <c r="C83" s="1"/>
      <c r="D83" s="1"/>
      <c r="N83" s="1"/>
      <c r="W83" s="1"/>
      <c r="X83" s="1"/>
      <c r="Y83" s="1"/>
      <c r="Z83" s="1"/>
      <c r="AA83" s="1"/>
      <c r="AB83" s="1"/>
      <c r="AI83" s="1"/>
      <c r="AK83" s="1"/>
      <c r="AU83" s="1"/>
      <c r="AV83" s="1"/>
      <c r="AW83" s="1"/>
      <c r="AX83" s="1"/>
      <c r="AY83" s="1"/>
      <c r="BA83" s="1"/>
      <c r="BM83" s="1"/>
      <c r="BN83" s="1"/>
      <c r="DC83" s="1"/>
    </row>
    <row r="84" spans="1:107" ht="15.75" customHeight="1" x14ac:dyDescent="0.25">
      <c r="A84" s="1"/>
      <c r="B84" s="3"/>
      <c r="C84" s="1"/>
      <c r="D84" s="1"/>
      <c r="N84" s="1"/>
      <c r="V84" s="1"/>
      <c r="W84" s="1"/>
      <c r="X84" s="1"/>
      <c r="Y84" s="1"/>
      <c r="Z84" s="1"/>
      <c r="AA84" s="1"/>
      <c r="AB84" s="1"/>
      <c r="AI84" s="1"/>
      <c r="AJ84" s="1"/>
      <c r="AK84" s="1"/>
      <c r="AU84" s="1"/>
      <c r="AV84" s="1"/>
      <c r="AW84" s="1"/>
      <c r="AX84" s="1"/>
      <c r="AY84" s="1"/>
      <c r="BA84" s="1"/>
      <c r="BM84" s="1"/>
      <c r="BN84" s="1"/>
      <c r="BW84" s="1"/>
      <c r="BZ84" s="1"/>
      <c r="DC84" s="1"/>
    </row>
    <row r="85" spans="1:107" ht="15.75" customHeight="1" x14ac:dyDescent="0.25">
      <c r="A85" s="1"/>
      <c r="B85" s="3"/>
      <c r="C85" s="1"/>
      <c r="D85" s="1"/>
      <c r="N85" s="1"/>
      <c r="V85" s="1"/>
      <c r="W85" s="1"/>
      <c r="X85" s="1"/>
      <c r="Y85" s="1"/>
      <c r="Z85" s="1"/>
      <c r="AA85" s="1"/>
      <c r="AB85" s="1"/>
      <c r="AI85" s="1"/>
      <c r="AJ85" s="1"/>
      <c r="AK85" s="1"/>
      <c r="AU85" s="1"/>
      <c r="AV85" s="1"/>
      <c r="AW85" s="1"/>
      <c r="AX85" s="1"/>
      <c r="AY85" s="1"/>
      <c r="BA85" s="1"/>
      <c r="DC85" s="1"/>
    </row>
    <row r="86" spans="1:107" ht="15.75" customHeight="1" x14ac:dyDescent="0.25">
      <c r="A86" s="1"/>
      <c r="B86" s="3"/>
      <c r="C86" s="1"/>
      <c r="D86" s="1"/>
      <c r="N86" s="1"/>
      <c r="V86" s="1"/>
      <c r="W86" s="1"/>
      <c r="X86" s="1"/>
      <c r="Y86" s="1"/>
      <c r="Z86" s="1"/>
      <c r="AA86" s="1"/>
      <c r="AB86" s="1"/>
      <c r="AI86" s="1"/>
      <c r="AJ86" s="1"/>
      <c r="AK86" s="1"/>
      <c r="AU86" s="1"/>
      <c r="AV86" s="1"/>
      <c r="AW86" s="1"/>
      <c r="AX86" s="1"/>
      <c r="AY86" s="1"/>
      <c r="BA86" s="1"/>
      <c r="BM86" s="1"/>
      <c r="BN86" s="1"/>
      <c r="DC86" s="1"/>
    </row>
    <row r="87" spans="1:107" ht="15.75" customHeight="1" x14ac:dyDescent="0.25">
      <c r="A87" s="1"/>
      <c r="B87" s="3"/>
      <c r="C87" s="1"/>
      <c r="D87" s="1"/>
      <c r="N87" s="1"/>
      <c r="W87" s="1"/>
      <c r="X87" s="1"/>
      <c r="Y87" s="1"/>
      <c r="Z87" s="1"/>
      <c r="AA87" s="1"/>
      <c r="AB87" s="1"/>
      <c r="AI87" s="1"/>
      <c r="AJ87" s="1"/>
      <c r="AK87" s="1"/>
      <c r="AU87" s="1"/>
      <c r="AV87" s="1"/>
      <c r="AW87" s="1"/>
      <c r="AX87" s="1"/>
      <c r="AY87" s="1"/>
      <c r="BA87" s="1"/>
      <c r="BM87" s="1"/>
      <c r="BN87" s="1"/>
      <c r="BW87" s="1"/>
      <c r="BY87" s="1"/>
      <c r="BZ87" s="1"/>
      <c r="DC87" s="1"/>
    </row>
    <row r="88" spans="1:107" ht="15.75" customHeight="1" x14ac:dyDescent="0.25">
      <c r="A88" s="1"/>
      <c r="B88" s="3"/>
      <c r="C88" s="1"/>
      <c r="D88" s="1"/>
      <c r="N88" s="1"/>
      <c r="W88" s="1"/>
      <c r="X88" s="1"/>
      <c r="Y88" s="1"/>
      <c r="Z88" s="1"/>
      <c r="AA88" s="1"/>
      <c r="AB88" s="1"/>
      <c r="AI88" s="1"/>
      <c r="AK88" s="1"/>
      <c r="AU88" s="1"/>
      <c r="AV88" s="1"/>
      <c r="AW88" s="1"/>
      <c r="AX88" s="1"/>
      <c r="AY88" s="1"/>
      <c r="BA88" s="1"/>
      <c r="BM88" s="1"/>
      <c r="BN88" s="1"/>
      <c r="DC88" s="1"/>
    </row>
    <row r="89" spans="1:107" ht="15.75" customHeight="1" x14ac:dyDescent="0.25">
      <c r="A89" s="1"/>
      <c r="B89" s="3"/>
      <c r="C89" s="1"/>
      <c r="D89" s="1"/>
      <c r="N89" s="1"/>
      <c r="W89" s="1"/>
      <c r="X89" s="1"/>
      <c r="Y89" s="1"/>
      <c r="Z89" s="1"/>
      <c r="AA89" s="1"/>
      <c r="AB89" s="1"/>
      <c r="AI89" s="1"/>
      <c r="AK89" s="1"/>
      <c r="AU89" s="1"/>
      <c r="AV89" s="1"/>
      <c r="AW89" s="1"/>
      <c r="AX89" s="1"/>
      <c r="AY89" s="1"/>
      <c r="BA89" s="1"/>
      <c r="BM89" s="1"/>
      <c r="BN89" s="1"/>
      <c r="DC89" s="1"/>
    </row>
    <row r="90" spans="1:107" ht="15.75" customHeight="1" x14ac:dyDescent="0.25">
      <c r="A90" s="1"/>
      <c r="B90" s="3"/>
      <c r="C90" s="1"/>
      <c r="D90" s="1"/>
      <c r="N90" s="1"/>
      <c r="W90" s="1"/>
      <c r="X90" s="1"/>
      <c r="Y90" s="1"/>
      <c r="Z90" s="1"/>
      <c r="AA90" s="1"/>
      <c r="AB90" s="1"/>
      <c r="AI90" s="1"/>
      <c r="AK90" s="1"/>
      <c r="AU90" s="1"/>
      <c r="AV90" s="1"/>
      <c r="AW90" s="1"/>
      <c r="AX90" s="1"/>
      <c r="AY90" s="1"/>
      <c r="BA90" s="1"/>
      <c r="BM90" s="1"/>
      <c r="BN90" s="1"/>
      <c r="DC90" s="1"/>
    </row>
    <row r="91" spans="1:107" ht="15.75" customHeight="1" x14ac:dyDescent="0.25">
      <c r="A91" s="1"/>
      <c r="B91" s="3"/>
      <c r="C91" s="1"/>
      <c r="D91" s="1"/>
      <c r="N91" s="1"/>
      <c r="V91" s="1"/>
      <c r="W91" s="1"/>
      <c r="X91" s="1"/>
      <c r="Y91" s="1"/>
      <c r="Z91" s="1"/>
      <c r="AA91" s="1"/>
      <c r="AB91" s="1"/>
      <c r="AI91" s="1"/>
      <c r="AK91" s="1"/>
      <c r="AU91" s="1"/>
      <c r="AV91" s="1"/>
      <c r="AW91" s="1"/>
      <c r="AX91" s="1"/>
      <c r="AY91" s="1"/>
      <c r="AZ91" s="1"/>
      <c r="DC91" s="1"/>
    </row>
    <row r="92" spans="1:107" ht="15.75" customHeight="1" x14ac:dyDescent="0.25">
      <c r="A92" s="1"/>
      <c r="B92" s="3"/>
      <c r="C92" s="1"/>
      <c r="D92" s="1"/>
      <c r="N92" s="1"/>
      <c r="V92" s="1"/>
      <c r="W92" s="1"/>
      <c r="X92" s="1"/>
      <c r="Y92" s="1"/>
      <c r="Z92" s="1"/>
      <c r="AA92" s="1"/>
      <c r="AB92" s="1"/>
      <c r="AI92" s="1"/>
      <c r="AK92" s="1"/>
      <c r="AU92" s="1"/>
      <c r="AV92" s="1"/>
      <c r="AW92" s="1"/>
      <c r="AX92" s="1"/>
      <c r="AY92" s="1"/>
      <c r="BA92" s="1"/>
      <c r="BM92" s="1"/>
      <c r="BN92" s="1"/>
      <c r="DC92" s="1"/>
    </row>
    <row r="93" spans="1:107" ht="15.75" customHeight="1" x14ac:dyDescent="0.25">
      <c r="A93" s="1"/>
      <c r="B93" s="3"/>
      <c r="C93" s="1"/>
      <c r="D93" s="1"/>
      <c r="N93" s="1"/>
      <c r="V93" s="1"/>
      <c r="W93" s="1"/>
      <c r="X93" s="1"/>
      <c r="Y93" s="1"/>
      <c r="Z93" s="1"/>
      <c r="AA93" s="1"/>
      <c r="AB93" s="1"/>
      <c r="AI93" s="1"/>
      <c r="AK93" s="1"/>
      <c r="AU93" s="1"/>
      <c r="AV93" s="1"/>
      <c r="AW93" s="1"/>
      <c r="AX93" s="1"/>
      <c r="AY93" s="1"/>
      <c r="BA93" s="1"/>
      <c r="BM93" s="1"/>
      <c r="BN93" s="1"/>
      <c r="DC93" s="1"/>
    </row>
    <row r="94" spans="1:107" ht="15.75" customHeight="1" x14ac:dyDescent="0.25">
      <c r="A94" s="1"/>
      <c r="B94" s="3"/>
      <c r="C94" s="1"/>
      <c r="D94" s="1"/>
      <c r="N94" s="1"/>
      <c r="W94" s="1"/>
      <c r="X94" s="1"/>
      <c r="Y94" s="1"/>
      <c r="Z94" s="1"/>
      <c r="AA94" s="1"/>
      <c r="AB94" s="1"/>
      <c r="AI94" s="1"/>
      <c r="AK94" s="1"/>
      <c r="AU94" s="1"/>
      <c r="AV94" s="1"/>
      <c r="AW94" s="1"/>
      <c r="AX94" s="1"/>
      <c r="AY94" s="1"/>
      <c r="BA94" s="1"/>
      <c r="BM94" s="1"/>
      <c r="BN94" s="1"/>
      <c r="DC94" s="1"/>
    </row>
    <row r="95" spans="1:107" ht="15.75" customHeight="1" x14ac:dyDescent="0.25">
      <c r="A95" s="1"/>
      <c r="B95" s="3"/>
      <c r="C95" s="1"/>
      <c r="D95" s="1"/>
      <c r="N95" s="1"/>
      <c r="W95" s="1"/>
      <c r="X95" s="1"/>
      <c r="Y95" s="1"/>
      <c r="Z95" s="1"/>
      <c r="AA95" s="1"/>
      <c r="AB95" s="1"/>
      <c r="AI95" s="1"/>
      <c r="AK95" s="1"/>
      <c r="AU95" s="1"/>
      <c r="AV95" s="1"/>
      <c r="AW95" s="1"/>
      <c r="AX95" s="1"/>
      <c r="AY95" s="1"/>
      <c r="BA95" s="1"/>
      <c r="BM95" s="1"/>
      <c r="BN95" s="1"/>
      <c r="DC95" s="1"/>
    </row>
    <row r="96" spans="1:107" ht="15.75" customHeight="1" x14ac:dyDescent="0.25">
      <c r="A96" s="1"/>
      <c r="B96" s="3"/>
      <c r="C96" s="1"/>
      <c r="D96" s="1"/>
      <c r="N96" s="1"/>
      <c r="V96" s="1"/>
      <c r="W96" s="1"/>
      <c r="X96" s="1"/>
      <c r="Y96" s="1"/>
      <c r="Z96" s="1"/>
      <c r="AA96" s="1"/>
      <c r="AB96" s="1"/>
      <c r="AI96" s="1"/>
      <c r="AK96" s="1"/>
      <c r="AU96" s="1"/>
      <c r="AV96" s="1"/>
      <c r="AW96" s="1"/>
      <c r="AX96" s="1"/>
      <c r="AY96" s="1"/>
      <c r="BA96" s="1"/>
      <c r="BM96" s="1"/>
      <c r="BN96" s="1"/>
      <c r="DC96" s="1"/>
    </row>
    <row r="97" spans="1:107" ht="15.75" customHeight="1" x14ac:dyDescent="0.25">
      <c r="A97" s="1"/>
      <c r="B97" s="3"/>
      <c r="C97" s="1"/>
      <c r="D97" s="1"/>
      <c r="N97" s="1"/>
      <c r="V97" s="1"/>
      <c r="W97" s="1"/>
      <c r="X97" s="1"/>
      <c r="Y97" s="1"/>
      <c r="Z97" s="1"/>
      <c r="AA97" s="1"/>
      <c r="AB97" s="1"/>
      <c r="AI97" s="1"/>
      <c r="AK97" s="1"/>
      <c r="AU97" s="1"/>
      <c r="AV97" s="1"/>
      <c r="AW97" s="1"/>
      <c r="AX97" s="1"/>
      <c r="AY97" s="1"/>
      <c r="BA97" s="1"/>
      <c r="BM97" s="1"/>
      <c r="BN97" s="1"/>
      <c r="DC97" s="1"/>
    </row>
    <row r="98" spans="1:107" ht="15.75" customHeight="1" x14ac:dyDescent="0.25">
      <c r="A98" s="1"/>
      <c r="B98" s="3"/>
      <c r="C98" s="1"/>
      <c r="D98" s="1"/>
      <c r="N98" s="1"/>
      <c r="W98" s="1"/>
      <c r="X98" s="1"/>
      <c r="Y98" s="1"/>
      <c r="Z98" s="1"/>
      <c r="AA98" s="1"/>
      <c r="AB98" s="1"/>
      <c r="AI98" s="1"/>
      <c r="AK98" s="1"/>
      <c r="AU98" s="1"/>
      <c r="AV98" s="1"/>
      <c r="AW98" s="1"/>
      <c r="AX98" s="1"/>
      <c r="AY98" s="1"/>
      <c r="BA98" s="1"/>
      <c r="BM98" s="1"/>
      <c r="BN98" s="1"/>
      <c r="DC98" s="1"/>
    </row>
    <row r="99" spans="1:107" ht="15.75" customHeight="1" x14ac:dyDescent="0.25">
      <c r="A99" s="1"/>
      <c r="B99" s="3"/>
      <c r="C99" s="1"/>
      <c r="D99" s="1"/>
      <c r="N99" s="1"/>
      <c r="V99" s="1"/>
      <c r="W99" s="1"/>
      <c r="X99" s="1"/>
      <c r="Y99" s="1"/>
      <c r="Z99" s="1"/>
      <c r="AA99" s="1"/>
      <c r="AB99" s="1"/>
      <c r="AI99" s="1"/>
      <c r="AK99" s="1"/>
      <c r="AU99" s="1"/>
      <c r="AV99" s="1"/>
      <c r="AW99" s="1"/>
      <c r="AX99" s="1"/>
      <c r="AY99" s="1"/>
      <c r="BA99" s="1"/>
      <c r="BM99" s="1"/>
      <c r="BN99" s="1"/>
      <c r="BW99" s="1"/>
      <c r="DC99" s="1"/>
    </row>
    <row r="100" spans="1:107" ht="15.75" customHeight="1" x14ac:dyDescent="0.25">
      <c r="A100" s="1"/>
      <c r="B100" s="3"/>
      <c r="C100" s="1"/>
      <c r="D100" s="1"/>
      <c r="N100" s="1"/>
      <c r="V100" s="1"/>
      <c r="W100" s="1"/>
      <c r="X100" s="1"/>
      <c r="Y100" s="1"/>
      <c r="Z100" s="1"/>
      <c r="AA100" s="1"/>
      <c r="AB100" s="1"/>
      <c r="AI100" s="1"/>
      <c r="AK100" s="1"/>
      <c r="AU100" s="1"/>
      <c r="AV100" s="1"/>
      <c r="AW100" s="1"/>
      <c r="AX100" s="1"/>
      <c r="AY100" s="1"/>
      <c r="BA100" s="1"/>
      <c r="BM100" s="1"/>
      <c r="BN100" s="1"/>
      <c r="BW100" s="1"/>
      <c r="BY100" s="1"/>
      <c r="BZ100" s="1"/>
      <c r="CA100" s="1"/>
      <c r="DC100" s="1"/>
    </row>
    <row r="101" spans="1:107" ht="15.75" customHeight="1" x14ac:dyDescent="0.25">
      <c r="A101" s="1"/>
      <c r="B101" s="3"/>
      <c r="C101" s="1"/>
      <c r="D101" s="1"/>
      <c r="N101" s="1"/>
      <c r="W101" s="1"/>
      <c r="X101" s="1"/>
      <c r="Y101" s="1"/>
      <c r="Z101" s="1"/>
      <c r="AA101" s="1"/>
      <c r="AB101" s="1"/>
      <c r="AI101" s="1"/>
      <c r="AJ101" s="1"/>
      <c r="AK101" s="1"/>
      <c r="AU101" s="1"/>
      <c r="AV101" s="1"/>
      <c r="AW101" s="1"/>
      <c r="AX101" s="1"/>
      <c r="AY101" s="1"/>
      <c r="AZ101" s="1"/>
      <c r="BA101" s="1"/>
      <c r="DC101" s="1"/>
    </row>
    <row r="102" spans="1:107" ht="15.75" customHeight="1" x14ac:dyDescent="0.25">
      <c r="A102" s="1"/>
      <c r="B102" s="3"/>
      <c r="C102" s="1"/>
      <c r="D102" s="1"/>
      <c r="N102" s="1"/>
      <c r="V102" s="1"/>
      <c r="W102" s="1"/>
      <c r="X102" s="1"/>
      <c r="Y102" s="1"/>
      <c r="Z102" s="1"/>
      <c r="AA102" s="1"/>
      <c r="AB102" s="1"/>
      <c r="AI102" s="1"/>
      <c r="AK102" s="1"/>
      <c r="AU102" s="1"/>
      <c r="AV102" s="1"/>
      <c r="AW102" s="1"/>
      <c r="AX102" s="1"/>
      <c r="AY102" s="1"/>
      <c r="BA102" s="1"/>
      <c r="BM102" s="1"/>
      <c r="BN102" s="1"/>
      <c r="DC102" s="1"/>
    </row>
    <row r="103" spans="1:107" ht="15.75" customHeight="1" x14ac:dyDescent="0.25">
      <c r="A103" s="1"/>
      <c r="B103" s="3"/>
      <c r="C103" s="1"/>
      <c r="D103" s="1"/>
      <c r="N103" s="1"/>
      <c r="V103" s="1"/>
      <c r="W103" s="1"/>
      <c r="X103" s="1"/>
      <c r="Y103" s="1"/>
      <c r="Z103" s="1"/>
      <c r="AA103" s="1"/>
      <c r="AB103" s="1"/>
      <c r="AI103" s="1"/>
      <c r="AK103" s="1"/>
      <c r="AU103" s="1"/>
      <c r="AV103" s="1"/>
      <c r="AW103" s="1"/>
      <c r="AX103" s="1"/>
      <c r="AY103" s="1"/>
      <c r="BA103" s="1"/>
      <c r="BM103" s="1"/>
      <c r="BN103" s="1"/>
      <c r="BW103" s="1"/>
      <c r="BY103" s="1"/>
      <c r="BZ103" s="1"/>
      <c r="DC103" s="1"/>
    </row>
    <row r="104" spans="1:107" ht="15.75" customHeight="1" x14ac:dyDescent="0.25">
      <c r="A104" s="1"/>
      <c r="B104" s="3"/>
      <c r="C104" s="1"/>
      <c r="D104" s="1"/>
      <c r="M104" s="1"/>
      <c r="N104" s="1"/>
      <c r="V104" s="1"/>
      <c r="W104" s="1"/>
      <c r="X104" s="1"/>
      <c r="Y104" s="1"/>
      <c r="Z104" s="1"/>
      <c r="AA104" s="1"/>
      <c r="AB104" s="1"/>
      <c r="AI104" s="1"/>
      <c r="AJ104" s="1"/>
      <c r="AK104" s="1"/>
      <c r="AU104" s="1"/>
      <c r="AV104" s="1"/>
      <c r="AW104" s="1"/>
      <c r="AX104" s="1"/>
      <c r="AY104" s="1"/>
      <c r="BA104" s="1"/>
      <c r="BM104" s="1"/>
      <c r="BN104" s="1"/>
      <c r="BV104" s="1"/>
      <c r="BW104" s="1"/>
      <c r="BY104" s="1"/>
      <c r="BZ104" s="1"/>
      <c r="CH104" s="1"/>
      <c r="CI104" s="1"/>
      <c r="CJ104" s="1"/>
      <c r="CL104" s="1"/>
      <c r="DC104" s="1"/>
    </row>
    <row r="105" spans="1:107" ht="15.75" customHeight="1" x14ac:dyDescent="0.25">
      <c r="A105" s="1"/>
      <c r="B105" s="3"/>
      <c r="C105" s="1"/>
      <c r="D105" s="1"/>
      <c r="N105" s="1"/>
      <c r="W105" s="1"/>
      <c r="X105" s="1"/>
      <c r="Y105" s="1"/>
      <c r="Z105" s="1"/>
      <c r="AA105" s="1"/>
      <c r="AB105" s="1"/>
      <c r="AI105" s="1"/>
      <c r="AK105" s="1"/>
      <c r="AU105" s="1"/>
      <c r="AV105" s="1"/>
      <c r="AW105" s="1"/>
      <c r="AX105" s="1"/>
      <c r="AY105" s="1"/>
      <c r="BA105" s="1"/>
      <c r="BL105" s="1"/>
      <c r="BM105" s="1"/>
      <c r="BN105" s="1"/>
      <c r="CH105" s="1"/>
      <c r="CI105" s="1"/>
      <c r="CJ105" s="1"/>
      <c r="CL105" s="1"/>
      <c r="DC105" s="1"/>
    </row>
    <row r="106" spans="1:107" ht="15.75" customHeight="1" x14ac:dyDescent="0.25">
      <c r="A106" s="1"/>
      <c r="B106" s="3"/>
      <c r="C106" s="1"/>
      <c r="D106" s="1"/>
      <c r="N106" s="1"/>
      <c r="V106" s="1"/>
      <c r="W106" s="1"/>
      <c r="X106" s="1"/>
      <c r="Y106" s="1"/>
      <c r="Z106" s="1"/>
      <c r="AA106" s="1"/>
      <c r="AB106" s="1"/>
      <c r="AI106" s="1"/>
      <c r="AK106" s="1"/>
      <c r="AU106" s="1"/>
      <c r="AV106" s="1"/>
      <c r="AW106" s="1"/>
      <c r="AX106" s="1"/>
      <c r="AY106" s="1"/>
      <c r="BA106" s="1"/>
      <c r="BM106" s="1"/>
      <c r="BN106" s="1"/>
      <c r="CH106" s="1"/>
      <c r="CI106" s="1"/>
      <c r="CJ106" s="1"/>
      <c r="CK106" s="1"/>
      <c r="CL106" s="1"/>
    </row>
    <row r="107" spans="1:107" ht="15.75" customHeight="1" x14ac:dyDescent="0.25">
      <c r="A107" s="1"/>
      <c r="B107" s="3"/>
      <c r="C107" s="1"/>
      <c r="D107" s="1"/>
      <c r="N107" s="1"/>
      <c r="V107" s="1"/>
      <c r="W107" s="1"/>
      <c r="X107" s="1"/>
      <c r="Y107" s="1"/>
      <c r="Z107" s="1"/>
      <c r="AA107" s="1"/>
      <c r="AB107" s="1"/>
      <c r="AI107" s="1"/>
      <c r="AJ107" s="1"/>
      <c r="AK107" s="1"/>
      <c r="AU107" s="1"/>
      <c r="AV107" s="1"/>
      <c r="AW107" s="1"/>
      <c r="AX107" s="1"/>
      <c r="AY107" s="1"/>
      <c r="AZ107" s="1"/>
      <c r="BA107" s="1"/>
    </row>
    <row r="108" spans="1:107" ht="15.75" customHeight="1" x14ac:dyDescent="0.25">
      <c r="A108" s="1"/>
      <c r="B108" s="3"/>
      <c r="C108" s="1"/>
      <c r="D108" s="1"/>
      <c r="N108" s="1"/>
      <c r="V108" s="1"/>
      <c r="W108" s="1"/>
      <c r="X108" s="1"/>
      <c r="Y108" s="1"/>
      <c r="Z108" s="1"/>
      <c r="AA108" s="1"/>
      <c r="AB108" s="1"/>
      <c r="AI108" s="1"/>
      <c r="AJ108" s="1"/>
      <c r="AK108" s="1"/>
      <c r="AU108" s="1"/>
      <c r="AV108" s="1"/>
      <c r="AW108" s="1"/>
      <c r="AX108" s="1"/>
      <c r="AY108" s="1"/>
      <c r="AZ108" s="1"/>
      <c r="BA108" s="1"/>
      <c r="DC108" s="1"/>
    </row>
    <row r="109" spans="1:107" ht="15.75" customHeight="1" x14ac:dyDescent="0.25">
      <c r="A109" s="1"/>
      <c r="B109" s="3"/>
      <c r="C109" s="1"/>
      <c r="D109" s="1"/>
      <c r="N109" s="1"/>
      <c r="V109" s="1"/>
      <c r="W109" s="1"/>
      <c r="X109" s="1"/>
      <c r="Y109" s="1"/>
      <c r="Z109" s="1"/>
      <c r="AA109" s="1"/>
      <c r="AB109" s="1"/>
      <c r="AI109" s="1"/>
      <c r="AK109" s="1"/>
      <c r="AU109" s="1"/>
      <c r="AV109" s="1"/>
      <c r="AW109" s="1"/>
      <c r="AX109" s="1"/>
      <c r="AY109" s="1"/>
      <c r="AZ109" s="1"/>
      <c r="BA109" s="1"/>
      <c r="DC109" s="1"/>
    </row>
    <row r="110" spans="1:107" ht="15.75" customHeight="1" x14ac:dyDescent="0.25">
      <c r="A110" s="1"/>
      <c r="B110" s="3"/>
      <c r="C110" s="1"/>
      <c r="D110" s="1"/>
      <c r="N110" s="1"/>
      <c r="W110" s="1"/>
      <c r="X110" s="1"/>
      <c r="Y110" s="1"/>
      <c r="Z110" s="1"/>
      <c r="AA110" s="1"/>
      <c r="AB110" s="1"/>
      <c r="AI110" s="1"/>
      <c r="AK110" s="1"/>
      <c r="AU110" s="1"/>
      <c r="AV110" s="1"/>
      <c r="AW110" s="1"/>
      <c r="AX110" s="1"/>
      <c r="AY110" s="1"/>
      <c r="BA110" s="1"/>
      <c r="BM110" s="1"/>
      <c r="BN110" s="1"/>
      <c r="DC110" s="1"/>
    </row>
    <row r="111" spans="1:107" ht="15.75" customHeight="1" x14ac:dyDescent="0.25">
      <c r="A111" s="1"/>
      <c r="B111" s="3"/>
      <c r="C111" s="1"/>
      <c r="D111" s="1"/>
      <c r="N111" s="1"/>
      <c r="W111" s="1"/>
      <c r="X111" s="1"/>
      <c r="Y111" s="1"/>
      <c r="Z111" s="1"/>
      <c r="AA111" s="1"/>
      <c r="AB111" s="1"/>
      <c r="AI111" s="1"/>
      <c r="AK111" s="1"/>
      <c r="AU111" s="1"/>
      <c r="AV111" s="1"/>
      <c r="AW111" s="1"/>
      <c r="AX111" s="1"/>
      <c r="AY111" s="1"/>
      <c r="BA111" s="1"/>
      <c r="BM111" s="1"/>
      <c r="BN111" s="1"/>
      <c r="DC111" s="1"/>
    </row>
    <row r="112" spans="1:107" ht="15.75" customHeight="1" x14ac:dyDescent="0.25">
      <c r="A112" s="1"/>
      <c r="B112" s="3"/>
      <c r="C112" s="1"/>
      <c r="D112" s="1"/>
      <c r="N112" s="1"/>
      <c r="V112" s="1"/>
      <c r="W112" s="1"/>
      <c r="X112" s="1"/>
      <c r="Y112" s="1"/>
      <c r="Z112" s="1"/>
      <c r="AA112" s="1"/>
      <c r="AB112" s="1"/>
      <c r="AI112" s="1"/>
      <c r="AK112" s="1"/>
      <c r="AU112" s="1"/>
      <c r="AV112" s="1"/>
      <c r="AW112" s="1"/>
      <c r="AX112" s="1"/>
      <c r="AY112" s="1"/>
      <c r="BA112" s="1"/>
      <c r="BM112" s="1"/>
      <c r="BN112" s="1"/>
      <c r="DC112" s="1"/>
    </row>
    <row r="113" spans="1:107" ht="15.75" customHeight="1" x14ac:dyDescent="0.25">
      <c r="A113" s="1"/>
      <c r="B113" s="3"/>
      <c r="C113" s="1"/>
      <c r="D113" s="1"/>
      <c r="N113" s="1"/>
      <c r="W113" s="1"/>
      <c r="X113" s="1"/>
      <c r="Y113" s="1"/>
      <c r="Z113" s="1"/>
      <c r="AA113" s="1"/>
      <c r="AB113" s="1"/>
      <c r="AI113" s="1"/>
      <c r="AK113" s="1"/>
      <c r="AU113" s="1"/>
      <c r="AV113" s="1"/>
      <c r="AW113" s="1"/>
      <c r="AX113" s="1"/>
      <c r="AY113" s="1"/>
      <c r="BA113" s="1"/>
      <c r="BM113" s="1"/>
      <c r="BN113" s="1"/>
      <c r="DC113" s="1"/>
    </row>
    <row r="114" spans="1:107" ht="15.75" customHeight="1" x14ac:dyDescent="0.25">
      <c r="A114" s="1"/>
      <c r="B114" s="3"/>
      <c r="C114" s="1"/>
      <c r="D114" s="1"/>
      <c r="N114" s="1"/>
      <c r="W114" s="1"/>
      <c r="X114" s="1"/>
      <c r="Y114" s="1"/>
      <c r="Z114" s="1"/>
      <c r="AA114" s="1"/>
      <c r="AB114" s="1"/>
      <c r="AI114" s="1"/>
      <c r="AK114" s="1"/>
      <c r="AU114" s="1"/>
      <c r="AV114" s="1"/>
      <c r="AW114" s="1"/>
      <c r="AX114" s="1"/>
      <c r="AY114" s="1"/>
      <c r="BA114" s="1"/>
      <c r="BM114" s="1"/>
      <c r="BN114" s="1"/>
    </row>
    <row r="115" spans="1:107" ht="15.75" customHeight="1" x14ac:dyDescent="0.25">
      <c r="A115" s="1"/>
      <c r="B115" s="3"/>
      <c r="C115" s="1"/>
      <c r="D115" s="1"/>
      <c r="N115" s="1"/>
      <c r="V115" s="1"/>
      <c r="W115" s="1"/>
      <c r="X115" s="1"/>
      <c r="Y115" s="1"/>
      <c r="Z115" s="1"/>
      <c r="AA115" s="1"/>
      <c r="AB115" s="1"/>
      <c r="AI115" s="1"/>
      <c r="AK115" s="1"/>
      <c r="AU115" s="1"/>
      <c r="AV115" s="1"/>
      <c r="AW115" s="1"/>
      <c r="AX115" s="1"/>
      <c r="AY115" s="1"/>
      <c r="BA115" s="1"/>
      <c r="BM115" s="1"/>
      <c r="BN115" s="1"/>
      <c r="DC115" s="1"/>
    </row>
    <row r="116" spans="1:107" ht="15.75" customHeight="1" x14ac:dyDescent="0.25">
      <c r="A116" s="1"/>
      <c r="B116" s="3"/>
      <c r="C116" s="1"/>
      <c r="D116" s="1"/>
      <c r="N116" s="1"/>
      <c r="V116" s="1"/>
      <c r="W116" s="1"/>
      <c r="X116" s="1"/>
      <c r="Y116" s="1"/>
      <c r="Z116" s="1"/>
      <c r="AA116" s="1"/>
      <c r="AB116" s="1"/>
      <c r="AI116" s="1"/>
      <c r="AK116" s="1"/>
      <c r="AU116" s="1"/>
      <c r="AV116" s="1"/>
      <c r="AW116" s="1"/>
      <c r="AX116" s="1"/>
      <c r="AY116" s="1"/>
      <c r="BA116" s="1"/>
      <c r="BM116" s="1"/>
      <c r="BN116" s="1"/>
      <c r="DC116" s="1"/>
    </row>
    <row r="117" spans="1:107" ht="15.75" customHeight="1" x14ac:dyDescent="0.25">
      <c r="A117" s="1"/>
      <c r="B117" s="3"/>
      <c r="C117" s="1"/>
      <c r="D117" s="1"/>
      <c r="N117" s="1"/>
      <c r="W117" s="1"/>
      <c r="X117" s="1"/>
      <c r="Y117" s="1"/>
      <c r="Z117" s="1"/>
      <c r="AA117" s="1"/>
      <c r="AB117" s="1"/>
      <c r="AI117" s="1"/>
      <c r="AK117" s="1"/>
      <c r="AU117" s="1"/>
      <c r="AV117" s="1"/>
      <c r="AW117" s="1"/>
      <c r="AX117" s="1"/>
      <c r="AY117" s="1"/>
      <c r="BA117" s="1"/>
      <c r="BM117" s="1"/>
      <c r="BN117" s="1"/>
      <c r="DC117" s="1"/>
    </row>
    <row r="118" spans="1:107" ht="15.75" customHeight="1" x14ac:dyDescent="0.25">
      <c r="A118" s="1"/>
      <c r="B118" s="3"/>
      <c r="C118" s="1"/>
      <c r="D118" s="1"/>
      <c r="N118" s="1"/>
      <c r="W118" s="1"/>
      <c r="X118" s="1"/>
      <c r="Y118" s="1"/>
      <c r="Z118" s="1"/>
      <c r="AA118" s="1"/>
      <c r="AB118" s="1"/>
      <c r="AI118" s="1"/>
      <c r="AK118" s="1"/>
      <c r="AU118" s="1"/>
      <c r="AV118" s="1"/>
      <c r="AW118" s="1"/>
      <c r="AX118" s="1"/>
      <c r="AY118" s="1"/>
      <c r="BA118" s="1"/>
      <c r="BM118" s="1"/>
      <c r="BN118" s="1"/>
      <c r="DC118" s="1"/>
    </row>
    <row r="119" spans="1:107" ht="15.75" customHeight="1" x14ac:dyDescent="0.25">
      <c r="A119" s="1"/>
      <c r="B119" s="3"/>
      <c r="C119" s="1"/>
      <c r="D119" s="1"/>
      <c r="N119" s="1"/>
      <c r="V119" s="1"/>
      <c r="W119" s="1"/>
      <c r="X119" s="1"/>
      <c r="Y119" s="1"/>
      <c r="Z119" s="1"/>
      <c r="AA119" s="1"/>
      <c r="AB119" s="1"/>
      <c r="AI119" s="1"/>
      <c r="AJ119" s="1"/>
      <c r="AK119" s="1"/>
      <c r="AU119" s="1"/>
      <c r="AV119" s="1"/>
      <c r="AW119" s="1"/>
      <c r="AX119" s="1"/>
      <c r="AY119" s="1"/>
      <c r="BA119" s="1"/>
      <c r="BM119" s="1"/>
      <c r="BN119" s="1"/>
      <c r="DC119" s="1"/>
    </row>
    <row r="120" spans="1:107" ht="15.75" customHeight="1" x14ac:dyDescent="0.25">
      <c r="A120" s="1"/>
      <c r="B120" s="3"/>
      <c r="C120" s="1"/>
      <c r="D120" s="1"/>
      <c r="N120" s="1"/>
      <c r="V120" s="1"/>
      <c r="W120" s="1"/>
      <c r="X120" s="1"/>
      <c r="Y120" s="1"/>
      <c r="Z120" s="1"/>
      <c r="AA120" s="1"/>
      <c r="AI120" s="1"/>
      <c r="AK120" s="1"/>
      <c r="AU120" s="1"/>
      <c r="AV120" s="1"/>
      <c r="AW120" s="1"/>
      <c r="AX120" s="1"/>
      <c r="AY120" s="1"/>
      <c r="AZ120" s="1"/>
      <c r="BA120" s="1"/>
    </row>
    <row r="121" spans="1:107" ht="15.75" customHeight="1" x14ac:dyDescent="0.25">
      <c r="A121" s="1"/>
      <c r="B121" s="3"/>
      <c r="C121" s="1"/>
      <c r="D121" s="1"/>
      <c r="N121" s="1"/>
      <c r="V121" s="1"/>
      <c r="W121" s="1"/>
      <c r="X121" s="1"/>
      <c r="Y121" s="1"/>
      <c r="Z121" s="1"/>
      <c r="AA121" s="1"/>
      <c r="AB121" s="1"/>
      <c r="AI121" s="1"/>
      <c r="AJ121" s="1"/>
      <c r="AK121" s="1"/>
      <c r="AU121" s="1"/>
      <c r="AV121" s="1"/>
      <c r="AW121" s="1"/>
      <c r="AX121" s="1"/>
      <c r="AY121" s="1"/>
      <c r="BA121" s="1"/>
      <c r="BM121" s="1"/>
      <c r="BN121" s="1"/>
      <c r="DC121" s="1"/>
    </row>
    <row r="122" spans="1:107" ht="15.75" customHeight="1" x14ac:dyDescent="0.25">
      <c r="A122" s="1"/>
      <c r="B122" s="3"/>
      <c r="C122" s="1"/>
      <c r="D122" s="1"/>
      <c r="N122" s="1"/>
      <c r="W122" s="1"/>
      <c r="X122" s="1"/>
      <c r="Y122" s="1"/>
      <c r="Z122" s="1"/>
      <c r="AA122" s="1"/>
      <c r="AB122" s="1"/>
      <c r="AI122" s="1"/>
      <c r="AK122" s="1"/>
      <c r="AU122" s="1"/>
      <c r="AV122" s="1"/>
      <c r="AW122" s="1"/>
      <c r="AX122" s="1"/>
      <c r="AY122" s="1"/>
      <c r="BA122" s="1"/>
      <c r="BM122" s="1"/>
      <c r="BN122" s="1"/>
      <c r="DC122" s="1"/>
    </row>
    <row r="123" spans="1:107" ht="15.75" customHeight="1" x14ac:dyDescent="0.25">
      <c r="A123" s="1"/>
      <c r="B123" s="3"/>
      <c r="C123" s="1"/>
      <c r="D123" s="1"/>
      <c r="N123" s="1"/>
      <c r="W123" s="1"/>
      <c r="X123" s="1"/>
      <c r="Y123" s="1"/>
      <c r="Z123" s="1"/>
      <c r="AA123" s="1"/>
      <c r="AB123" s="1"/>
      <c r="AI123" s="1"/>
      <c r="AJ123" s="1"/>
      <c r="AK123" s="1"/>
      <c r="AU123" s="1"/>
      <c r="AV123" s="1"/>
      <c r="AW123" s="1"/>
      <c r="AX123" s="1"/>
      <c r="AY123" s="1"/>
      <c r="BA123" s="1"/>
      <c r="BM123" s="1"/>
      <c r="BN123" s="1"/>
      <c r="BV123" s="1"/>
      <c r="DC123" s="1"/>
    </row>
    <row r="124" spans="1:107" ht="15.75" customHeight="1" x14ac:dyDescent="0.25">
      <c r="A124" s="1"/>
      <c r="B124" s="3"/>
      <c r="C124" s="1"/>
      <c r="D124" s="1"/>
      <c r="N124" s="1"/>
      <c r="V124" s="1"/>
      <c r="W124" s="1"/>
      <c r="X124" s="1"/>
      <c r="Y124" s="1"/>
      <c r="Z124" s="1"/>
      <c r="AA124" s="1"/>
      <c r="AB124" s="1"/>
      <c r="AI124" s="1"/>
      <c r="AK124" s="1"/>
      <c r="AU124" s="1"/>
      <c r="AV124" s="1"/>
      <c r="AW124" s="1"/>
      <c r="AX124" s="1"/>
      <c r="AY124" s="1"/>
      <c r="BA124" s="1"/>
      <c r="BM124" s="1"/>
      <c r="BN124" s="1"/>
      <c r="DC124" s="1"/>
    </row>
    <row r="125" spans="1:107" ht="15.75" customHeight="1" x14ac:dyDescent="0.25">
      <c r="A125" s="1"/>
      <c r="B125" s="3"/>
      <c r="C125" s="1"/>
      <c r="D125" s="1"/>
      <c r="N125" s="1"/>
      <c r="W125" s="1"/>
      <c r="X125" s="1"/>
      <c r="Y125" s="1"/>
      <c r="Z125" s="1"/>
      <c r="AA125" s="1"/>
      <c r="AB125" s="1"/>
      <c r="AI125" s="1"/>
      <c r="AK125" s="1"/>
      <c r="AU125" s="1"/>
      <c r="AV125" s="1"/>
      <c r="AW125" s="1"/>
      <c r="AX125" s="1"/>
      <c r="AY125" s="1"/>
      <c r="BA125" s="1"/>
      <c r="BM125" s="1"/>
      <c r="BN125" s="1"/>
      <c r="DC125" s="1"/>
    </row>
    <row r="126" spans="1:107" ht="15.75" customHeight="1" x14ac:dyDescent="0.25">
      <c r="A126" s="1"/>
      <c r="B126" s="3"/>
      <c r="C126" s="1"/>
      <c r="D126" s="1"/>
      <c r="N126" s="1"/>
      <c r="W126" s="1"/>
      <c r="X126" s="1"/>
      <c r="Y126" s="1"/>
      <c r="Z126" s="1"/>
      <c r="AA126" s="1"/>
      <c r="AB126" s="1"/>
      <c r="AI126" s="1"/>
      <c r="AK126" s="1"/>
      <c r="AU126" s="1"/>
      <c r="AV126" s="1"/>
      <c r="AW126" s="1"/>
      <c r="AX126" s="1"/>
      <c r="AY126" s="1"/>
      <c r="BA126" s="1"/>
      <c r="BM126" s="1"/>
      <c r="BN126" s="1"/>
      <c r="DC126" s="1"/>
    </row>
    <row r="127" spans="1:107" ht="15.75" customHeight="1" x14ac:dyDescent="0.25">
      <c r="A127" s="1"/>
      <c r="B127" s="3"/>
      <c r="C127" s="1"/>
      <c r="D127" s="1"/>
      <c r="N127" s="1"/>
      <c r="V127" s="1"/>
      <c r="W127" s="1"/>
      <c r="X127" s="1"/>
      <c r="Y127" s="1"/>
      <c r="Z127" s="1"/>
      <c r="AA127" s="1"/>
      <c r="AB127" s="1"/>
      <c r="AI127" s="1"/>
      <c r="AK127" s="1"/>
      <c r="AU127" s="1"/>
      <c r="AV127" s="1"/>
      <c r="AW127" s="1"/>
      <c r="AX127" s="1"/>
      <c r="AY127" s="1"/>
      <c r="BA127" s="1"/>
      <c r="BM127" s="1"/>
      <c r="BN127" s="1"/>
      <c r="CH127" s="1"/>
      <c r="CJ127" s="1"/>
      <c r="CL127" s="1"/>
      <c r="DC127" s="1"/>
    </row>
    <row r="128" spans="1:107" ht="15.75" customHeight="1" x14ac:dyDescent="0.25">
      <c r="A128" s="1"/>
      <c r="B128" s="3"/>
      <c r="C128" s="1"/>
      <c r="D128" s="1"/>
      <c r="N128" s="1"/>
      <c r="W128" s="1"/>
      <c r="X128" s="1"/>
      <c r="Y128" s="1"/>
      <c r="Z128" s="1"/>
      <c r="AA128" s="1"/>
      <c r="AI128" s="1"/>
      <c r="AV128" s="1"/>
      <c r="AW128" s="1"/>
      <c r="AX128" s="1"/>
    </row>
    <row r="129" spans="1:107" ht="15.75" customHeight="1" x14ac:dyDescent="0.25">
      <c r="A129" s="1"/>
      <c r="B129" s="3"/>
      <c r="C129" s="1"/>
      <c r="D129" s="1"/>
      <c r="N129" s="1"/>
      <c r="W129" s="1"/>
      <c r="X129" s="1"/>
      <c r="Y129" s="1"/>
      <c r="Z129" s="1"/>
      <c r="AA129" s="1"/>
      <c r="AI129" s="1"/>
      <c r="AV129" s="1"/>
      <c r="AW129" s="1"/>
      <c r="AX129" s="1"/>
    </row>
    <row r="130" spans="1:107" ht="15.75" customHeight="1" x14ac:dyDescent="0.25">
      <c r="A130" s="1"/>
      <c r="B130" s="3"/>
      <c r="C130" s="1"/>
      <c r="D130" s="1"/>
      <c r="N130" s="1"/>
      <c r="W130" s="1"/>
      <c r="X130" s="1"/>
      <c r="Y130" s="1"/>
      <c r="Z130" s="1"/>
      <c r="AA130" s="1"/>
      <c r="AB130" s="1"/>
      <c r="AI130" s="1"/>
      <c r="AK130" s="1"/>
      <c r="AU130" s="1"/>
      <c r="AV130" s="1"/>
      <c r="AW130" s="1"/>
      <c r="AX130" s="1"/>
      <c r="AY130" s="1"/>
      <c r="BA130" s="1"/>
      <c r="BM130" s="1"/>
      <c r="BN130" s="1"/>
      <c r="CH130" s="1"/>
      <c r="CJ130" s="1"/>
      <c r="CL130" s="1"/>
      <c r="CR130" s="1"/>
      <c r="DC130" s="1"/>
    </row>
    <row r="131" spans="1:107" ht="15.75" customHeight="1" x14ac:dyDescent="0.25">
      <c r="A131" s="1"/>
      <c r="B131" s="3"/>
      <c r="C131" s="1"/>
      <c r="D131" s="1"/>
      <c r="N131" s="1"/>
      <c r="W131" s="1"/>
      <c r="X131" s="1"/>
      <c r="Y131" s="1"/>
      <c r="Z131" s="1"/>
      <c r="AA131" s="1"/>
      <c r="AB131" s="1"/>
      <c r="AI131" s="1"/>
      <c r="AK131" s="1"/>
      <c r="AU131" s="1"/>
      <c r="AV131" s="1"/>
      <c r="AW131" s="1"/>
      <c r="AX131" s="1"/>
      <c r="AY131" s="1"/>
      <c r="BA131" s="1"/>
      <c r="BM131" s="1"/>
      <c r="BN131" s="1"/>
      <c r="CH131" s="1"/>
      <c r="CI131" s="1"/>
      <c r="CJ131" s="1"/>
      <c r="CK131" s="1"/>
      <c r="CL131" s="1"/>
      <c r="DC131" s="1"/>
    </row>
    <row r="132" spans="1:107" ht="15.75" customHeight="1" x14ac:dyDescent="0.25">
      <c r="A132" s="1"/>
      <c r="B132" s="3"/>
      <c r="C132" s="1"/>
      <c r="D132" s="1"/>
      <c r="N132" s="1"/>
      <c r="W132" s="1"/>
      <c r="X132" s="1"/>
      <c r="Y132" s="1"/>
      <c r="Z132" s="1"/>
      <c r="AA132" s="1"/>
      <c r="AB132" s="1"/>
      <c r="AI132" s="1"/>
      <c r="AK132" s="1"/>
      <c r="AU132" s="1"/>
      <c r="AV132" s="1"/>
      <c r="AW132" s="1"/>
      <c r="AX132" s="1"/>
      <c r="AY132" s="1"/>
      <c r="AZ132" s="1"/>
      <c r="BA132" s="1"/>
      <c r="CR132" s="1"/>
      <c r="CT132" s="1"/>
      <c r="DC132" s="1"/>
    </row>
    <row r="133" spans="1:107" ht="15.75" customHeight="1" x14ac:dyDescent="0.25">
      <c r="A133" s="1"/>
      <c r="B133" s="3"/>
      <c r="C133" s="1"/>
      <c r="D133" s="1"/>
      <c r="M133" s="1"/>
      <c r="N133" s="1"/>
      <c r="V133" s="1"/>
      <c r="W133" s="1"/>
      <c r="X133" s="1"/>
      <c r="Y133" s="1"/>
      <c r="Z133" s="1"/>
      <c r="AA133" s="1"/>
      <c r="AB133" s="1"/>
      <c r="AI133" s="1"/>
      <c r="AK133" s="1"/>
      <c r="AU133" s="1"/>
      <c r="AV133" s="1"/>
      <c r="AW133" s="1"/>
      <c r="AX133" s="1"/>
      <c r="AY133" s="1"/>
      <c r="BA133" s="1"/>
      <c r="BM133" s="1"/>
      <c r="BN133" s="1"/>
      <c r="DC133" s="1"/>
    </row>
    <row r="134" spans="1:107" ht="15.75" customHeight="1" x14ac:dyDescent="0.25">
      <c r="A134" s="1"/>
      <c r="B134" s="3"/>
      <c r="C134" s="1"/>
      <c r="D134" s="1"/>
      <c r="N134" s="1"/>
      <c r="V134" s="1"/>
      <c r="W134" s="1"/>
      <c r="X134" s="1"/>
      <c r="Y134" s="1"/>
      <c r="Z134" s="1"/>
      <c r="AA134" s="1"/>
      <c r="AB134" s="1"/>
      <c r="AI134" s="1"/>
      <c r="AK134" s="1"/>
      <c r="AU134" s="1"/>
      <c r="AV134" s="1"/>
      <c r="AW134" s="1"/>
      <c r="AX134" s="1"/>
      <c r="AY134" s="1"/>
      <c r="BA134" s="1"/>
      <c r="BM134" s="1"/>
      <c r="BN134" s="1"/>
      <c r="CH134" s="1"/>
      <c r="CI134" s="1"/>
      <c r="CJ134" s="1"/>
      <c r="CL134" s="1"/>
      <c r="DC134" s="1"/>
    </row>
    <row r="135" spans="1:107" ht="15.75" customHeight="1" x14ac:dyDescent="0.25">
      <c r="A135" s="1"/>
      <c r="B135" s="3"/>
      <c r="C135" s="1"/>
      <c r="D135" s="1"/>
      <c r="N135" s="1"/>
      <c r="V135" s="1"/>
      <c r="W135" s="1"/>
      <c r="X135" s="1"/>
      <c r="Y135" s="1"/>
      <c r="Z135" s="1"/>
      <c r="AA135" s="1"/>
      <c r="AB135" s="1"/>
      <c r="AI135" s="1"/>
      <c r="AK135" s="1"/>
      <c r="AU135" s="1"/>
      <c r="AV135" s="1"/>
      <c r="AW135" s="1"/>
      <c r="AX135" s="1"/>
      <c r="AY135" s="1"/>
      <c r="AZ135" s="1"/>
      <c r="BA135" s="1"/>
      <c r="CB135" s="1"/>
      <c r="CF135" s="1"/>
      <c r="CG135" s="1"/>
      <c r="CH135" s="1"/>
      <c r="CI135" s="1"/>
      <c r="CJ135" s="1"/>
      <c r="CL135" s="1"/>
      <c r="DC135" s="1"/>
    </row>
    <row r="136" spans="1:107" ht="15.75" customHeight="1" x14ac:dyDescent="0.25">
      <c r="A136" s="1"/>
      <c r="B136" s="3"/>
      <c r="C136" s="1"/>
      <c r="D136" s="1"/>
      <c r="N136" s="1"/>
      <c r="O136" s="1"/>
      <c r="P136" s="1"/>
      <c r="Q136" s="1"/>
      <c r="R136" s="1"/>
      <c r="S136" s="1"/>
      <c r="T136" s="1"/>
      <c r="W136" s="1"/>
      <c r="X136" s="1"/>
      <c r="Y136" s="1"/>
      <c r="Z136" s="1"/>
      <c r="AA136" s="1"/>
      <c r="AI136" s="1"/>
      <c r="AV136" s="1"/>
      <c r="AW136" s="1"/>
      <c r="AX136" s="1"/>
    </row>
    <row r="137" spans="1:107" ht="15.75" customHeight="1" x14ac:dyDescent="0.25">
      <c r="A137" s="1"/>
      <c r="B137" s="3"/>
      <c r="C137" s="1"/>
      <c r="D137" s="1"/>
      <c r="N137" s="1"/>
      <c r="O137" s="1"/>
      <c r="P137" s="1"/>
      <c r="Q137" s="1"/>
      <c r="R137" s="1"/>
      <c r="S137" s="1"/>
      <c r="T137" s="1"/>
      <c r="W137" s="1"/>
      <c r="X137" s="1"/>
      <c r="Y137" s="1"/>
      <c r="Z137" s="1"/>
      <c r="AA137" s="1"/>
      <c r="AI137" s="1"/>
      <c r="AV137" s="1"/>
      <c r="AW137" s="1"/>
      <c r="AX137" s="1"/>
    </row>
    <row r="138" spans="1:107" ht="15.75" customHeight="1" x14ac:dyDescent="0.25">
      <c r="A138" s="1"/>
      <c r="B138" s="3"/>
      <c r="C138" s="1"/>
      <c r="D138" s="1"/>
      <c r="N138" s="1"/>
      <c r="O138" s="1"/>
      <c r="P138" s="1"/>
      <c r="Q138" s="1"/>
      <c r="R138" s="1"/>
      <c r="S138" s="1"/>
      <c r="T138" s="1"/>
      <c r="W138" s="1"/>
      <c r="X138" s="1"/>
      <c r="Y138" s="1"/>
      <c r="Z138" s="1"/>
      <c r="AA138" s="1"/>
      <c r="AI138" s="1"/>
      <c r="AV138" s="1"/>
      <c r="AW138" s="1"/>
      <c r="AX138" s="1"/>
    </row>
    <row r="139" spans="1:107" ht="15.75" customHeight="1" x14ac:dyDescent="0.25">
      <c r="A139" s="1"/>
      <c r="B139" s="3"/>
      <c r="C139" s="1"/>
      <c r="D139" s="1"/>
      <c r="N139" s="1"/>
      <c r="O139" s="1"/>
      <c r="P139" s="1"/>
      <c r="Q139" s="1"/>
      <c r="R139" s="1"/>
      <c r="S139" s="1"/>
      <c r="T139" s="1"/>
      <c r="W139" s="1"/>
      <c r="X139" s="1"/>
      <c r="Y139" s="1"/>
      <c r="Z139" s="1"/>
      <c r="AA139" s="1"/>
      <c r="AI139" s="1"/>
      <c r="AV139" s="1"/>
      <c r="AW139" s="1"/>
      <c r="AX139" s="1"/>
    </row>
    <row r="140" spans="1:107" ht="15.75" customHeight="1" x14ac:dyDescent="0.25">
      <c r="A140" s="1"/>
      <c r="B140" s="3"/>
      <c r="C140" s="1"/>
      <c r="D140" s="1"/>
      <c r="N140" s="1"/>
      <c r="O140" s="1"/>
      <c r="P140" s="1"/>
      <c r="Q140" s="1"/>
      <c r="R140" s="1"/>
      <c r="S140" s="1"/>
      <c r="T140" s="1"/>
      <c r="W140" s="1"/>
      <c r="X140" s="1"/>
      <c r="Y140" s="1"/>
      <c r="Z140" s="1"/>
      <c r="AA140" s="1"/>
      <c r="AI140" s="1"/>
      <c r="AV140" s="1"/>
      <c r="AW140" s="1"/>
      <c r="AX140" s="1"/>
    </row>
    <row r="141" spans="1:107" ht="15.75" customHeight="1" x14ac:dyDescent="0.25">
      <c r="A141" s="1"/>
      <c r="B141" s="3"/>
      <c r="C141" s="1"/>
      <c r="D141" s="1"/>
      <c r="N141" s="1"/>
      <c r="O141" s="1"/>
      <c r="P141" s="1"/>
      <c r="Q141" s="1"/>
      <c r="R141" s="1"/>
      <c r="S141" s="1"/>
      <c r="T141" s="1"/>
      <c r="W141" s="1"/>
      <c r="X141" s="1"/>
      <c r="Y141" s="1"/>
      <c r="Z141" s="1"/>
      <c r="AA141" s="1"/>
      <c r="AI141" s="1"/>
      <c r="AV141" s="1"/>
      <c r="AW141" s="1"/>
      <c r="AX141" s="1"/>
    </row>
    <row r="142" spans="1:107" ht="15.75" customHeight="1" x14ac:dyDescent="0.25">
      <c r="A142" s="1"/>
      <c r="B142" s="3"/>
      <c r="C142" s="1"/>
      <c r="D142" s="1"/>
      <c r="N142" s="1"/>
      <c r="O142" s="1"/>
      <c r="P142" s="1"/>
      <c r="Q142" s="1"/>
      <c r="R142" s="1"/>
      <c r="S142" s="1"/>
      <c r="T142" s="1"/>
      <c r="W142" s="1"/>
      <c r="X142" s="1"/>
      <c r="Y142" s="1"/>
      <c r="Z142" s="1"/>
      <c r="AA142" s="1"/>
      <c r="AI142" s="1"/>
      <c r="AV142" s="1"/>
      <c r="AW142" s="1"/>
      <c r="AX142" s="1"/>
    </row>
    <row r="143" spans="1:107" ht="15.75" customHeight="1" x14ac:dyDescent="0.25">
      <c r="A143" s="1"/>
      <c r="B143" s="3"/>
      <c r="C143" s="1"/>
      <c r="D143" s="1"/>
      <c r="M143" s="1"/>
      <c r="N143" s="1"/>
      <c r="O143" s="1"/>
      <c r="P143" s="1"/>
      <c r="Q143" s="1"/>
      <c r="R143" s="1"/>
      <c r="S143" s="1"/>
      <c r="T143" s="1"/>
      <c r="U143" s="1"/>
      <c r="W143" s="1"/>
      <c r="X143" s="1"/>
      <c r="Y143" s="1"/>
      <c r="Z143" s="1"/>
      <c r="AA143" s="1"/>
      <c r="AB143" s="1"/>
      <c r="AI143" s="1"/>
      <c r="AJ143" s="1"/>
      <c r="AV143" s="1"/>
      <c r="AW143" s="1"/>
      <c r="AX143" s="1"/>
      <c r="BA143" s="1"/>
      <c r="BL143" s="1"/>
      <c r="DC143" s="1"/>
    </row>
    <row r="144" spans="1:107" ht="15.75" customHeight="1" x14ac:dyDescent="0.25">
      <c r="A144" s="1"/>
      <c r="B144" s="3"/>
      <c r="C144" s="1"/>
      <c r="D144" s="1"/>
      <c r="N144" s="1"/>
      <c r="O144" s="1"/>
      <c r="P144" s="1"/>
      <c r="Q144" s="1"/>
      <c r="R144" s="1"/>
      <c r="S144" s="1"/>
      <c r="T144" s="1"/>
      <c r="V144" s="1"/>
      <c r="W144" s="1"/>
      <c r="X144" s="1"/>
      <c r="Y144" s="1"/>
      <c r="Z144" s="1"/>
      <c r="AA144" s="1"/>
      <c r="AI144" s="1"/>
      <c r="AK144" s="1"/>
      <c r="AU144" s="1"/>
      <c r="AV144" s="1"/>
      <c r="AW144" s="1"/>
      <c r="AX144" s="1"/>
      <c r="AY144" s="1"/>
      <c r="BM144" s="1"/>
      <c r="CH144" s="1"/>
      <c r="CJ144" s="1"/>
      <c r="CL144" s="1"/>
    </row>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3:A144">
    <cfRule type="cellIs" dxfId="15" priority="1" operator="equal">
      <formula>"FALSE"</formula>
    </cfRule>
    <cfRule type="expression" dxfId="14" priority="2">
      <formula>D1:D146="Game Enthusiast or Collector"</formula>
    </cfRule>
  </conditionalFormatting>
  <conditionalFormatting sqref="W3:AA144">
    <cfRule type="cellIs" dxfId="13" priority="3" operator="equal">
      <formula>"False"</formula>
    </cfRule>
    <cfRule type="cellIs" dxfId="12" priority="4" operator="equal">
      <formula>"True"</formula>
    </cfRule>
  </conditionalFormatting>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C1000"/>
  <sheetViews>
    <sheetView topLeftCell="AO1" workbookViewId="0">
      <pane ySplit="2" topLeftCell="A43" activePane="bottomLeft" state="frozen"/>
      <selection pane="bottomLeft" activeCell="AO53" sqref="AO53"/>
    </sheetView>
  </sheetViews>
  <sheetFormatPr defaultColWidth="12.6640625" defaultRowHeight="15" customHeight="1" x14ac:dyDescent="0.25"/>
  <cols>
    <col min="1" max="4" width="12.6640625" customWidth="1"/>
    <col min="5" max="12" width="3" customWidth="1"/>
  </cols>
  <sheetData>
    <row r="1" spans="1:107" ht="15.75" customHeight="1" x14ac:dyDescent="0.2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ht="15.75" customHeight="1" x14ac:dyDescent="0.25">
      <c r="A2" s="1" t="s">
        <v>0</v>
      </c>
      <c r="B2" s="1" t="s">
        <v>107</v>
      </c>
      <c r="C2" s="1" t="s">
        <v>108</v>
      </c>
      <c r="D2" s="1" t="s">
        <v>109</v>
      </c>
      <c r="E2" s="1"/>
      <c r="F2" s="1"/>
      <c r="G2" s="1"/>
      <c r="H2" s="1"/>
      <c r="I2" s="1"/>
      <c r="J2" s="1"/>
      <c r="K2" s="1"/>
      <c r="L2" s="1"/>
      <c r="M2" s="1" t="s">
        <v>110</v>
      </c>
      <c r="N2" s="1" t="s">
        <v>111</v>
      </c>
      <c r="O2" s="1"/>
      <c r="P2" s="1"/>
      <c r="Q2" s="1"/>
      <c r="R2" s="1"/>
      <c r="S2" s="1"/>
      <c r="T2" s="1"/>
      <c r="U2" s="1" t="s">
        <v>112</v>
      </c>
      <c r="V2" s="1" t="s">
        <v>113</v>
      </c>
      <c r="W2" s="1"/>
      <c r="X2" s="1"/>
      <c r="Y2" s="1"/>
      <c r="Z2" s="1"/>
      <c r="AA2" s="1"/>
      <c r="AB2" s="1" t="s">
        <v>114</v>
      </c>
      <c r="AC2" s="1"/>
      <c r="AD2" s="1"/>
      <c r="AE2" s="1"/>
      <c r="AF2" s="1"/>
      <c r="AG2" s="1"/>
      <c r="AH2" s="1"/>
      <c r="AI2" s="1"/>
      <c r="AJ2" s="1" t="s">
        <v>115</v>
      </c>
      <c r="AK2" s="1" t="s">
        <v>116</v>
      </c>
      <c r="AL2" s="1"/>
      <c r="AM2" s="1"/>
      <c r="AN2" s="1"/>
      <c r="AO2" s="1"/>
      <c r="AP2" s="1"/>
      <c r="AQ2" s="1"/>
      <c r="AR2" s="1"/>
      <c r="AS2" s="1"/>
      <c r="AT2" s="1" t="s">
        <v>117</v>
      </c>
      <c r="AU2" s="1" t="s">
        <v>118</v>
      </c>
      <c r="AV2" s="1"/>
      <c r="AW2" s="1"/>
      <c r="AX2" s="1"/>
      <c r="AY2" s="1" t="s">
        <v>119</v>
      </c>
      <c r="AZ2" s="1" t="s">
        <v>120</v>
      </c>
      <c r="BA2" s="1" t="s">
        <v>121</v>
      </c>
      <c r="BB2" s="1"/>
      <c r="BC2" s="1"/>
      <c r="BD2" s="1"/>
      <c r="BE2" s="1"/>
      <c r="BF2" s="1"/>
      <c r="BG2" s="1"/>
      <c r="BH2" s="1"/>
      <c r="BI2" s="1"/>
      <c r="BJ2" s="1"/>
      <c r="BK2" s="1"/>
      <c r="BL2" s="1" t="s">
        <v>122</v>
      </c>
      <c r="BM2" s="1" t="s">
        <v>123</v>
      </c>
      <c r="BN2" s="1" t="s">
        <v>124</v>
      </c>
      <c r="BO2" s="1"/>
      <c r="BP2" s="1"/>
      <c r="BQ2" s="1"/>
      <c r="BR2" s="1"/>
      <c r="BS2" s="1"/>
      <c r="BT2" s="1"/>
      <c r="BU2" s="1"/>
      <c r="BV2" s="1" t="s">
        <v>125</v>
      </c>
      <c r="BW2" s="1" t="s">
        <v>126</v>
      </c>
      <c r="BX2" s="1" t="s">
        <v>127</v>
      </c>
      <c r="BY2" s="1" t="s">
        <v>128</v>
      </c>
      <c r="BZ2" s="1" t="s">
        <v>129</v>
      </c>
      <c r="CA2" s="1" t="s">
        <v>130</v>
      </c>
      <c r="CB2" s="1" t="s">
        <v>131</v>
      </c>
      <c r="CC2" s="1" t="s">
        <v>132</v>
      </c>
      <c r="CD2" s="1" t="s">
        <v>133</v>
      </c>
      <c r="CE2" s="1" t="s">
        <v>134</v>
      </c>
      <c r="CF2" s="1" t="s">
        <v>135</v>
      </c>
      <c r="CG2" s="1" t="s">
        <v>136</v>
      </c>
      <c r="CH2" s="1" t="s">
        <v>137</v>
      </c>
      <c r="CI2" s="1" t="s">
        <v>138</v>
      </c>
      <c r="CJ2" s="1" t="s">
        <v>139</v>
      </c>
      <c r="CK2" s="1" t="s">
        <v>140</v>
      </c>
      <c r="CL2" s="1" t="s">
        <v>141</v>
      </c>
      <c r="CM2" s="1" t="s">
        <v>142</v>
      </c>
      <c r="CN2" s="1" t="s">
        <v>143</v>
      </c>
      <c r="CO2" s="1" t="s">
        <v>144</v>
      </c>
      <c r="CP2" s="1" t="s">
        <v>145</v>
      </c>
      <c r="CQ2" s="1" t="s">
        <v>146</v>
      </c>
      <c r="CR2" s="1" t="s">
        <v>147</v>
      </c>
      <c r="CS2" s="1" t="s">
        <v>148</v>
      </c>
      <c r="CT2" s="1" t="s">
        <v>149</v>
      </c>
      <c r="CU2" s="1" t="s">
        <v>150</v>
      </c>
      <c r="CV2" s="1" t="s">
        <v>151</v>
      </c>
      <c r="CW2" s="1" t="s">
        <v>152</v>
      </c>
      <c r="CX2" s="1" t="s">
        <v>153</v>
      </c>
      <c r="CY2" s="1" t="s">
        <v>154</v>
      </c>
      <c r="CZ2" s="1" t="s">
        <v>155</v>
      </c>
      <c r="DA2" s="1" t="s">
        <v>156</v>
      </c>
      <c r="DB2" s="1" t="s">
        <v>152</v>
      </c>
      <c r="DC2" s="1" t="s">
        <v>157</v>
      </c>
    </row>
    <row r="3" spans="1:107" ht="15.75" customHeight="1" x14ac:dyDescent="0.25">
      <c r="A3" s="1" t="b">
        <v>1</v>
      </c>
      <c r="B3" s="3">
        <v>46170.468182870369</v>
      </c>
      <c r="C3" s="1" t="s">
        <v>761</v>
      </c>
      <c r="D3" s="1" t="s">
        <v>4</v>
      </c>
      <c r="E3" s="4">
        <f t="shared" ref="E3:K3" si="0">IF(ISNUMBER(SEARCH(E$1,$D3)), SEARCH(E$1,$D3), 0)</f>
        <v>1</v>
      </c>
      <c r="F3" s="4">
        <f t="shared" si="0"/>
        <v>0</v>
      </c>
      <c r="G3" s="4">
        <f t="shared" si="0"/>
        <v>0</v>
      </c>
      <c r="H3" s="4">
        <f t="shared" si="0"/>
        <v>0</v>
      </c>
      <c r="I3" s="4">
        <f t="shared" si="0"/>
        <v>0</v>
      </c>
      <c r="J3" s="4">
        <f t="shared" si="0"/>
        <v>0</v>
      </c>
      <c r="K3" s="4">
        <f t="shared" si="0"/>
        <v>0</v>
      </c>
      <c r="L3" s="4">
        <f t="shared" ref="L3:L52" si="1">(MAX(E3:K3))</f>
        <v>1</v>
      </c>
      <c r="N3" s="1" t="s">
        <v>187</v>
      </c>
      <c r="O3" s="4">
        <f t="shared" ref="O3:T3" si="2">IF(ISNUMBER(SEARCH(O$1,$N3)), 1, 0)</f>
        <v>1</v>
      </c>
      <c r="P3" s="4">
        <f t="shared" si="2"/>
        <v>1</v>
      </c>
      <c r="Q3" s="4">
        <f t="shared" si="2"/>
        <v>1</v>
      </c>
      <c r="R3" s="4">
        <f t="shared" si="2"/>
        <v>1</v>
      </c>
      <c r="S3" s="4">
        <f t="shared" si="2"/>
        <v>1</v>
      </c>
      <c r="T3" s="4">
        <f t="shared" si="2"/>
        <v>1</v>
      </c>
      <c r="V3" s="1" t="s">
        <v>22</v>
      </c>
      <c r="W3" s="1" t="str">
        <f t="shared" ref="W3:AA12" si="3">IF(W$1=$V3, "True", "False")</f>
        <v>True</v>
      </c>
      <c r="X3" s="1" t="str">
        <f t="shared" si="3"/>
        <v>False</v>
      </c>
      <c r="Y3" s="1" t="str">
        <f t="shared" si="3"/>
        <v>False</v>
      </c>
      <c r="Z3" s="1" t="str">
        <f t="shared" si="3"/>
        <v>False</v>
      </c>
      <c r="AA3" s="1" t="str">
        <f t="shared" si="3"/>
        <v>False</v>
      </c>
      <c r="AC3" s="4">
        <f t="shared" ref="AC3:AH3" si="4">IF(ISNUMBER(SEARCH(AC$1,$AB3)), 1, 0)</f>
        <v>0</v>
      </c>
      <c r="AD3" s="4">
        <f t="shared" si="4"/>
        <v>0</v>
      </c>
      <c r="AE3" s="4">
        <f t="shared" si="4"/>
        <v>0</v>
      </c>
      <c r="AF3" s="4">
        <f t="shared" si="4"/>
        <v>0</v>
      </c>
      <c r="AG3" s="4">
        <f t="shared" si="4"/>
        <v>0</v>
      </c>
      <c r="AH3" s="4">
        <f t="shared" si="4"/>
        <v>0</v>
      </c>
      <c r="AI3" s="1">
        <f t="shared" ref="AI3:AI52" si="5">SUM(AC3:AH3)</f>
        <v>0</v>
      </c>
      <c r="AK3" s="1" t="s">
        <v>365</v>
      </c>
      <c r="AL3" s="4">
        <f t="shared" ref="AL3:AS3" si="6">IF(ISNUMBER(SEARCH(AL$1,$AK3)), 1, 0)</f>
        <v>1</v>
      </c>
      <c r="AM3" s="4">
        <f t="shared" si="6"/>
        <v>1</v>
      </c>
      <c r="AN3" s="4">
        <f t="shared" si="6"/>
        <v>1</v>
      </c>
      <c r="AO3" s="4">
        <f t="shared" si="6"/>
        <v>1</v>
      </c>
      <c r="AP3" s="4">
        <f t="shared" si="6"/>
        <v>1</v>
      </c>
      <c r="AQ3" s="4">
        <f t="shared" si="6"/>
        <v>1</v>
      </c>
      <c r="AR3" s="4">
        <f t="shared" si="6"/>
        <v>1</v>
      </c>
      <c r="AS3" s="4">
        <f t="shared" si="6"/>
        <v>1</v>
      </c>
      <c r="AU3" s="1" t="s">
        <v>47</v>
      </c>
      <c r="AV3" s="1">
        <f t="shared" ref="AV3:AV52" si="7">IF($AU3="No",1,0)</f>
        <v>1</v>
      </c>
      <c r="AW3" s="1">
        <f t="shared" ref="AW3:AW52" si="8">IF($AU3="Yes",1,0)</f>
        <v>0</v>
      </c>
      <c r="AX3" s="1">
        <f t="shared" ref="AX3:AX52" si="9">IF($AU3="Unsure",1,0)</f>
        <v>0</v>
      </c>
      <c r="AY3" s="1" t="s">
        <v>48</v>
      </c>
      <c r="BA3" s="1" t="s">
        <v>762</v>
      </c>
      <c r="BB3" s="4">
        <f t="shared" ref="BB3:BJ3" si="10">IF(ISNUMBER(SEARCH(BB$1,$BA3)), 1, 0)</f>
        <v>0</v>
      </c>
      <c r="BC3" s="4">
        <f t="shared" si="10"/>
        <v>0</v>
      </c>
      <c r="BD3" s="4">
        <f t="shared" si="10"/>
        <v>1</v>
      </c>
      <c r="BE3" s="4">
        <f t="shared" si="10"/>
        <v>1</v>
      </c>
      <c r="BF3" s="4">
        <f t="shared" si="10"/>
        <v>1</v>
      </c>
      <c r="BG3" s="4">
        <f t="shared" si="10"/>
        <v>1</v>
      </c>
      <c r="BH3" s="4">
        <f t="shared" si="10"/>
        <v>0</v>
      </c>
      <c r="BI3" s="4">
        <f t="shared" si="10"/>
        <v>0</v>
      </c>
      <c r="BJ3" s="4">
        <f t="shared" si="10"/>
        <v>0</v>
      </c>
      <c r="BK3" s="4">
        <f t="shared" ref="BK3:BK52" si="11">SUM(BB3:BJ3)</f>
        <v>4</v>
      </c>
      <c r="BM3" s="1" t="s">
        <v>232</v>
      </c>
      <c r="BN3" s="1" t="s">
        <v>404</v>
      </c>
      <c r="BO3" s="4">
        <f t="shared" ref="BO3:BU3" si="12">IF(ISNUMBER(SEARCH(BO$1,$BN3)), 1, 0)</f>
        <v>0</v>
      </c>
      <c r="BP3" s="4">
        <f t="shared" si="12"/>
        <v>0</v>
      </c>
      <c r="BQ3" s="4">
        <f t="shared" si="12"/>
        <v>0</v>
      </c>
      <c r="BR3" s="4">
        <f t="shared" si="12"/>
        <v>0</v>
      </c>
      <c r="BS3" s="4">
        <f t="shared" si="12"/>
        <v>0</v>
      </c>
      <c r="BT3" s="4">
        <f t="shared" si="12"/>
        <v>0</v>
      </c>
      <c r="BU3" s="4">
        <f t="shared" si="12"/>
        <v>0</v>
      </c>
      <c r="BV3" s="1" t="s">
        <v>763</v>
      </c>
      <c r="DC3" s="1" t="s">
        <v>180</v>
      </c>
    </row>
    <row r="4" spans="1:107" ht="15.75" customHeight="1" x14ac:dyDescent="0.25">
      <c r="A4" s="1" t="b">
        <v>1</v>
      </c>
      <c r="B4" s="3">
        <v>46164.884675925925</v>
      </c>
      <c r="C4" s="1" t="s">
        <v>570</v>
      </c>
      <c r="D4" s="1" t="s">
        <v>4</v>
      </c>
      <c r="E4" s="4">
        <f t="shared" ref="E4:K4" si="13">IF(ISNUMBER(SEARCH(E$1,$D4)), SEARCH(E$1,$D4), 0)</f>
        <v>1</v>
      </c>
      <c r="F4" s="4">
        <f t="shared" si="13"/>
        <v>0</v>
      </c>
      <c r="G4" s="4">
        <f t="shared" si="13"/>
        <v>0</v>
      </c>
      <c r="H4" s="4">
        <f t="shared" si="13"/>
        <v>0</v>
      </c>
      <c r="I4" s="4">
        <f t="shared" si="13"/>
        <v>0</v>
      </c>
      <c r="J4" s="4">
        <f t="shared" si="13"/>
        <v>0</v>
      </c>
      <c r="K4" s="4">
        <f t="shared" si="13"/>
        <v>0</v>
      </c>
      <c r="L4" s="4">
        <f t="shared" si="1"/>
        <v>1</v>
      </c>
      <c r="N4" s="1" t="s">
        <v>323</v>
      </c>
      <c r="O4" s="4">
        <f t="shared" ref="O4:T4" si="14">IF(ISNUMBER(SEARCH(O$1,$N4)), 1, 0)</f>
        <v>1</v>
      </c>
      <c r="P4" s="4">
        <f t="shared" si="14"/>
        <v>1</v>
      </c>
      <c r="Q4" s="4">
        <f t="shared" si="14"/>
        <v>1</v>
      </c>
      <c r="R4" s="4">
        <f t="shared" si="14"/>
        <v>1</v>
      </c>
      <c r="S4" s="4">
        <f t="shared" si="14"/>
        <v>0</v>
      </c>
      <c r="T4" s="4">
        <f t="shared" si="14"/>
        <v>1</v>
      </c>
      <c r="V4" s="1" t="s">
        <v>22</v>
      </c>
      <c r="W4" s="1" t="str">
        <f t="shared" si="3"/>
        <v>True</v>
      </c>
      <c r="X4" s="1" t="str">
        <f t="shared" si="3"/>
        <v>False</v>
      </c>
      <c r="Y4" s="1" t="str">
        <f t="shared" si="3"/>
        <v>False</v>
      </c>
      <c r="Z4" s="1" t="str">
        <f t="shared" si="3"/>
        <v>False</v>
      </c>
      <c r="AA4" s="1" t="str">
        <f t="shared" si="3"/>
        <v>False</v>
      </c>
      <c r="AB4" s="1" t="s">
        <v>401</v>
      </c>
      <c r="AC4" s="4">
        <f t="shared" ref="AC4:AH4" si="15">IF(ISNUMBER(SEARCH(AC$1,$AB4)), 1, 0)</f>
        <v>0</v>
      </c>
      <c r="AD4" s="4">
        <f t="shared" si="15"/>
        <v>0</v>
      </c>
      <c r="AE4" s="4">
        <f t="shared" si="15"/>
        <v>0</v>
      </c>
      <c r="AF4" s="4">
        <f t="shared" si="15"/>
        <v>0</v>
      </c>
      <c r="AG4" s="4">
        <f t="shared" si="15"/>
        <v>0</v>
      </c>
      <c r="AH4" s="4">
        <f t="shared" si="15"/>
        <v>1</v>
      </c>
      <c r="AI4" s="1">
        <f t="shared" si="5"/>
        <v>1</v>
      </c>
      <c r="AJ4" s="1" t="s">
        <v>571</v>
      </c>
      <c r="AK4" s="1" t="s">
        <v>572</v>
      </c>
      <c r="AL4" s="4">
        <f t="shared" ref="AL4:AS4" si="16">IF(ISNUMBER(SEARCH(AL$1,$AK4)), 1, 0)</f>
        <v>1</v>
      </c>
      <c r="AM4" s="4">
        <f t="shared" si="16"/>
        <v>1</v>
      </c>
      <c r="AN4" s="4">
        <f t="shared" si="16"/>
        <v>1</v>
      </c>
      <c r="AO4" s="4">
        <f t="shared" si="16"/>
        <v>1</v>
      </c>
      <c r="AP4" s="4">
        <f t="shared" si="16"/>
        <v>1</v>
      </c>
      <c r="AQ4" s="4">
        <f t="shared" si="16"/>
        <v>1</v>
      </c>
      <c r="AR4" s="4">
        <f t="shared" si="16"/>
        <v>0</v>
      </c>
      <c r="AS4" s="4">
        <f t="shared" si="16"/>
        <v>1</v>
      </c>
      <c r="AU4" s="1" t="s">
        <v>47</v>
      </c>
      <c r="AV4" s="1">
        <f t="shared" si="7"/>
        <v>1</v>
      </c>
      <c r="AW4" s="1">
        <f t="shared" si="8"/>
        <v>0</v>
      </c>
      <c r="AX4" s="1">
        <f t="shared" si="9"/>
        <v>0</v>
      </c>
      <c r="AY4" s="1" t="s">
        <v>48</v>
      </c>
      <c r="BA4" s="1" t="s">
        <v>197</v>
      </c>
      <c r="BB4" s="4">
        <f t="shared" ref="BB4:BJ4" si="17">IF(ISNUMBER(SEARCH(BB$1,$BA4)), 1, 0)</f>
        <v>0</v>
      </c>
      <c r="BC4" s="4">
        <f t="shared" si="17"/>
        <v>0</v>
      </c>
      <c r="BD4" s="4">
        <f t="shared" si="17"/>
        <v>1</v>
      </c>
      <c r="BE4" s="4">
        <f t="shared" si="17"/>
        <v>1</v>
      </c>
      <c r="BF4" s="4">
        <f t="shared" si="17"/>
        <v>1</v>
      </c>
      <c r="BG4" s="4">
        <f t="shared" si="17"/>
        <v>0</v>
      </c>
      <c r="BH4" s="4">
        <f t="shared" si="17"/>
        <v>0</v>
      </c>
      <c r="BI4" s="4">
        <f t="shared" si="17"/>
        <v>0</v>
      </c>
      <c r="BJ4" s="4">
        <f t="shared" si="17"/>
        <v>1</v>
      </c>
      <c r="BK4" s="4">
        <f t="shared" si="11"/>
        <v>4</v>
      </c>
      <c r="BM4" s="1" t="s">
        <v>232</v>
      </c>
      <c r="BN4" s="1" t="s">
        <v>573</v>
      </c>
      <c r="BO4" s="4">
        <f t="shared" ref="BO4:BU4" si="18">IF(ISNUMBER(SEARCH(BO$1,$BN4)), 1, 0)</f>
        <v>0</v>
      </c>
      <c r="BP4" s="4">
        <f t="shared" si="18"/>
        <v>1</v>
      </c>
      <c r="BQ4" s="4">
        <f t="shared" si="18"/>
        <v>1</v>
      </c>
      <c r="BR4" s="4">
        <f t="shared" si="18"/>
        <v>1</v>
      </c>
      <c r="BS4" s="4">
        <f t="shared" si="18"/>
        <v>0</v>
      </c>
      <c r="BT4" s="4">
        <f t="shared" si="18"/>
        <v>1</v>
      </c>
      <c r="BU4" s="4">
        <f t="shared" si="18"/>
        <v>0</v>
      </c>
      <c r="DC4" s="1" t="s">
        <v>180</v>
      </c>
    </row>
    <row r="5" spans="1:107" ht="15.75" customHeight="1" x14ac:dyDescent="0.25">
      <c r="A5" s="1" t="b">
        <v>1</v>
      </c>
      <c r="B5" s="3">
        <v>46173.182106481479</v>
      </c>
      <c r="C5" s="1" t="s">
        <v>796</v>
      </c>
      <c r="D5" s="1" t="s">
        <v>4</v>
      </c>
      <c r="E5" s="4">
        <f t="shared" ref="E5:K5" si="19">IF(ISNUMBER(SEARCH(E$1,$D5)), SEARCH(E$1,$D5), 0)</f>
        <v>1</v>
      </c>
      <c r="F5" s="4">
        <f t="shared" si="19"/>
        <v>0</v>
      </c>
      <c r="G5" s="4">
        <f t="shared" si="19"/>
        <v>0</v>
      </c>
      <c r="H5" s="4">
        <f t="shared" si="19"/>
        <v>0</v>
      </c>
      <c r="I5" s="4">
        <f t="shared" si="19"/>
        <v>0</v>
      </c>
      <c r="J5" s="4">
        <f t="shared" si="19"/>
        <v>0</v>
      </c>
      <c r="K5" s="4">
        <f t="shared" si="19"/>
        <v>0</v>
      </c>
      <c r="L5" s="4">
        <f t="shared" si="1"/>
        <v>1</v>
      </c>
      <c r="N5" s="1" t="s">
        <v>240</v>
      </c>
      <c r="O5" s="4">
        <f t="shared" ref="O5:T5" si="20">IF(ISNUMBER(SEARCH(O$1,$N5)), 1, 0)</f>
        <v>1</v>
      </c>
      <c r="P5" s="4">
        <f t="shared" si="20"/>
        <v>1</v>
      </c>
      <c r="Q5" s="4">
        <f t="shared" si="20"/>
        <v>1</v>
      </c>
      <c r="R5" s="4">
        <f t="shared" si="20"/>
        <v>1</v>
      </c>
      <c r="S5" s="4">
        <f t="shared" si="20"/>
        <v>0</v>
      </c>
      <c r="T5" s="4">
        <f t="shared" si="20"/>
        <v>0</v>
      </c>
      <c r="V5" s="1" t="s">
        <v>24</v>
      </c>
      <c r="W5" s="1" t="str">
        <f t="shared" si="3"/>
        <v>False</v>
      </c>
      <c r="X5" s="1" t="str">
        <f t="shared" si="3"/>
        <v>False</v>
      </c>
      <c r="Y5" s="1" t="str">
        <f t="shared" si="3"/>
        <v>True</v>
      </c>
      <c r="Z5" s="1" t="str">
        <f t="shared" si="3"/>
        <v>False</v>
      </c>
      <c r="AA5" s="1" t="str">
        <f t="shared" si="3"/>
        <v>False</v>
      </c>
      <c r="AB5" s="1" t="s">
        <v>685</v>
      </c>
      <c r="AC5" s="4">
        <f t="shared" ref="AC5:AH5" si="21">IF(ISNUMBER(SEARCH(AC$1,$AB5)), 1, 0)</f>
        <v>0</v>
      </c>
      <c r="AD5" s="4">
        <f t="shared" si="21"/>
        <v>0</v>
      </c>
      <c r="AE5" s="4">
        <f t="shared" si="21"/>
        <v>0</v>
      </c>
      <c r="AF5" s="4">
        <f t="shared" si="21"/>
        <v>1</v>
      </c>
      <c r="AG5" s="4">
        <f t="shared" si="21"/>
        <v>1</v>
      </c>
      <c r="AH5" s="4">
        <f t="shared" si="21"/>
        <v>1</v>
      </c>
      <c r="AI5" s="1">
        <f t="shared" si="5"/>
        <v>3</v>
      </c>
      <c r="AK5" s="1" t="s">
        <v>553</v>
      </c>
      <c r="AL5" s="4">
        <f t="shared" ref="AL5:AS5" si="22">IF(ISNUMBER(SEARCH(AL$1,$AK5)), 1, 0)</f>
        <v>1</v>
      </c>
      <c r="AM5" s="4">
        <f t="shared" si="22"/>
        <v>1</v>
      </c>
      <c r="AN5" s="4">
        <f t="shared" si="22"/>
        <v>1</v>
      </c>
      <c r="AO5" s="4">
        <f t="shared" si="22"/>
        <v>1</v>
      </c>
      <c r="AP5" s="4">
        <f t="shared" si="22"/>
        <v>0</v>
      </c>
      <c r="AQ5" s="4">
        <f t="shared" si="22"/>
        <v>1</v>
      </c>
      <c r="AR5" s="4">
        <f t="shared" si="22"/>
        <v>1</v>
      </c>
      <c r="AS5" s="4">
        <f t="shared" si="22"/>
        <v>0</v>
      </c>
      <c r="AU5" s="1" t="s">
        <v>48</v>
      </c>
      <c r="AV5" s="1">
        <f t="shared" si="7"/>
        <v>0</v>
      </c>
      <c r="AW5" s="1">
        <f t="shared" si="8"/>
        <v>1</v>
      </c>
      <c r="AX5" s="1">
        <f t="shared" si="9"/>
        <v>0</v>
      </c>
      <c r="AY5" s="1" t="s">
        <v>48</v>
      </c>
      <c r="BA5" s="1" t="s">
        <v>797</v>
      </c>
      <c r="BB5" s="4">
        <f t="shared" ref="BB5:BJ5" si="23">IF(ISNUMBER(SEARCH(BB$1,$BA5)), 1, 0)</f>
        <v>0</v>
      </c>
      <c r="BC5" s="4">
        <f t="shared" si="23"/>
        <v>1</v>
      </c>
      <c r="BD5" s="4">
        <f t="shared" si="23"/>
        <v>0</v>
      </c>
      <c r="BE5" s="4">
        <f t="shared" si="23"/>
        <v>1</v>
      </c>
      <c r="BF5" s="4">
        <f t="shared" si="23"/>
        <v>1</v>
      </c>
      <c r="BG5" s="4">
        <f t="shared" si="23"/>
        <v>0</v>
      </c>
      <c r="BH5" s="4">
        <f t="shared" si="23"/>
        <v>0</v>
      </c>
      <c r="BI5" s="4">
        <f t="shared" si="23"/>
        <v>0</v>
      </c>
      <c r="BJ5" s="4">
        <f t="shared" si="23"/>
        <v>1</v>
      </c>
      <c r="BK5" s="4">
        <f t="shared" si="11"/>
        <v>4</v>
      </c>
      <c r="BM5" s="1" t="s">
        <v>190</v>
      </c>
      <c r="BN5" s="1" t="s">
        <v>72</v>
      </c>
      <c r="BO5" s="4">
        <f t="shared" ref="BO5:BU5" si="24">IF(ISNUMBER(SEARCH(BO$1,$BN5)), 1, 0)</f>
        <v>0</v>
      </c>
      <c r="BP5" s="4">
        <f t="shared" si="24"/>
        <v>0</v>
      </c>
      <c r="BQ5" s="4">
        <f t="shared" si="24"/>
        <v>0</v>
      </c>
      <c r="BR5" s="4">
        <f t="shared" si="24"/>
        <v>0</v>
      </c>
      <c r="BS5" s="4">
        <f t="shared" si="24"/>
        <v>0</v>
      </c>
      <c r="BT5" s="4">
        <f t="shared" si="24"/>
        <v>0</v>
      </c>
      <c r="BU5" s="4">
        <f t="shared" si="24"/>
        <v>1</v>
      </c>
      <c r="BW5" s="1" t="s">
        <v>255</v>
      </c>
      <c r="BZ5" s="1" t="s">
        <v>516</v>
      </c>
      <c r="DC5" s="1" t="s">
        <v>180</v>
      </c>
    </row>
    <row r="6" spans="1:107" ht="15.75" customHeight="1" x14ac:dyDescent="0.25">
      <c r="A6" s="1" t="b">
        <v>1</v>
      </c>
      <c r="B6" s="3">
        <v>46165.311550925922</v>
      </c>
      <c r="C6" s="1" t="s">
        <v>610</v>
      </c>
      <c r="D6" s="1" t="s">
        <v>4</v>
      </c>
      <c r="E6" s="4">
        <f t="shared" ref="E6:K6" si="25">IF(ISNUMBER(SEARCH(E$1,$D6)), SEARCH(E$1,$D6), 0)</f>
        <v>1</v>
      </c>
      <c r="F6" s="4">
        <f t="shared" si="25"/>
        <v>0</v>
      </c>
      <c r="G6" s="4">
        <f t="shared" si="25"/>
        <v>0</v>
      </c>
      <c r="H6" s="4">
        <f t="shared" si="25"/>
        <v>0</v>
      </c>
      <c r="I6" s="4">
        <f t="shared" si="25"/>
        <v>0</v>
      </c>
      <c r="J6" s="4">
        <f t="shared" si="25"/>
        <v>0</v>
      </c>
      <c r="K6" s="4">
        <f t="shared" si="25"/>
        <v>0</v>
      </c>
      <c r="L6" s="4">
        <f t="shared" si="1"/>
        <v>1</v>
      </c>
      <c r="N6" s="1" t="s">
        <v>316</v>
      </c>
      <c r="O6" s="4">
        <f t="shared" ref="O6:T6" si="26">IF(ISNUMBER(SEARCH(O$1,$N6)), 1, 0)</f>
        <v>1</v>
      </c>
      <c r="P6" s="4">
        <f t="shared" si="26"/>
        <v>0</v>
      </c>
      <c r="Q6" s="4">
        <f t="shared" si="26"/>
        <v>1</v>
      </c>
      <c r="R6" s="4">
        <f t="shared" si="26"/>
        <v>0</v>
      </c>
      <c r="S6" s="4">
        <f t="shared" si="26"/>
        <v>0</v>
      </c>
      <c r="T6" s="4">
        <f t="shared" si="26"/>
        <v>0</v>
      </c>
      <c r="V6" s="1" t="s">
        <v>24</v>
      </c>
      <c r="W6" s="1" t="str">
        <f t="shared" si="3"/>
        <v>False</v>
      </c>
      <c r="X6" s="1" t="str">
        <f t="shared" si="3"/>
        <v>False</v>
      </c>
      <c r="Y6" s="1" t="str">
        <f t="shared" si="3"/>
        <v>True</v>
      </c>
      <c r="Z6" s="1" t="str">
        <f t="shared" si="3"/>
        <v>False</v>
      </c>
      <c r="AA6" s="1" t="str">
        <f t="shared" si="3"/>
        <v>False</v>
      </c>
      <c r="AB6" s="1" t="s">
        <v>31</v>
      </c>
      <c r="AC6" s="4">
        <f t="shared" ref="AC6:AH6" si="27">IF(ISNUMBER(SEARCH(AC$1,$AB6)), 1, 0)</f>
        <v>0</v>
      </c>
      <c r="AD6" s="4">
        <f t="shared" si="27"/>
        <v>0</v>
      </c>
      <c r="AE6" s="4">
        <f t="shared" si="27"/>
        <v>0</v>
      </c>
      <c r="AF6" s="4">
        <f t="shared" si="27"/>
        <v>1</v>
      </c>
      <c r="AG6" s="4">
        <f t="shared" si="27"/>
        <v>0</v>
      </c>
      <c r="AH6" s="4">
        <f t="shared" si="27"/>
        <v>0</v>
      </c>
      <c r="AI6" s="1">
        <f t="shared" si="5"/>
        <v>1</v>
      </c>
      <c r="AK6" s="1" t="s">
        <v>611</v>
      </c>
      <c r="AL6" s="4">
        <f t="shared" ref="AL6:AS6" si="28">IF(ISNUMBER(SEARCH(AL$1,$AK6)), 1, 0)</f>
        <v>0</v>
      </c>
      <c r="AM6" s="4">
        <f t="shared" si="28"/>
        <v>1</v>
      </c>
      <c r="AN6" s="4">
        <f t="shared" si="28"/>
        <v>1</v>
      </c>
      <c r="AO6" s="4">
        <f t="shared" si="28"/>
        <v>1</v>
      </c>
      <c r="AP6" s="4">
        <f t="shared" si="28"/>
        <v>1</v>
      </c>
      <c r="AQ6" s="4">
        <f t="shared" si="28"/>
        <v>1</v>
      </c>
      <c r="AR6" s="4">
        <f t="shared" si="28"/>
        <v>1</v>
      </c>
      <c r="AS6" s="4">
        <f t="shared" si="28"/>
        <v>0</v>
      </c>
      <c r="AU6" s="1" t="s">
        <v>47</v>
      </c>
      <c r="AV6" s="1">
        <f t="shared" si="7"/>
        <v>1</v>
      </c>
      <c r="AW6" s="1">
        <f t="shared" si="8"/>
        <v>0</v>
      </c>
      <c r="AX6" s="1">
        <f t="shared" si="9"/>
        <v>0</v>
      </c>
      <c r="AY6" s="1" t="s">
        <v>48</v>
      </c>
      <c r="BA6" s="1" t="s">
        <v>56</v>
      </c>
      <c r="BB6" s="4">
        <f t="shared" ref="BB6:BJ6" si="29">IF(ISNUMBER(SEARCH(BB$1,$BA6)), 1, 0)</f>
        <v>0</v>
      </c>
      <c r="BC6" s="4">
        <f t="shared" si="29"/>
        <v>0</v>
      </c>
      <c r="BD6" s="4">
        <f t="shared" si="29"/>
        <v>0</v>
      </c>
      <c r="BE6" s="4">
        <f t="shared" si="29"/>
        <v>1</v>
      </c>
      <c r="BF6" s="4">
        <f t="shared" si="29"/>
        <v>0</v>
      </c>
      <c r="BG6" s="4">
        <f t="shared" si="29"/>
        <v>0</v>
      </c>
      <c r="BH6" s="4">
        <f t="shared" si="29"/>
        <v>0</v>
      </c>
      <c r="BI6" s="4">
        <f t="shared" si="29"/>
        <v>0</v>
      </c>
      <c r="BJ6" s="4">
        <f t="shared" si="29"/>
        <v>0</v>
      </c>
      <c r="BK6" s="4">
        <f t="shared" si="11"/>
        <v>1</v>
      </c>
      <c r="BM6" s="1" t="s">
        <v>190</v>
      </c>
      <c r="BN6" s="1" t="s">
        <v>72</v>
      </c>
      <c r="BO6" s="4">
        <f t="shared" ref="BO6:BU6" si="30">IF(ISNUMBER(SEARCH(BO$1,$BN6)), 1, 0)</f>
        <v>0</v>
      </c>
      <c r="BP6" s="4">
        <f t="shared" si="30"/>
        <v>0</v>
      </c>
      <c r="BQ6" s="4">
        <f t="shared" si="30"/>
        <v>0</v>
      </c>
      <c r="BR6" s="4">
        <f t="shared" si="30"/>
        <v>0</v>
      </c>
      <c r="BS6" s="4">
        <f t="shared" si="30"/>
        <v>0</v>
      </c>
      <c r="BT6" s="4">
        <f t="shared" si="30"/>
        <v>0</v>
      </c>
      <c r="BU6" s="4">
        <f t="shared" si="30"/>
        <v>1</v>
      </c>
      <c r="DC6" s="1" t="s">
        <v>180</v>
      </c>
    </row>
    <row r="7" spans="1:107" ht="15.75" customHeight="1" x14ac:dyDescent="0.25">
      <c r="A7" s="1" t="b">
        <v>1</v>
      </c>
      <c r="B7" s="3">
        <v>46151.560682870368</v>
      </c>
      <c r="C7" s="1" t="s">
        <v>264</v>
      </c>
      <c r="D7" s="1" t="s">
        <v>4</v>
      </c>
      <c r="E7" s="4">
        <f t="shared" ref="E7:K7" si="31">IF(ISNUMBER(SEARCH(E$1,$D7)), SEARCH(E$1,$D7), 0)</f>
        <v>1</v>
      </c>
      <c r="F7" s="4">
        <f t="shared" si="31"/>
        <v>0</v>
      </c>
      <c r="G7" s="4">
        <f t="shared" si="31"/>
        <v>0</v>
      </c>
      <c r="H7" s="4">
        <f t="shared" si="31"/>
        <v>0</v>
      </c>
      <c r="I7" s="4">
        <f t="shared" si="31"/>
        <v>0</v>
      </c>
      <c r="J7" s="4">
        <f t="shared" si="31"/>
        <v>0</v>
      </c>
      <c r="K7" s="4">
        <f t="shared" si="31"/>
        <v>0</v>
      </c>
      <c r="L7" s="4">
        <f t="shared" si="1"/>
        <v>1</v>
      </c>
      <c r="N7" s="1" t="s">
        <v>265</v>
      </c>
      <c r="O7" s="4">
        <f t="shared" ref="O7:T7" si="32">IF(ISNUMBER(SEARCH(O$1,$N7)), 1, 0)</f>
        <v>0</v>
      </c>
      <c r="P7" s="4">
        <f t="shared" si="32"/>
        <v>1</v>
      </c>
      <c r="Q7" s="4">
        <f t="shared" si="32"/>
        <v>0</v>
      </c>
      <c r="R7" s="4">
        <f t="shared" si="32"/>
        <v>0</v>
      </c>
      <c r="S7" s="4">
        <f t="shared" si="32"/>
        <v>0</v>
      </c>
      <c r="T7" s="4">
        <f t="shared" si="32"/>
        <v>0</v>
      </c>
      <c r="V7" s="1" t="s">
        <v>22</v>
      </c>
      <c r="W7" s="1" t="str">
        <f t="shared" si="3"/>
        <v>True</v>
      </c>
      <c r="X7" s="1" t="str">
        <f t="shared" si="3"/>
        <v>False</v>
      </c>
      <c r="Y7" s="1" t="str">
        <f t="shared" si="3"/>
        <v>False</v>
      </c>
      <c r="Z7" s="1" t="str">
        <f t="shared" si="3"/>
        <v>False</v>
      </c>
      <c r="AA7" s="1" t="str">
        <f t="shared" si="3"/>
        <v>False</v>
      </c>
      <c r="AB7" s="1" t="s">
        <v>28</v>
      </c>
      <c r="AC7" s="4">
        <f t="shared" ref="AC7:AH7" si="33">IF(ISNUMBER(SEARCH(AC$1,$AB7)), 1, 0)</f>
        <v>1</v>
      </c>
      <c r="AD7" s="4">
        <f t="shared" si="33"/>
        <v>0</v>
      </c>
      <c r="AE7" s="4">
        <f t="shared" si="33"/>
        <v>0</v>
      </c>
      <c r="AF7" s="4">
        <f t="shared" si="33"/>
        <v>0</v>
      </c>
      <c r="AG7" s="4">
        <f t="shared" si="33"/>
        <v>0</v>
      </c>
      <c r="AH7" s="4">
        <f t="shared" si="33"/>
        <v>0</v>
      </c>
      <c r="AI7" s="1">
        <f t="shared" si="5"/>
        <v>1</v>
      </c>
      <c r="AK7" s="1" t="s">
        <v>266</v>
      </c>
      <c r="AL7" s="4">
        <f t="shared" ref="AL7:AS7" si="34">IF(ISNUMBER(SEARCH(AL$1,$AK7)), 1, 0)</f>
        <v>0</v>
      </c>
      <c r="AM7" s="4">
        <f t="shared" si="34"/>
        <v>1</v>
      </c>
      <c r="AN7" s="4">
        <f t="shared" si="34"/>
        <v>1</v>
      </c>
      <c r="AO7" s="4">
        <f t="shared" si="34"/>
        <v>1</v>
      </c>
      <c r="AP7" s="4">
        <f t="shared" si="34"/>
        <v>0</v>
      </c>
      <c r="AQ7" s="4">
        <f t="shared" si="34"/>
        <v>1</v>
      </c>
      <c r="AR7" s="4">
        <f t="shared" si="34"/>
        <v>1</v>
      </c>
      <c r="AS7" s="4">
        <f t="shared" si="34"/>
        <v>0</v>
      </c>
      <c r="AU7" s="1" t="s">
        <v>47</v>
      </c>
      <c r="AV7" s="1">
        <f t="shared" si="7"/>
        <v>1</v>
      </c>
      <c r="AW7" s="1">
        <f t="shared" si="8"/>
        <v>0</v>
      </c>
      <c r="AX7" s="1">
        <f t="shared" si="9"/>
        <v>0</v>
      </c>
      <c r="AY7" s="1" t="s">
        <v>48</v>
      </c>
      <c r="BA7" s="1" t="s">
        <v>61</v>
      </c>
      <c r="BB7" s="4">
        <f t="shared" ref="BB7:BJ7" si="35">IF(ISNUMBER(SEARCH(BB$1,$BA7)), 1, 0)</f>
        <v>0</v>
      </c>
      <c r="BC7" s="4">
        <f t="shared" si="35"/>
        <v>0</v>
      </c>
      <c r="BD7" s="4">
        <f t="shared" si="35"/>
        <v>0</v>
      </c>
      <c r="BE7" s="4">
        <f t="shared" si="35"/>
        <v>0</v>
      </c>
      <c r="BF7" s="4">
        <f t="shared" si="35"/>
        <v>0</v>
      </c>
      <c r="BG7" s="4">
        <f t="shared" si="35"/>
        <v>0</v>
      </c>
      <c r="BH7" s="4">
        <f t="shared" si="35"/>
        <v>0</v>
      </c>
      <c r="BI7" s="4">
        <f t="shared" si="35"/>
        <v>0</v>
      </c>
      <c r="BJ7" s="4">
        <f t="shared" si="35"/>
        <v>1</v>
      </c>
      <c r="BK7" s="4">
        <f t="shared" si="11"/>
        <v>1</v>
      </c>
      <c r="BM7" s="1" t="s">
        <v>267</v>
      </c>
      <c r="BN7" s="1" t="s">
        <v>268</v>
      </c>
      <c r="BO7" s="4">
        <f t="shared" ref="BO7:BU7" si="36">IF(ISNUMBER(SEARCH(BO$1,$BN7)), 1, 0)</f>
        <v>1</v>
      </c>
      <c r="BP7" s="4">
        <f t="shared" si="36"/>
        <v>1</v>
      </c>
      <c r="BQ7" s="4">
        <f t="shared" si="36"/>
        <v>0</v>
      </c>
      <c r="BR7" s="4">
        <f t="shared" si="36"/>
        <v>0</v>
      </c>
      <c r="BS7" s="4">
        <f t="shared" si="36"/>
        <v>0</v>
      </c>
      <c r="BT7" s="4">
        <f t="shared" si="36"/>
        <v>0</v>
      </c>
      <c r="BU7" s="4">
        <f t="shared" si="36"/>
        <v>0</v>
      </c>
      <c r="BV7" s="1" t="s">
        <v>269</v>
      </c>
      <c r="DC7" s="1" t="s">
        <v>238</v>
      </c>
    </row>
    <row r="8" spans="1:107" ht="15.75" customHeight="1" x14ac:dyDescent="0.25">
      <c r="A8" s="1" t="b">
        <v>1</v>
      </c>
      <c r="B8" s="3">
        <v>46168.635625000003</v>
      </c>
      <c r="C8" s="1" t="s">
        <v>720</v>
      </c>
      <c r="D8" s="1" t="s">
        <v>4</v>
      </c>
      <c r="E8" s="4">
        <f t="shared" ref="E8:K8" si="37">IF(ISNUMBER(SEARCH(E$1,$D8)), SEARCH(E$1,$D8), 0)</f>
        <v>1</v>
      </c>
      <c r="F8" s="4">
        <f t="shared" si="37"/>
        <v>0</v>
      </c>
      <c r="G8" s="4">
        <f t="shared" si="37"/>
        <v>0</v>
      </c>
      <c r="H8" s="4">
        <f t="shared" si="37"/>
        <v>0</v>
      </c>
      <c r="I8" s="4">
        <f t="shared" si="37"/>
        <v>0</v>
      </c>
      <c r="J8" s="4">
        <f t="shared" si="37"/>
        <v>0</v>
      </c>
      <c r="K8" s="4">
        <f t="shared" si="37"/>
        <v>0</v>
      </c>
      <c r="L8" s="4">
        <f t="shared" si="1"/>
        <v>1</v>
      </c>
      <c r="N8" s="1" t="s">
        <v>328</v>
      </c>
      <c r="O8" s="4">
        <f t="shared" ref="O8:T8" si="38">IF(ISNUMBER(SEARCH(O$1,$N8)), 1, 0)</f>
        <v>1</v>
      </c>
      <c r="P8" s="4">
        <f t="shared" si="38"/>
        <v>1</v>
      </c>
      <c r="Q8" s="4">
        <f t="shared" si="38"/>
        <v>1</v>
      </c>
      <c r="R8" s="4">
        <f t="shared" si="38"/>
        <v>0</v>
      </c>
      <c r="S8" s="4">
        <f t="shared" si="38"/>
        <v>0</v>
      </c>
      <c r="T8" s="4">
        <f t="shared" si="38"/>
        <v>0</v>
      </c>
      <c r="V8" s="1" t="s">
        <v>24</v>
      </c>
      <c r="W8" s="1" t="str">
        <f t="shared" si="3"/>
        <v>False</v>
      </c>
      <c r="X8" s="1" t="str">
        <f t="shared" si="3"/>
        <v>False</v>
      </c>
      <c r="Y8" s="1" t="str">
        <f t="shared" si="3"/>
        <v>True</v>
      </c>
      <c r="Z8" s="1" t="str">
        <f t="shared" si="3"/>
        <v>False</v>
      </c>
      <c r="AA8" s="1" t="str">
        <f t="shared" si="3"/>
        <v>False</v>
      </c>
      <c r="AB8" s="1" t="s">
        <v>33</v>
      </c>
      <c r="AC8" s="4">
        <f t="shared" ref="AC8:AH8" si="39">IF(ISNUMBER(SEARCH(AC$1,$AB8)), 1, 0)</f>
        <v>0</v>
      </c>
      <c r="AD8" s="4">
        <f t="shared" si="39"/>
        <v>0</v>
      </c>
      <c r="AE8" s="4">
        <f t="shared" si="39"/>
        <v>0</v>
      </c>
      <c r="AF8" s="4">
        <f t="shared" si="39"/>
        <v>0</v>
      </c>
      <c r="AG8" s="4">
        <f t="shared" si="39"/>
        <v>0</v>
      </c>
      <c r="AH8" s="4">
        <f t="shared" si="39"/>
        <v>1</v>
      </c>
      <c r="AI8" s="1">
        <f t="shared" si="5"/>
        <v>1</v>
      </c>
      <c r="AK8" s="1" t="s">
        <v>246</v>
      </c>
      <c r="AL8" s="4">
        <f t="shared" ref="AL8:AS8" si="40">IF(ISNUMBER(SEARCH(AL$1,$AK8)), 1, 0)</f>
        <v>1</v>
      </c>
      <c r="AM8" s="4">
        <f t="shared" si="40"/>
        <v>1</v>
      </c>
      <c r="AN8" s="4">
        <f t="shared" si="40"/>
        <v>0</v>
      </c>
      <c r="AO8" s="4">
        <f t="shared" si="40"/>
        <v>1</v>
      </c>
      <c r="AP8" s="4">
        <f t="shared" si="40"/>
        <v>0</v>
      </c>
      <c r="AQ8" s="4">
        <f t="shared" si="40"/>
        <v>1</v>
      </c>
      <c r="AR8" s="4">
        <f t="shared" si="40"/>
        <v>0</v>
      </c>
      <c r="AS8" s="4">
        <f t="shared" si="40"/>
        <v>0</v>
      </c>
      <c r="AU8" s="1" t="s">
        <v>47</v>
      </c>
      <c r="AV8" s="1">
        <f t="shared" si="7"/>
        <v>1</v>
      </c>
      <c r="AW8" s="1">
        <f t="shared" si="8"/>
        <v>0</v>
      </c>
      <c r="AX8" s="1">
        <f t="shared" si="9"/>
        <v>0</v>
      </c>
      <c r="AY8" s="1" t="s">
        <v>47</v>
      </c>
      <c r="BA8" s="1" t="s">
        <v>624</v>
      </c>
      <c r="BB8" s="4">
        <f t="shared" ref="BB8:BJ8" si="41">IF(ISNUMBER(SEARCH(BB$1,$BA8)), 1, 0)</f>
        <v>0</v>
      </c>
      <c r="BC8" s="4">
        <f t="shared" si="41"/>
        <v>0</v>
      </c>
      <c r="BD8" s="4">
        <f t="shared" si="41"/>
        <v>0</v>
      </c>
      <c r="BE8" s="4">
        <f t="shared" si="41"/>
        <v>1</v>
      </c>
      <c r="BF8" s="4">
        <f t="shared" si="41"/>
        <v>0</v>
      </c>
      <c r="BG8" s="4">
        <f t="shared" si="41"/>
        <v>1</v>
      </c>
      <c r="BH8" s="4">
        <f t="shared" si="41"/>
        <v>0</v>
      </c>
      <c r="BI8" s="4">
        <f t="shared" si="41"/>
        <v>0</v>
      </c>
      <c r="BJ8" s="4">
        <f t="shared" si="41"/>
        <v>1</v>
      </c>
      <c r="BK8" s="4">
        <f t="shared" si="11"/>
        <v>3</v>
      </c>
      <c r="BO8" s="4">
        <f t="shared" ref="BO8:BU8" si="42">IF(ISNUMBER(SEARCH(BO$1,$BN8)), 1, 0)</f>
        <v>0</v>
      </c>
      <c r="BP8" s="4">
        <f t="shared" si="42"/>
        <v>0</v>
      </c>
      <c r="BQ8" s="4">
        <f t="shared" si="42"/>
        <v>0</v>
      </c>
      <c r="BR8" s="4">
        <f t="shared" si="42"/>
        <v>0</v>
      </c>
      <c r="BS8" s="4">
        <f t="shared" si="42"/>
        <v>0</v>
      </c>
      <c r="BT8" s="4">
        <f t="shared" si="42"/>
        <v>0</v>
      </c>
      <c r="BU8" s="4">
        <f t="shared" si="42"/>
        <v>0</v>
      </c>
      <c r="DC8" s="1" t="s">
        <v>238</v>
      </c>
    </row>
    <row r="9" spans="1:107" ht="15.75" customHeight="1" x14ac:dyDescent="0.25">
      <c r="A9" s="1" t="b">
        <v>1</v>
      </c>
      <c r="B9" s="3">
        <v>46166.365081018521</v>
      </c>
      <c r="C9" s="1" t="s">
        <v>633</v>
      </c>
      <c r="D9" s="1" t="s">
        <v>4</v>
      </c>
      <c r="E9" s="4">
        <f t="shared" ref="E9:K9" si="43">IF(ISNUMBER(SEARCH(E$1,$D9)), SEARCH(E$1,$D9), 0)</f>
        <v>1</v>
      </c>
      <c r="F9" s="4">
        <f t="shared" si="43"/>
        <v>0</v>
      </c>
      <c r="G9" s="4">
        <f t="shared" si="43"/>
        <v>0</v>
      </c>
      <c r="H9" s="4">
        <f t="shared" si="43"/>
        <v>0</v>
      </c>
      <c r="I9" s="4">
        <f t="shared" si="43"/>
        <v>0</v>
      </c>
      <c r="J9" s="4">
        <f t="shared" si="43"/>
        <v>0</v>
      </c>
      <c r="K9" s="4">
        <f t="shared" si="43"/>
        <v>0</v>
      </c>
      <c r="L9" s="4">
        <f t="shared" si="1"/>
        <v>1</v>
      </c>
      <c r="N9" s="1" t="s">
        <v>634</v>
      </c>
      <c r="O9" s="4">
        <f t="shared" ref="O9:T9" si="44">IF(ISNUMBER(SEARCH(O$1,$N9)), 1, 0)</f>
        <v>0</v>
      </c>
      <c r="P9" s="4">
        <f t="shared" si="44"/>
        <v>1</v>
      </c>
      <c r="Q9" s="4">
        <f t="shared" si="44"/>
        <v>1</v>
      </c>
      <c r="R9" s="4">
        <f t="shared" si="44"/>
        <v>1</v>
      </c>
      <c r="S9" s="4">
        <f t="shared" si="44"/>
        <v>0</v>
      </c>
      <c r="T9" s="4">
        <f t="shared" si="44"/>
        <v>0</v>
      </c>
      <c r="V9" s="1" t="s">
        <v>25</v>
      </c>
      <c r="W9" s="1" t="str">
        <f t="shared" si="3"/>
        <v>False</v>
      </c>
      <c r="X9" s="1" t="str">
        <f t="shared" si="3"/>
        <v>False</v>
      </c>
      <c r="Y9" s="1" t="str">
        <f t="shared" si="3"/>
        <v>False</v>
      </c>
      <c r="Z9" s="1" t="str">
        <f t="shared" si="3"/>
        <v>True</v>
      </c>
      <c r="AA9" s="1" t="str">
        <f t="shared" si="3"/>
        <v>False</v>
      </c>
      <c r="AB9" s="1" t="s">
        <v>487</v>
      </c>
      <c r="AC9" s="4">
        <f t="shared" ref="AC9:AH9" si="45">IF(ISNUMBER(SEARCH(AC$1,$AB9)), 1, 0)</f>
        <v>0</v>
      </c>
      <c r="AD9" s="4">
        <f t="shared" si="45"/>
        <v>0</v>
      </c>
      <c r="AE9" s="4">
        <f t="shared" si="45"/>
        <v>0</v>
      </c>
      <c r="AF9" s="4">
        <f t="shared" si="45"/>
        <v>1</v>
      </c>
      <c r="AG9" s="4">
        <f t="shared" si="45"/>
        <v>0</v>
      </c>
      <c r="AH9" s="4">
        <f t="shared" si="45"/>
        <v>1</v>
      </c>
      <c r="AI9" s="1">
        <f t="shared" si="5"/>
        <v>2</v>
      </c>
      <c r="AK9" s="1" t="s">
        <v>246</v>
      </c>
      <c r="AL9" s="4">
        <f t="shared" ref="AL9:AS9" si="46">IF(ISNUMBER(SEARCH(AL$1,$AK9)), 1, 0)</f>
        <v>1</v>
      </c>
      <c r="AM9" s="4">
        <f t="shared" si="46"/>
        <v>1</v>
      </c>
      <c r="AN9" s="4">
        <f t="shared" si="46"/>
        <v>0</v>
      </c>
      <c r="AO9" s="4">
        <f t="shared" si="46"/>
        <v>1</v>
      </c>
      <c r="AP9" s="4">
        <f t="shared" si="46"/>
        <v>0</v>
      </c>
      <c r="AQ9" s="4">
        <f t="shared" si="46"/>
        <v>1</v>
      </c>
      <c r="AR9" s="4">
        <f t="shared" si="46"/>
        <v>0</v>
      </c>
      <c r="AS9" s="4">
        <f t="shared" si="46"/>
        <v>0</v>
      </c>
      <c r="AU9" s="1" t="s">
        <v>48</v>
      </c>
      <c r="AV9" s="1">
        <f t="shared" si="7"/>
        <v>0</v>
      </c>
      <c r="AW9" s="1">
        <f t="shared" si="8"/>
        <v>1</v>
      </c>
      <c r="AX9" s="1">
        <f t="shared" si="9"/>
        <v>0</v>
      </c>
      <c r="AY9" s="1" t="s">
        <v>47</v>
      </c>
      <c r="AZ9" s="1" t="s">
        <v>48</v>
      </c>
      <c r="BA9" s="1" t="s">
        <v>61</v>
      </c>
      <c r="BB9" s="4">
        <f t="shared" ref="BB9:BJ9" si="47">IF(ISNUMBER(SEARCH(BB$1,$BA9)), 1, 0)</f>
        <v>0</v>
      </c>
      <c r="BC9" s="4">
        <f t="shared" si="47"/>
        <v>0</v>
      </c>
      <c r="BD9" s="4">
        <f t="shared" si="47"/>
        <v>0</v>
      </c>
      <c r="BE9" s="4">
        <f t="shared" si="47"/>
        <v>0</v>
      </c>
      <c r="BF9" s="4">
        <f t="shared" si="47"/>
        <v>0</v>
      </c>
      <c r="BG9" s="4">
        <f t="shared" si="47"/>
        <v>0</v>
      </c>
      <c r="BH9" s="4">
        <f t="shared" si="47"/>
        <v>0</v>
      </c>
      <c r="BI9" s="4">
        <f t="shared" si="47"/>
        <v>0</v>
      </c>
      <c r="BJ9" s="4">
        <f t="shared" si="47"/>
        <v>1</v>
      </c>
      <c r="BK9" s="4">
        <f t="shared" si="11"/>
        <v>1</v>
      </c>
      <c r="BO9" s="4">
        <f t="shared" ref="BO9:BU9" si="48">IF(ISNUMBER(SEARCH(BO$1,$BN9)), 1, 0)</f>
        <v>0</v>
      </c>
      <c r="BP9" s="4">
        <f t="shared" si="48"/>
        <v>0</v>
      </c>
      <c r="BQ9" s="4">
        <f t="shared" si="48"/>
        <v>0</v>
      </c>
      <c r="BR9" s="4">
        <f t="shared" si="48"/>
        <v>0</v>
      </c>
      <c r="BS9" s="4">
        <f t="shared" si="48"/>
        <v>0</v>
      </c>
      <c r="BT9" s="4">
        <f t="shared" si="48"/>
        <v>0</v>
      </c>
      <c r="BU9" s="4">
        <f t="shared" si="48"/>
        <v>0</v>
      </c>
      <c r="BW9" s="1" t="s">
        <v>212</v>
      </c>
      <c r="DC9" s="1" t="s">
        <v>180</v>
      </c>
    </row>
    <row r="10" spans="1:107" ht="15.75" customHeight="1" x14ac:dyDescent="0.25">
      <c r="A10" s="1" t="b">
        <v>1</v>
      </c>
      <c r="B10" s="3">
        <v>46153.563831018517</v>
      </c>
      <c r="C10" s="1" t="s">
        <v>322</v>
      </c>
      <c r="D10" s="1" t="s">
        <v>4</v>
      </c>
      <c r="E10" s="4">
        <f t="shared" ref="E10:K10" si="49">IF(ISNUMBER(SEARCH(E$1,$D10)), SEARCH(E$1,$D10), 0)</f>
        <v>1</v>
      </c>
      <c r="F10" s="4">
        <f t="shared" si="49"/>
        <v>0</v>
      </c>
      <c r="G10" s="4">
        <f t="shared" si="49"/>
        <v>0</v>
      </c>
      <c r="H10" s="4">
        <f t="shared" si="49"/>
        <v>0</v>
      </c>
      <c r="I10" s="4">
        <f t="shared" si="49"/>
        <v>0</v>
      </c>
      <c r="J10" s="4">
        <f t="shared" si="49"/>
        <v>0</v>
      </c>
      <c r="K10" s="4">
        <f t="shared" si="49"/>
        <v>0</v>
      </c>
      <c r="L10" s="4">
        <f t="shared" si="1"/>
        <v>1</v>
      </c>
      <c r="N10" s="1" t="s">
        <v>323</v>
      </c>
      <c r="O10" s="4">
        <f t="shared" ref="O10:T10" si="50">IF(ISNUMBER(SEARCH(O$1,$N10)), 1, 0)</f>
        <v>1</v>
      </c>
      <c r="P10" s="4">
        <f t="shared" si="50"/>
        <v>1</v>
      </c>
      <c r="Q10" s="4">
        <f t="shared" si="50"/>
        <v>1</v>
      </c>
      <c r="R10" s="4">
        <f t="shared" si="50"/>
        <v>1</v>
      </c>
      <c r="S10" s="4">
        <f t="shared" si="50"/>
        <v>0</v>
      </c>
      <c r="T10" s="4">
        <f t="shared" si="50"/>
        <v>1</v>
      </c>
      <c r="V10" s="1" t="s">
        <v>23</v>
      </c>
      <c r="W10" s="1" t="str">
        <f t="shared" si="3"/>
        <v>False</v>
      </c>
      <c r="X10" s="1" t="str">
        <f t="shared" si="3"/>
        <v>True</v>
      </c>
      <c r="Y10" s="1" t="str">
        <f t="shared" si="3"/>
        <v>False</v>
      </c>
      <c r="Z10" s="1" t="str">
        <f t="shared" si="3"/>
        <v>False</v>
      </c>
      <c r="AA10" s="1" t="str">
        <f t="shared" si="3"/>
        <v>False</v>
      </c>
      <c r="AB10" s="1" t="s">
        <v>324</v>
      </c>
      <c r="AC10" s="4">
        <f t="shared" ref="AC10:AH10" si="51">IF(ISNUMBER(SEARCH(AC$1,$AB10)), 1, 0)</f>
        <v>0</v>
      </c>
      <c r="AD10" s="4">
        <f t="shared" si="51"/>
        <v>1</v>
      </c>
      <c r="AE10" s="4">
        <f t="shared" si="51"/>
        <v>0</v>
      </c>
      <c r="AF10" s="4">
        <f t="shared" si="51"/>
        <v>0</v>
      </c>
      <c r="AG10" s="4">
        <f t="shared" si="51"/>
        <v>0</v>
      </c>
      <c r="AH10" s="4">
        <f t="shared" si="51"/>
        <v>1</v>
      </c>
      <c r="AI10" s="1">
        <f t="shared" si="5"/>
        <v>2</v>
      </c>
      <c r="AK10" s="1" t="s">
        <v>246</v>
      </c>
      <c r="AL10" s="4">
        <f t="shared" ref="AL10:AS10" si="52">IF(ISNUMBER(SEARCH(AL$1,$AK10)), 1, 0)</f>
        <v>1</v>
      </c>
      <c r="AM10" s="4">
        <f t="shared" si="52"/>
        <v>1</v>
      </c>
      <c r="AN10" s="4">
        <f t="shared" si="52"/>
        <v>0</v>
      </c>
      <c r="AO10" s="4">
        <f t="shared" si="52"/>
        <v>1</v>
      </c>
      <c r="AP10" s="4">
        <f t="shared" si="52"/>
        <v>0</v>
      </c>
      <c r="AQ10" s="4">
        <f t="shared" si="52"/>
        <v>1</v>
      </c>
      <c r="AR10" s="4">
        <f t="shared" si="52"/>
        <v>0</v>
      </c>
      <c r="AS10" s="4">
        <f t="shared" si="52"/>
        <v>0</v>
      </c>
      <c r="AU10" s="1" t="s">
        <v>47</v>
      </c>
      <c r="AV10" s="1">
        <f t="shared" si="7"/>
        <v>1</v>
      </c>
      <c r="AW10" s="1">
        <f t="shared" si="8"/>
        <v>0</v>
      </c>
      <c r="AX10" s="1">
        <f t="shared" si="9"/>
        <v>0</v>
      </c>
      <c r="AY10" s="1" t="s">
        <v>48</v>
      </c>
      <c r="BA10" s="1" t="s">
        <v>325</v>
      </c>
      <c r="BB10" s="4">
        <f t="shared" ref="BB10:BJ10" si="53">IF(ISNUMBER(SEARCH(BB$1,$BA10)), 1, 0)</f>
        <v>1</v>
      </c>
      <c r="BC10" s="4">
        <f t="shared" si="53"/>
        <v>1</v>
      </c>
      <c r="BD10" s="4">
        <f t="shared" si="53"/>
        <v>1</v>
      </c>
      <c r="BE10" s="4">
        <f t="shared" si="53"/>
        <v>0</v>
      </c>
      <c r="BF10" s="4">
        <f t="shared" si="53"/>
        <v>1</v>
      </c>
      <c r="BG10" s="4">
        <f t="shared" si="53"/>
        <v>0</v>
      </c>
      <c r="BH10" s="4">
        <f t="shared" si="53"/>
        <v>0</v>
      </c>
      <c r="BI10" s="4">
        <f t="shared" si="53"/>
        <v>0</v>
      </c>
      <c r="BJ10" s="4">
        <f t="shared" si="53"/>
        <v>1</v>
      </c>
      <c r="BK10" s="4">
        <f t="shared" si="11"/>
        <v>5</v>
      </c>
      <c r="BM10" s="1" t="s">
        <v>232</v>
      </c>
      <c r="BN10" s="1" t="s">
        <v>326</v>
      </c>
      <c r="BO10" s="4">
        <f t="shared" ref="BO10:BU10" si="54">IF(ISNUMBER(SEARCH(BO$1,$BN10)), 1, 0)</f>
        <v>0</v>
      </c>
      <c r="BP10" s="4">
        <f t="shared" si="54"/>
        <v>1</v>
      </c>
      <c r="BQ10" s="4">
        <f t="shared" si="54"/>
        <v>0</v>
      </c>
      <c r="BR10" s="4">
        <f t="shared" si="54"/>
        <v>0</v>
      </c>
      <c r="BS10" s="4">
        <f t="shared" si="54"/>
        <v>0</v>
      </c>
      <c r="BT10" s="4">
        <f t="shared" si="54"/>
        <v>0</v>
      </c>
      <c r="BU10" s="4">
        <f t="shared" si="54"/>
        <v>1</v>
      </c>
      <c r="DC10" s="1" t="s">
        <v>180</v>
      </c>
    </row>
    <row r="11" spans="1:107" ht="15.75" customHeight="1" x14ac:dyDescent="0.25">
      <c r="A11" s="1" t="b">
        <v>1</v>
      </c>
      <c r="B11" s="3">
        <v>46167.011469907404</v>
      </c>
      <c r="C11" s="1" t="s">
        <v>660</v>
      </c>
      <c r="D11" s="1" t="s">
        <v>4</v>
      </c>
      <c r="E11" s="4">
        <f t="shared" ref="E11:K11" si="55">IF(ISNUMBER(SEARCH(E$1,$D11)), SEARCH(E$1,$D11), 0)</f>
        <v>1</v>
      </c>
      <c r="F11" s="4">
        <f t="shared" si="55"/>
        <v>0</v>
      </c>
      <c r="G11" s="4">
        <f t="shared" si="55"/>
        <v>0</v>
      </c>
      <c r="H11" s="4">
        <f t="shared" si="55"/>
        <v>0</v>
      </c>
      <c r="I11" s="4">
        <f t="shared" si="55"/>
        <v>0</v>
      </c>
      <c r="J11" s="4">
        <f t="shared" si="55"/>
        <v>0</v>
      </c>
      <c r="K11" s="4">
        <f t="shared" si="55"/>
        <v>0</v>
      </c>
      <c r="L11" s="4">
        <f t="shared" si="1"/>
        <v>1</v>
      </c>
      <c r="N11" s="1" t="s">
        <v>634</v>
      </c>
      <c r="O11" s="4">
        <f t="shared" ref="O11:T11" si="56">IF(ISNUMBER(SEARCH(O$1,$N11)), 1, 0)</f>
        <v>0</v>
      </c>
      <c r="P11" s="4">
        <f t="shared" si="56"/>
        <v>1</v>
      </c>
      <c r="Q11" s="4">
        <f t="shared" si="56"/>
        <v>1</v>
      </c>
      <c r="R11" s="4">
        <f t="shared" si="56"/>
        <v>1</v>
      </c>
      <c r="S11" s="4">
        <f t="shared" si="56"/>
        <v>0</v>
      </c>
      <c r="T11" s="4">
        <f t="shared" si="56"/>
        <v>0</v>
      </c>
      <c r="V11" s="1" t="s">
        <v>25</v>
      </c>
      <c r="W11" s="1" t="str">
        <f t="shared" si="3"/>
        <v>False</v>
      </c>
      <c r="X11" s="1" t="str">
        <f t="shared" si="3"/>
        <v>False</v>
      </c>
      <c r="Y11" s="1" t="str">
        <f t="shared" si="3"/>
        <v>False</v>
      </c>
      <c r="Z11" s="1" t="str">
        <f t="shared" si="3"/>
        <v>True</v>
      </c>
      <c r="AA11" s="1" t="str">
        <f t="shared" si="3"/>
        <v>False</v>
      </c>
      <c r="AB11" s="1" t="s">
        <v>661</v>
      </c>
      <c r="AC11" s="4">
        <f t="shared" ref="AC11:AH11" si="57">IF(ISNUMBER(SEARCH(AC$1,$AB11)), 1, 0)</f>
        <v>1</v>
      </c>
      <c r="AD11" s="4">
        <f t="shared" si="57"/>
        <v>0</v>
      </c>
      <c r="AE11" s="4">
        <f t="shared" si="57"/>
        <v>0</v>
      </c>
      <c r="AF11" s="4">
        <f t="shared" si="57"/>
        <v>0</v>
      </c>
      <c r="AG11" s="4">
        <f t="shared" si="57"/>
        <v>0</v>
      </c>
      <c r="AH11" s="4">
        <f t="shared" si="57"/>
        <v>1</v>
      </c>
      <c r="AI11" s="1">
        <f t="shared" si="5"/>
        <v>2</v>
      </c>
      <c r="AJ11" s="1" t="s">
        <v>662</v>
      </c>
      <c r="AK11" s="1" t="s">
        <v>663</v>
      </c>
      <c r="AL11" s="4">
        <f t="shared" ref="AL11:AS11" si="58">IF(ISNUMBER(SEARCH(AL$1,$AK11)), 1, 0)</f>
        <v>1</v>
      </c>
      <c r="AM11" s="4">
        <f t="shared" si="58"/>
        <v>1</v>
      </c>
      <c r="AN11" s="4">
        <f t="shared" si="58"/>
        <v>0</v>
      </c>
      <c r="AO11" s="4">
        <f t="shared" si="58"/>
        <v>0</v>
      </c>
      <c r="AP11" s="4">
        <f t="shared" si="58"/>
        <v>0</v>
      </c>
      <c r="AQ11" s="4">
        <f t="shared" si="58"/>
        <v>1</v>
      </c>
      <c r="AR11" s="4">
        <f t="shared" si="58"/>
        <v>0</v>
      </c>
      <c r="AS11" s="4">
        <f t="shared" si="58"/>
        <v>0</v>
      </c>
      <c r="AU11" s="1" t="s">
        <v>48</v>
      </c>
      <c r="AV11" s="1">
        <f t="shared" si="7"/>
        <v>0</v>
      </c>
      <c r="AW11" s="1">
        <f t="shared" si="8"/>
        <v>1</v>
      </c>
      <c r="AX11" s="1">
        <f t="shared" si="9"/>
        <v>0</v>
      </c>
      <c r="AY11" s="1" t="s">
        <v>47</v>
      </c>
      <c r="AZ11" s="1" t="s">
        <v>47</v>
      </c>
      <c r="BA11" s="1" t="s">
        <v>61</v>
      </c>
      <c r="BB11" s="4">
        <f t="shared" ref="BB11:BJ11" si="59">IF(ISNUMBER(SEARCH(BB$1,$BA11)), 1, 0)</f>
        <v>0</v>
      </c>
      <c r="BC11" s="4">
        <f t="shared" si="59"/>
        <v>0</v>
      </c>
      <c r="BD11" s="4">
        <f t="shared" si="59"/>
        <v>0</v>
      </c>
      <c r="BE11" s="4">
        <f t="shared" si="59"/>
        <v>0</v>
      </c>
      <c r="BF11" s="4">
        <f t="shared" si="59"/>
        <v>0</v>
      </c>
      <c r="BG11" s="4">
        <f t="shared" si="59"/>
        <v>0</v>
      </c>
      <c r="BH11" s="4">
        <f t="shared" si="59"/>
        <v>0</v>
      </c>
      <c r="BI11" s="4">
        <f t="shared" si="59"/>
        <v>0</v>
      </c>
      <c r="BJ11" s="4">
        <f t="shared" si="59"/>
        <v>1</v>
      </c>
      <c r="BK11" s="4">
        <f t="shared" si="11"/>
        <v>1</v>
      </c>
      <c r="BO11" s="4">
        <f t="shared" ref="BO11:BU11" si="60">IF(ISNUMBER(SEARCH(BO$1,$BN11)), 1, 0)</f>
        <v>0</v>
      </c>
      <c r="BP11" s="4">
        <f t="shared" si="60"/>
        <v>0</v>
      </c>
      <c r="BQ11" s="4">
        <f t="shared" si="60"/>
        <v>0</v>
      </c>
      <c r="BR11" s="4">
        <f t="shared" si="60"/>
        <v>0</v>
      </c>
      <c r="BS11" s="4">
        <f t="shared" si="60"/>
        <v>0</v>
      </c>
      <c r="BT11" s="4">
        <f t="shared" si="60"/>
        <v>0</v>
      </c>
      <c r="BU11" s="4">
        <f t="shared" si="60"/>
        <v>0</v>
      </c>
      <c r="BW11" s="1" t="s">
        <v>516</v>
      </c>
      <c r="BZ11" s="1" t="s">
        <v>516</v>
      </c>
      <c r="DC11" s="1" t="s">
        <v>238</v>
      </c>
    </row>
    <row r="12" spans="1:107" ht="15.75" customHeight="1" x14ac:dyDescent="0.25">
      <c r="A12" s="1" t="b">
        <v>1</v>
      </c>
      <c r="B12" s="3">
        <v>46164.868333333332</v>
      </c>
      <c r="C12" s="1" t="s">
        <v>562</v>
      </c>
      <c r="D12" s="1" t="s">
        <v>4</v>
      </c>
      <c r="E12" s="4">
        <f t="shared" ref="E12:K12" si="61">IF(ISNUMBER(SEARCH(E$1,$D12)), SEARCH(E$1,$D12), 0)</f>
        <v>1</v>
      </c>
      <c r="F12" s="4">
        <f t="shared" si="61"/>
        <v>0</v>
      </c>
      <c r="G12" s="4">
        <f t="shared" si="61"/>
        <v>0</v>
      </c>
      <c r="H12" s="4">
        <f t="shared" si="61"/>
        <v>0</v>
      </c>
      <c r="I12" s="4">
        <f t="shared" si="61"/>
        <v>0</v>
      </c>
      <c r="J12" s="4">
        <f t="shared" si="61"/>
        <v>0</v>
      </c>
      <c r="K12" s="4">
        <f t="shared" si="61"/>
        <v>0</v>
      </c>
      <c r="L12" s="4">
        <f t="shared" si="1"/>
        <v>1</v>
      </c>
      <c r="N12" s="1" t="s">
        <v>306</v>
      </c>
      <c r="O12" s="4">
        <f t="shared" ref="O12:T12" si="62">IF(ISNUMBER(SEARCH(O$1,$N12)), 1, 0)</f>
        <v>1</v>
      </c>
      <c r="P12" s="4">
        <f t="shared" si="62"/>
        <v>1</v>
      </c>
      <c r="Q12" s="4">
        <f t="shared" si="62"/>
        <v>0</v>
      </c>
      <c r="R12" s="4">
        <f t="shared" si="62"/>
        <v>0</v>
      </c>
      <c r="S12" s="4">
        <f t="shared" si="62"/>
        <v>1</v>
      </c>
      <c r="T12" s="4">
        <f t="shared" si="62"/>
        <v>0</v>
      </c>
      <c r="V12" s="1" t="s">
        <v>25</v>
      </c>
      <c r="W12" s="1" t="str">
        <f t="shared" si="3"/>
        <v>False</v>
      </c>
      <c r="X12" s="1" t="str">
        <f t="shared" si="3"/>
        <v>False</v>
      </c>
      <c r="Y12" s="1" t="str">
        <f t="shared" si="3"/>
        <v>False</v>
      </c>
      <c r="Z12" s="1" t="str">
        <f t="shared" si="3"/>
        <v>True</v>
      </c>
      <c r="AA12" s="1" t="str">
        <f t="shared" si="3"/>
        <v>False</v>
      </c>
      <c r="AB12" s="1" t="s">
        <v>563</v>
      </c>
      <c r="AC12" s="4">
        <f t="shared" ref="AC12:AH12" si="63">IF(ISNUMBER(SEARCH(AC$1,$AB12)), 1, 0)</f>
        <v>0</v>
      </c>
      <c r="AD12" s="4">
        <f t="shared" si="63"/>
        <v>1</v>
      </c>
      <c r="AE12" s="4">
        <f t="shared" si="63"/>
        <v>0</v>
      </c>
      <c r="AF12" s="4">
        <f t="shared" si="63"/>
        <v>0</v>
      </c>
      <c r="AG12" s="4">
        <f t="shared" si="63"/>
        <v>1</v>
      </c>
      <c r="AH12" s="4">
        <f t="shared" si="63"/>
        <v>1</v>
      </c>
      <c r="AI12" s="1">
        <f t="shared" si="5"/>
        <v>3</v>
      </c>
      <c r="AJ12" s="1" t="s">
        <v>564</v>
      </c>
      <c r="AK12" s="1" t="s">
        <v>565</v>
      </c>
      <c r="AL12" s="4">
        <f t="shared" ref="AL12:AS12" si="64">IF(ISNUMBER(SEARCH(AL$1,$AK12)), 1, 0)</f>
        <v>1</v>
      </c>
      <c r="AM12" s="4">
        <f t="shared" si="64"/>
        <v>0</v>
      </c>
      <c r="AN12" s="4">
        <f t="shared" si="64"/>
        <v>0</v>
      </c>
      <c r="AO12" s="4">
        <f t="shared" si="64"/>
        <v>1</v>
      </c>
      <c r="AP12" s="4">
        <f t="shared" si="64"/>
        <v>0</v>
      </c>
      <c r="AQ12" s="4">
        <f t="shared" si="64"/>
        <v>1</v>
      </c>
      <c r="AR12" s="4">
        <f t="shared" si="64"/>
        <v>0</v>
      </c>
      <c r="AS12" s="4">
        <f t="shared" si="64"/>
        <v>0</v>
      </c>
      <c r="AU12" s="1" t="s">
        <v>48</v>
      </c>
      <c r="AV12" s="1">
        <f t="shared" si="7"/>
        <v>0</v>
      </c>
      <c r="AW12" s="1">
        <f t="shared" si="8"/>
        <v>1</v>
      </c>
      <c r="AX12" s="1">
        <f t="shared" si="9"/>
        <v>0</v>
      </c>
      <c r="AY12" s="1" t="s">
        <v>48</v>
      </c>
      <c r="BA12" s="1" t="s">
        <v>185</v>
      </c>
      <c r="BB12" s="4">
        <f t="shared" ref="BB12:BJ12" si="65">IF(ISNUMBER(SEARCH(BB$1,$BA12)), 1, 0)</f>
        <v>0</v>
      </c>
      <c r="BC12" s="4">
        <f t="shared" si="65"/>
        <v>1</v>
      </c>
      <c r="BD12" s="4">
        <f t="shared" si="65"/>
        <v>0</v>
      </c>
      <c r="BE12" s="4">
        <f t="shared" si="65"/>
        <v>1</v>
      </c>
      <c r="BF12" s="4">
        <f t="shared" si="65"/>
        <v>0</v>
      </c>
      <c r="BG12" s="4">
        <f t="shared" si="65"/>
        <v>0</v>
      </c>
      <c r="BH12" s="4">
        <f t="shared" si="65"/>
        <v>0</v>
      </c>
      <c r="BI12" s="4">
        <f t="shared" si="65"/>
        <v>0</v>
      </c>
      <c r="BJ12" s="4">
        <f t="shared" si="65"/>
        <v>1</v>
      </c>
      <c r="BK12" s="4">
        <f t="shared" si="11"/>
        <v>3</v>
      </c>
      <c r="BM12" s="1" t="s">
        <v>190</v>
      </c>
      <c r="BN12" s="1" t="s">
        <v>566</v>
      </c>
      <c r="BO12" s="4">
        <f t="shared" ref="BO12:BU12" si="66">IF(ISNUMBER(SEARCH(BO$1,$BN12)), 1, 0)</f>
        <v>1</v>
      </c>
      <c r="BP12" s="4">
        <f t="shared" si="66"/>
        <v>0</v>
      </c>
      <c r="BQ12" s="4">
        <f t="shared" si="66"/>
        <v>0</v>
      </c>
      <c r="BR12" s="4">
        <f t="shared" si="66"/>
        <v>1</v>
      </c>
      <c r="BS12" s="4">
        <f t="shared" si="66"/>
        <v>0</v>
      </c>
      <c r="BT12" s="4">
        <f t="shared" si="66"/>
        <v>1</v>
      </c>
      <c r="BU12" s="4">
        <f t="shared" si="66"/>
        <v>0</v>
      </c>
      <c r="BW12" s="1" t="s">
        <v>277</v>
      </c>
      <c r="BZ12" s="1" t="s">
        <v>234</v>
      </c>
      <c r="DC12" s="1" t="s">
        <v>238</v>
      </c>
    </row>
    <row r="13" spans="1:107" ht="15.75" customHeight="1" x14ac:dyDescent="0.25">
      <c r="A13" s="1" t="b">
        <v>1</v>
      </c>
      <c r="B13" s="3">
        <v>46164.872199074074</v>
      </c>
      <c r="C13" s="1" t="s">
        <v>567</v>
      </c>
      <c r="D13" s="1" t="s">
        <v>4</v>
      </c>
      <c r="E13" s="4">
        <f t="shared" ref="E13:K13" si="67">IF(ISNUMBER(SEARCH(E$1,$D13)), SEARCH(E$1,$D13), 0)</f>
        <v>1</v>
      </c>
      <c r="F13" s="4">
        <f t="shared" si="67"/>
        <v>0</v>
      </c>
      <c r="G13" s="4">
        <f t="shared" si="67"/>
        <v>0</v>
      </c>
      <c r="H13" s="4">
        <f t="shared" si="67"/>
        <v>0</v>
      </c>
      <c r="I13" s="4">
        <f t="shared" si="67"/>
        <v>0</v>
      </c>
      <c r="J13" s="4">
        <f t="shared" si="67"/>
        <v>0</v>
      </c>
      <c r="K13" s="4">
        <f t="shared" si="67"/>
        <v>0</v>
      </c>
      <c r="L13" s="4">
        <f t="shared" si="1"/>
        <v>1</v>
      </c>
      <c r="N13" s="1" t="s">
        <v>272</v>
      </c>
      <c r="O13" s="4">
        <f t="shared" ref="O13:T13" si="68">IF(ISNUMBER(SEARCH(O$1,$N13)), 1, 0)</f>
        <v>1</v>
      </c>
      <c r="P13" s="4">
        <f t="shared" si="68"/>
        <v>1</v>
      </c>
      <c r="Q13" s="4">
        <f t="shared" si="68"/>
        <v>1</v>
      </c>
      <c r="R13" s="4">
        <f t="shared" si="68"/>
        <v>1</v>
      </c>
      <c r="S13" s="4">
        <f t="shared" si="68"/>
        <v>1</v>
      </c>
      <c r="T13" s="4">
        <f t="shared" si="68"/>
        <v>0</v>
      </c>
      <c r="W13" s="1" t="str">
        <f t="shared" ref="W13:AA22" si="69">IF(W$1=$V13, "True", "False")</f>
        <v>False</v>
      </c>
      <c r="X13" s="1" t="str">
        <f t="shared" si="69"/>
        <v>False</v>
      </c>
      <c r="Y13" s="1" t="str">
        <f t="shared" si="69"/>
        <v>False</v>
      </c>
      <c r="Z13" s="1" t="str">
        <f t="shared" si="69"/>
        <v>False</v>
      </c>
      <c r="AA13" s="1" t="str">
        <f t="shared" si="69"/>
        <v>False</v>
      </c>
      <c r="AB13" s="1" t="s">
        <v>568</v>
      </c>
      <c r="AC13" s="4">
        <f t="shared" ref="AC13:AH13" si="70">IF(ISNUMBER(SEARCH(AC$1,$AB13)), 1, 0)</f>
        <v>1</v>
      </c>
      <c r="AD13" s="4">
        <f t="shared" si="70"/>
        <v>0</v>
      </c>
      <c r="AE13" s="4">
        <f t="shared" si="70"/>
        <v>0</v>
      </c>
      <c r="AF13" s="4">
        <f t="shared" si="70"/>
        <v>1</v>
      </c>
      <c r="AG13" s="4">
        <f t="shared" si="70"/>
        <v>0</v>
      </c>
      <c r="AH13" s="4">
        <f t="shared" si="70"/>
        <v>1</v>
      </c>
      <c r="AI13" s="1">
        <f t="shared" si="5"/>
        <v>3</v>
      </c>
      <c r="AK13" s="1" t="s">
        <v>246</v>
      </c>
      <c r="AL13" s="4">
        <f t="shared" ref="AL13:AS13" si="71">IF(ISNUMBER(SEARCH(AL$1,$AK13)), 1, 0)</f>
        <v>1</v>
      </c>
      <c r="AM13" s="4">
        <f t="shared" si="71"/>
        <v>1</v>
      </c>
      <c r="AN13" s="4">
        <f t="shared" si="71"/>
        <v>0</v>
      </c>
      <c r="AO13" s="4">
        <f t="shared" si="71"/>
        <v>1</v>
      </c>
      <c r="AP13" s="4">
        <f t="shared" si="71"/>
        <v>0</v>
      </c>
      <c r="AQ13" s="4">
        <f t="shared" si="71"/>
        <v>1</v>
      </c>
      <c r="AR13" s="4">
        <f t="shared" si="71"/>
        <v>0</v>
      </c>
      <c r="AS13" s="4">
        <f t="shared" si="71"/>
        <v>0</v>
      </c>
      <c r="AU13" s="1" t="s">
        <v>47</v>
      </c>
      <c r="AV13" s="1">
        <f t="shared" si="7"/>
        <v>1</v>
      </c>
      <c r="AW13" s="1">
        <f t="shared" si="8"/>
        <v>0</v>
      </c>
      <c r="AX13" s="1">
        <f t="shared" si="9"/>
        <v>0</v>
      </c>
      <c r="AY13" s="1" t="s">
        <v>48</v>
      </c>
      <c r="BA13" s="1" t="s">
        <v>569</v>
      </c>
      <c r="BB13" s="4">
        <f t="shared" ref="BB13:BJ13" si="72">IF(ISNUMBER(SEARCH(BB$1,$BA13)), 1, 0)</f>
        <v>0</v>
      </c>
      <c r="BC13" s="4">
        <f t="shared" si="72"/>
        <v>1</v>
      </c>
      <c r="BD13" s="4">
        <f t="shared" si="72"/>
        <v>1</v>
      </c>
      <c r="BE13" s="4">
        <f t="shared" si="72"/>
        <v>0</v>
      </c>
      <c r="BF13" s="4">
        <f t="shared" si="72"/>
        <v>1</v>
      </c>
      <c r="BG13" s="4">
        <f t="shared" si="72"/>
        <v>0</v>
      </c>
      <c r="BH13" s="4">
        <f t="shared" si="72"/>
        <v>0</v>
      </c>
      <c r="BI13" s="4">
        <f t="shared" si="72"/>
        <v>1</v>
      </c>
      <c r="BJ13" s="4">
        <f t="shared" si="72"/>
        <v>1</v>
      </c>
      <c r="BK13" s="4">
        <f t="shared" si="11"/>
        <v>5</v>
      </c>
      <c r="BM13" s="1" t="s">
        <v>232</v>
      </c>
      <c r="BN13" s="1" t="s">
        <v>340</v>
      </c>
      <c r="BO13" s="4">
        <f t="shared" ref="BO13:BU13" si="73">IF(ISNUMBER(SEARCH(BO$1,$BN13)), 1, 0)</f>
        <v>1</v>
      </c>
      <c r="BP13" s="4">
        <f t="shared" si="73"/>
        <v>1</v>
      </c>
      <c r="BQ13" s="4">
        <f t="shared" si="73"/>
        <v>0</v>
      </c>
      <c r="BR13" s="4">
        <f t="shared" si="73"/>
        <v>0</v>
      </c>
      <c r="BS13" s="4">
        <f t="shared" si="73"/>
        <v>0</v>
      </c>
      <c r="BT13" s="4">
        <f t="shared" si="73"/>
        <v>0</v>
      </c>
      <c r="BU13" s="4">
        <f t="shared" si="73"/>
        <v>0</v>
      </c>
      <c r="DC13" s="1" t="s">
        <v>180</v>
      </c>
    </row>
    <row r="14" spans="1:107" ht="15.75" customHeight="1" x14ac:dyDescent="0.25">
      <c r="A14" s="1" t="b">
        <v>1</v>
      </c>
      <c r="B14" s="3">
        <v>46171.795347222222</v>
      </c>
      <c r="C14" s="1" t="s">
        <v>781</v>
      </c>
      <c r="D14" s="1" t="s">
        <v>4</v>
      </c>
      <c r="E14" s="4">
        <f t="shared" ref="E14:K14" si="74">IF(ISNUMBER(SEARCH(E$1,$D14)), SEARCH(E$1,$D14), 0)</f>
        <v>1</v>
      </c>
      <c r="F14" s="4">
        <f t="shared" si="74"/>
        <v>0</v>
      </c>
      <c r="G14" s="4">
        <f t="shared" si="74"/>
        <v>0</v>
      </c>
      <c r="H14" s="4">
        <f t="shared" si="74"/>
        <v>0</v>
      </c>
      <c r="I14" s="4">
        <f t="shared" si="74"/>
        <v>0</v>
      </c>
      <c r="J14" s="4">
        <f t="shared" si="74"/>
        <v>0</v>
      </c>
      <c r="K14" s="4">
        <f t="shared" si="74"/>
        <v>0</v>
      </c>
      <c r="L14" s="4">
        <f t="shared" si="1"/>
        <v>1</v>
      </c>
      <c r="N14" s="1" t="s">
        <v>328</v>
      </c>
      <c r="O14" s="4">
        <f t="shared" ref="O14:T14" si="75">IF(ISNUMBER(SEARCH(O$1,$N14)), 1, 0)</f>
        <v>1</v>
      </c>
      <c r="P14" s="4">
        <f t="shared" si="75"/>
        <v>1</v>
      </c>
      <c r="Q14" s="4">
        <f t="shared" si="75"/>
        <v>1</v>
      </c>
      <c r="R14" s="4">
        <f t="shared" si="75"/>
        <v>0</v>
      </c>
      <c r="S14" s="4">
        <f t="shared" si="75"/>
        <v>0</v>
      </c>
      <c r="T14" s="4">
        <f t="shared" si="75"/>
        <v>0</v>
      </c>
      <c r="V14" s="1" t="s">
        <v>26</v>
      </c>
      <c r="W14" s="1" t="str">
        <f t="shared" si="69"/>
        <v>False</v>
      </c>
      <c r="X14" s="1" t="str">
        <f t="shared" si="69"/>
        <v>False</v>
      </c>
      <c r="Y14" s="1" t="str">
        <f t="shared" si="69"/>
        <v>False</v>
      </c>
      <c r="Z14" s="1" t="str">
        <f t="shared" si="69"/>
        <v>False</v>
      </c>
      <c r="AA14" s="1" t="str">
        <f t="shared" si="69"/>
        <v>True</v>
      </c>
      <c r="AB14" s="1" t="s">
        <v>273</v>
      </c>
      <c r="AC14" s="4">
        <f t="shared" ref="AC14:AH14" si="76">IF(ISNUMBER(SEARCH(AC$1,$AB14)), 1, 0)</f>
        <v>0</v>
      </c>
      <c r="AD14" s="4">
        <f t="shared" si="76"/>
        <v>0</v>
      </c>
      <c r="AE14" s="4">
        <f t="shared" si="76"/>
        <v>0</v>
      </c>
      <c r="AF14" s="4">
        <f t="shared" si="76"/>
        <v>0</v>
      </c>
      <c r="AG14" s="4">
        <f t="shared" si="76"/>
        <v>1</v>
      </c>
      <c r="AH14" s="4">
        <f t="shared" si="76"/>
        <v>0</v>
      </c>
      <c r="AI14" s="1">
        <f t="shared" si="5"/>
        <v>1</v>
      </c>
      <c r="AJ14" s="1" t="s">
        <v>782</v>
      </c>
      <c r="AK14" s="1" t="s">
        <v>565</v>
      </c>
      <c r="AL14" s="4">
        <f t="shared" ref="AL14:AS14" si="77">IF(ISNUMBER(SEARCH(AL$1,$AK14)), 1, 0)</f>
        <v>1</v>
      </c>
      <c r="AM14" s="4">
        <f t="shared" si="77"/>
        <v>0</v>
      </c>
      <c r="AN14" s="4">
        <f t="shared" si="77"/>
        <v>0</v>
      </c>
      <c r="AO14" s="4">
        <f t="shared" si="77"/>
        <v>1</v>
      </c>
      <c r="AP14" s="4">
        <f t="shared" si="77"/>
        <v>0</v>
      </c>
      <c r="AQ14" s="4">
        <f t="shared" si="77"/>
        <v>1</v>
      </c>
      <c r="AR14" s="4">
        <f t="shared" si="77"/>
        <v>0</v>
      </c>
      <c r="AS14" s="4">
        <f t="shared" si="77"/>
        <v>0</v>
      </c>
      <c r="AU14" s="1" t="s">
        <v>48</v>
      </c>
      <c r="AV14" s="1">
        <f t="shared" si="7"/>
        <v>0</v>
      </c>
      <c r="AW14" s="1">
        <f t="shared" si="8"/>
        <v>1</v>
      </c>
      <c r="AX14" s="1">
        <f t="shared" si="9"/>
        <v>0</v>
      </c>
      <c r="AY14" s="1" t="s">
        <v>48</v>
      </c>
      <c r="BA14" s="1" t="s">
        <v>783</v>
      </c>
      <c r="BB14" s="4">
        <f t="shared" ref="BB14:BJ14" si="78">IF(ISNUMBER(SEARCH(BB$1,$BA14)), 1, 0)</f>
        <v>0</v>
      </c>
      <c r="BC14" s="4">
        <f t="shared" si="78"/>
        <v>0</v>
      </c>
      <c r="BD14" s="4">
        <f t="shared" si="78"/>
        <v>0</v>
      </c>
      <c r="BE14" s="4">
        <f t="shared" si="78"/>
        <v>0</v>
      </c>
      <c r="BF14" s="4">
        <f t="shared" si="78"/>
        <v>1</v>
      </c>
      <c r="BG14" s="4">
        <f t="shared" si="78"/>
        <v>0</v>
      </c>
      <c r="BH14" s="4">
        <f t="shared" si="78"/>
        <v>0</v>
      </c>
      <c r="BI14" s="4">
        <f t="shared" si="78"/>
        <v>0</v>
      </c>
      <c r="BJ14" s="4">
        <f t="shared" si="78"/>
        <v>1</v>
      </c>
      <c r="BK14" s="4">
        <f t="shared" si="11"/>
        <v>2</v>
      </c>
      <c r="BM14" s="1" t="s">
        <v>166</v>
      </c>
      <c r="BN14" s="1" t="s">
        <v>744</v>
      </c>
      <c r="BO14" s="4">
        <f t="shared" ref="BO14:BU14" si="79">IF(ISNUMBER(SEARCH(BO$1,$BN14)), 1, 0)</f>
        <v>0</v>
      </c>
      <c r="BP14" s="4">
        <f t="shared" si="79"/>
        <v>0</v>
      </c>
      <c r="BQ14" s="4">
        <f t="shared" si="79"/>
        <v>0</v>
      </c>
      <c r="BR14" s="4">
        <f t="shared" si="79"/>
        <v>1</v>
      </c>
      <c r="BS14" s="4">
        <f t="shared" si="79"/>
        <v>0</v>
      </c>
      <c r="BT14" s="4">
        <f t="shared" si="79"/>
        <v>0</v>
      </c>
      <c r="BU14" s="4">
        <f t="shared" si="79"/>
        <v>1</v>
      </c>
      <c r="BW14" s="1" t="s">
        <v>516</v>
      </c>
      <c r="BZ14" s="1" t="s">
        <v>516</v>
      </c>
      <c r="DC14" s="1" t="s">
        <v>238</v>
      </c>
    </row>
    <row r="15" spans="1:107" ht="15.75" customHeight="1" x14ac:dyDescent="0.25">
      <c r="A15" s="1" t="b">
        <v>1</v>
      </c>
      <c r="B15" s="3">
        <v>46153.465046296296</v>
      </c>
      <c r="C15" s="1" t="s">
        <v>310</v>
      </c>
      <c r="D15" s="1" t="s">
        <v>4</v>
      </c>
      <c r="E15" s="4">
        <f t="shared" ref="E15:K15" si="80">IF(ISNUMBER(SEARCH(E$1,$D15)), SEARCH(E$1,$D15), 0)</f>
        <v>1</v>
      </c>
      <c r="F15" s="4">
        <f t="shared" si="80"/>
        <v>0</v>
      </c>
      <c r="G15" s="4">
        <f t="shared" si="80"/>
        <v>0</v>
      </c>
      <c r="H15" s="4">
        <f t="shared" si="80"/>
        <v>0</v>
      </c>
      <c r="I15" s="4">
        <f t="shared" si="80"/>
        <v>0</v>
      </c>
      <c r="J15" s="4">
        <f t="shared" si="80"/>
        <v>0</v>
      </c>
      <c r="K15" s="4">
        <f t="shared" si="80"/>
        <v>0</v>
      </c>
      <c r="L15" s="4">
        <f t="shared" si="1"/>
        <v>1</v>
      </c>
      <c r="N15" s="1" t="s">
        <v>244</v>
      </c>
      <c r="O15" s="4">
        <f t="shared" ref="O15:T15" si="81">IF(ISNUMBER(SEARCH(O$1,$N15)), 1, 0)</f>
        <v>1</v>
      </c>
      <c r="P15" s="4">
        <f t="shared" si="81"/>
        <v>0</v>
      </c>
      <c r="Q15" s="4">
        <f t="shared" si="81"/>
        <v>1</v>
      </c>
      <c r="R15" s="4">
        <f t="shared" si="81"/>
        <v>1</v>
      </c>
      <c r="S15" s="4">
        <f t="shared" si="81"/>
        <v>0</v>
      </c>
      <c r="T15" s="4">
        <f t="shared" si="81"/>
        <v>0</v>
      </c>
      <c r="V15" s="1" t="s">
        <v>26</v>
      </c>
      <c r="W15" s="1" t="str">
        <f t="shared" si="69"/>
        <v>False</v>
      </c>
      <c r="X15" s="1" t="str">
        <f t="shared" si="69"/>
        <v>False</v>
      </c>
      <c r="Y15" s="1" t="str">
        <f t="shared" si="69"/>
        <v>False</v>
      </c>
      <c r="Z15" s="1" t="str">
        <f t="shared" si="69"/>
        <v>False</v>
      </c>
      <c r="AA15" s="1" t="str">
        <f t="shared" si="69"/>
        <v>True</v>
      </c>
      <c r="AB15" s="1" t="s">
        <v>311</v>
      </c>
      <c r="AC15" s="4">
        <f t="shared" ref="AC15:AH15" si="82">IF(ISNUMBER(SEARCH(AC$1,$AB15)), 1, 0)</f>
        <v>1</v>
      </c>
      <c r="AD15" s="4">
        <f t="shared" si="82"/>
        <v>0</v>
      </c>
      <c r="AE15" s="4">
        <f t="shared" si="82"/>
        <v>0</v>
      </c>
      <c r="AF15" s="4">
        <f t="shared" si="82"/>
        <v>0</v>
      </c>
      <c r="AG15" s="4">
        <f t="shared" si="82"/>
        <v>0</v>
      </c>
      <c r="AH15" s="4">
        <f t="shared" si="82"/>
        <v>0</v>
      </c>
      <c r="AI15" s="1">
        <f t="shared" si="5"/>
        <v>1</v>
      </c>
      <c r="AJ15" s="1" t="s">
        <v>312</v>
      </c>
      <c r="AK15" s="1" t="s">
        <v>313</v>
      </c>
      <c r="AL15" s="4">
        <f t="shared" ref="AL15:AS15" si="83">IF(ISNUMBER(SEARCH(AL$1,$AK15)), 1, 0)</f>
        <v>1</v>
      </c>
      <c r="AM15" s="4">
        <f t="shared" si="83"/>
        <v>1</v>
      </c>
      <c r="AN15" s="4">
        <f t="shared" si="83"/>
        <v>0</v>
      </c>
      <c r="AO15" s="4">
        <f t="shared" si="83"/>
        <v>1</v>
      </c>
      <c r="AP15" s="4">
        <f t="shared" si="83"/>
        <v>1</v>
      </c>
      <c r="AQ15" s="4">
        <f t="shared" si="83"/>
        <v>1</v>
      </c>
      <c r="AR15" s="4">
        <f t="shared" si="83"/>
        <v>0</v>
      </c>
      <c r="AS15" s="4">
        <f t="shared" si="83"/>
        <v>0</v>
      </c>
      <c r="AU15" s="1" t="s">
        <v>47</v>
      </c>
      <c r="AV15" s="1">
        <f t="shared" si="7"/>
        <v>1</v>
      </c>
      <c r="AW15" s="1">
        <f t="shared" si="8"/>
        <v>0</v>
      </c>
      <c r="AX15" s="1">
        <f t="shared" si="9"/>
        <v>0</v>
      </c>
      <c r="AY15" s="1" t="s">
        <v>48</v>
      </c>
      <c r="BA15" s="1" t="s">
        <v>314</v>
      </c>
      <c r="BB15" s="4">
        <f t="shared" ref="BB15:BJ15" si="84">IF(ISNUMBER(SEARCH(BB$1,$BA15)), 1, 0)</f>
        <v>0</v>
      </c>
      <c r="BC15" s="4">
        <f t="shared" si="84"/>
        <v>0</v>
      </c>
      <c r="BD15" s="4">
        <f t="shared" si="84"/>
        <v>1</v>
      </c>
      <c r="BE15" s="4">
        <f t="shared" si="84"/>
        <v>1</v>
      </c>
      <c r="BF15" s="4">
        <f t="shared" si="84"/>
        <v>0</v>
      </c>
      <c r="BG15" s="4">
        <f t="shared" si="84"/>
        <v>1</v>
      </c>
      <c r="BH15" s="4">
        <f t="shared" si="84"/>
        <v>0</v>
      </c>
      <c r="BI15" s="4">
        <f t="shared" si="84"/>
        <v>0</v>
      </c>
      <c r="BJ15" s="4">
        <f t="shared" si="84"/>
        <v>1</v>
      </c>
      <c r="BK15" s="4">
        <f t="shared" si="11"/>
        <v>4</v>
      </c>
      <c r="BO15" s="4">
        <f t="shared" ref="BO15:BU15" si="85">IF(ISNUMBER(SEARCH(BO$1,$BN15)), 1, 0)</f>
        <v>0</v>
      </c>
      <c r="BP15" s="4">
        <f t="shared" si="85"/>
        <v>0</v>
      </c>
      <c r="BQ15" s="4">
        <f t="shared" si="85"/>
        <v>0</v>
      </c>
      <c r="BR15" s="4">
        <f t="shared" si="85"/>
        <v>0</v>
      </c>
      <c r="BS15" s="4">
        <f t="shared" si="85"/>
        <v>0</v>
      </c>
      <c r="BT15" s="4">
        <f t="shared" si="85"/>
        <v>0</v>
      </c>
      <c r="BU15" s="4">
        <f t="shared" si="85"/>
        <v>0</v>
      </c>
      <c r="DC15" s="1" t="s">
        <v>180</v>
      </c>
    </row>
    <row r="16" spans="1:107" ht="15.75" customHeight="1" x14ac:dyDescent="0.25">
      <c r="A16" s="1" t="b">
        <v>1</v>
      </c>
      <c r="B16" s="3">
        <v>46160.753634259258</v>
      </c>
      <c r="C16" s="1" t="s">
        <v>416</v>
      </c>
      <c r="D16" s="1" t="s">
        <v>4</v>
      </c>
      <c r="E16" s="4">
        <f t="shared" ref="E16:K16" si="86">IF(ISNUMBER(SEARCH(E$1,$D16)), SEARCH(E$1,$D16), 0)</f>
        <v>1</v>
      </c>
      <c r="F16" s="4">
        <f t="shared" si="86"/>
        <v>0</v>
      </c>
      <c r="G16" s="4">
        <f t="shared" si="86"/>
        <v>0</v>
      </c>
      <c r="H16" s="4">
        <f t="shared" si="86"/>
        <v>0</v>
      </c>
      <c r="I16" s="4">
        <f t="shared" si="86"/>
        <v>0</v>
      </c>
      <c r="J16" s="4">
        <f t="shared" si="86"/>
        <v>0</v>
      </c>
      <c r="K16" s="4">
        <f t="shared" si="86"/>
        <v>0</v>
      </c>
      <c r="L16" s="4">
        <f t="shared" si="1"/>
        <v>1</v>
      </c>
      <c r="N16" s="1" t="s">
        <v>240</v>
      </c>
      <c r="O16" s="4">
        <f t="shared" ref="O16:T16" si="87">IF(ISNUMBER(SEARCH(O$1,$N16)), 1, 0)</f>
        <v>1</v>
      </c>
      <c r="P16" s="4">
        <f t="shared" si="87"/>
        <v>1</v>
      </c>
      <c r="Q16" s="4">
        <f t="shared" si="87"/>
        <v>1</v>
      </c>
      <c r="R16" s="4">
        <f t="shared" si="87"/>
        <v>1</v>
      </c>
      <c r="S16" s="4">
        <f t="shared" si="87"/>
        <v>0</v>
      </c>
      <c r="T16" s="4">
        <f t="shared" si="87"/>
        <v>0</v>
      </c>
      <c r="V16" s="1" t="s">
        <v>26</v>
      </c>
      <c r="W16" s="1" t="str">
        <f t="shared" si="69"/>
        <v>False</v>
      </c>
      <c r="X16" s="1" t="str">
        <f t="shared" si="69"/>
        <v>False</v>
      </c>
      <c r="Y16" s="1" t="str">
        <f t="shared" si="69"/>
        <v>False</v>
      </c>
      <c r="Z16" s="1" t="str">
        <f t="shared" si="69"/>
        <v>False</v>
      </c>
      <c r="AA16" s="1" t="str">
        <f t="shared" si="69"/>
        <v>True</v>
      </c>
      <c r="AB16" s="1" t="s">
        <v>311</v>
      </c>
      <c r="AC16" s="4">
        <f t="shared" ref="AC16:AH16" si="88">IF(ISNUMBER(SEARCH(AC$1,$AB16)), 1, 0)</f>
        <v>1</v>
      </c>
      <c r="AD16" s="4">
        <f t="shared" si="88"/>
        <v>0</v>
      </c>
      <c r="AE16" s="4">
        <f t="shared" si="88"/>
        <v>0</v>
      </c>
      <c r="AF16" s="4">
        <f t="shared" si="88"/>
        <v>0</v>
      </c>
      <c r="AG16" s="4">
        <f t="shared" si="88"/>
        <v>0</v>
      </c>
      <c r="AH16" s="4">
        <f t="shared" si="88"/>
        <v>0</v>
      </c>
      <c r="AI16" s="1">
        <f t="shared" si="5"/>
        <v>1</v>
      </c>
      <c r="AJ16" s="1" t="s">
        <v>417</v>
      </c>
      <c r="AK16" s="1" t="s">
        <v>418</v>
      </c>
      <c r="AL16" s="4">
        <f t="shared" ref="AL16:AS16" si="89">IF(ISNUMBER(SEARCH(AL$1,$AK16)), 1, 0)</f>
        <v>1</v>
      </c>
      <c r="AM16" s="4">
        <f t="shared" si="89"/>
        <v>0</v>
      </c>
      <c r="AN16" s="4">
        <f t="shared" si="89"/>
        <v>1</v>
      </c>
      <c r="AO16" s="4">
        <f t="shared" si="89"/>
        <v>1</v>
      </c>
      <c r="AP16" s="4">
        <f t="shared" si="89"/>
        <v>0</v>
      </c>
      <c r="AQ16" s="4">
        <f t="shared" si="89"/>
        <v>1</v>
      </c>
      <c r="AR16" s="4">
        <f t="shared" si="89"/>
        <v>0</v>
      </c>
      <c r="AS16" s="4">
        <f t="shared" si="89"/>
        <v>0</v>
      </c>
      <c r="AU16" s="1" t="s">
        <v>48</v>
      </c>
      <c r="AV16" s="1">
        <f t="shared" si="7"/>
        <v>0</v>
      </c>
      <c r="AW16" s="1">
        <f t="shared" si="8"/>
        <v>1</v>
      </c>
      <c r="AX16" s="1">
        <f t="shared" si="9"/>
        <v>0</v>
      </c>
      <c r="AY16" s="1" t="s">
        <v>48</v>
      </c>
      <c r="BA16" s="1" t="s">
        <v>419</v>
      </c>
      <c r="BB16" s="4">
        <f t="shared" ref="BB16:BJ16" si="90">IF(ISNUMBER(SEARCH(BB$1,$BA16)), 1, 0)</f>
        <v>0</v>
      </c>
      <c r="BC16" s="4">
        <f t="shared" si="90"/>
        <v>1</v>
      </c>
      <c r="BD16" s="4">
        <f t="shared" si="90"/>
        <v>0</v>
      </c>
      <c r="BE16" s="4">
        <f t="shared" si="90"/>
        <v>1</v>
      </c>
      <c r="BF16" s="4">
        <f t="shared" si="90"/>
        <v>0</v>
      </c>
      <c r="BG16" s="4">
        <f t="shared" si="90"/>
        <v>1</v>
      </c>
      <c r="BH16" s="4">
        <f t="shared" si="90"/>
        <v>0</v>
      </c>
      <c r="BI16" s="4">
        <f t="shared" si="90"/>
        <v>0</v>
      </c>
      <c r="BJ16" s="4">
        <f t="shared" si="90"/>
        <v>1</v>
      </c>
      <c r="BK16" s="4">
        <f t="shared" si="11"/>
        <v>4</v>
      </c>
      <c r="BM16" s="1" t="s">
        <v>232</v>
      </c>
      <c r="BN16" s="1" t="s">
        <v>420</v>
      </c>
      <c r="BO16" s="4">
        <f t="shared" ref="BO16:BU16" si="91">IF(ISNUMBER(SEARCH(BO$1,$BN16)), 1, 0)</f>
        <v>1</v>
      </c>
      <c r="BP16" s="4">
        <f t="shared" si="91"/>
        <v>0</v>
      </c>
      <c r="BQ16" s="4">
        <f t="shared" si="91"/>
        <v>1</v>
      </c>
      <c r="BR16" s="4">
        <f t="shared" si="91"/>
        <v>1</v>
      </c>
      <c r="BS16" s="4">
        <f t="shared" si="91"/>
        <v>0</v>
      </c>
      <c r="BT16" s="4">
        <f t="shared" si="91"/>
        <v>1</v>
      </c>
      <c r="BU16" s="4">
        <f t="shared" si="91"/>
        <v>1</v>
      </c>
      <c r="DC16" s="1" t="s">
        <v>238</v>
      </c>
    </row>
    <row r="17" spans="1:107" ht="15.75" customHeight="1" x14ac:dyDescent="0.25">
      <c r="A17" s="1" t="b">
        <v>1</v>
      </c>
      <c r="B17" s="3">
        <v>46164.667071759257</v>
      </c>
      <c r="C17" s="1" t="s">
        <v>512</v>
      </c>
      <c r="D17" s="1" t="s">
        <v>4</v>
      </c>
      <c r="E17" s="4">
        <f t="shared" ref="E17:K17" si="92">IF(ISNUMBER(SEARCH(E$1,$D17)), SEARCH(E$1,$D17), 0)</f>
        <v>1</v>
      </c>
      <c r="F17" s="4">
        <f t="shared" si="92"/>
        <v>0</v>
      </c>
      <c r="G17" s="4">
        <f t="shared" si="92"/>
        <v>0</v>
      </c>
      <c r="H17" s="4">
        <f t="shared" si="92"/>
        <v>0</v>
      </c>
      <c r="I17" s="4">
        <f t="shared" si="92"/>
        <v>0</v>
      </c>
      <c r="J17" s="4">
        <f t="shared" si="92"/>
        <v>0</v>
      </c>
      <c r="K17" s="4">
        <f t="shared" si="92"/>
        <v>0</v>
      </c>
      <c r="L17" s="4">
        <f t="shared" si="1"/>
        <v>1</v>
      </c>
      <c r="N17" s="1" t="s">
        <v>187</v>
      </c>
      <c r="O17" s="4">
        <f t="shared" ref="O17:T17" si="93">IF(ISNUMBER(SEARCH(O$1,$N17)), 1, 0)</f>
        <v>1</v>
      </c>
      <c r="P17" s="4">
        <f t="shared" si="93"/>
        <v>1</v>
      </c>
      <c r="Q17" s="4">
        <f t="shared" si="93"/>
        <v>1</v>
      </c>
      <c r="R17" s="4">
        <f t="shared" si="93"/>
        <v>1</v>
      </c>
      <c r="S17" s="4">
        <f t="shared" si="93"/>
        <v>1</v>
      </c>
      <c r="T17" s="4">
        <f t="shared" si="93"/>
        <v>1</v>
      </c>
      <c r="W17" s="1" t="str">
        <f t="shared" si="69"/>
        <v>False</v>
      </c>
      <c r="X17" s="1" t="str">
        <f t="shared" si="69"/>
        <v>False</v>
      </c>
      <c r="Y17" s="1" t="str">
        <f t="shared" si="69"/>
        <v>False</v>
      </c>
      <c r="Z17" s="1" t="str">
        <f t="shared" si="69"/>
        <v>False</v>
      </c>
      <c r="AA17" s="1" t="str">
        <f t="shared" si="69"/>
        <v>False</v>
      </c>
      <c r="AB17" s="1" t="s">
        <v>513</v>
      </c>
      <c r="AC17" s="4">
        <f t="shared" ref="AC17:AH17" si="94">IF(ISNUMBER(SEARCH(AC$1,$AB17)), 1, 0)</f>
        <v>1</v>
      </c>
      <c r="AD17" s="4">
        <f t="shared" si="94"/>
        <v>0</v>
      </c>
      <c r="AE17" s="4">
        <f t="shared" si="94"/>
        <v>0</v>
      </c>
      <c r="AF17" s="4">
        <f t="shared" si="94"/>
        <v>0</v>
      </c>
      <c r="AG17" s="4">
        <f t="shared" si="94"/>
        <v>1</v>
      </c>
      <c r="AH17" s="4">
        <f t="shared" si="94"/>
        <v>0</v>
      </c>
      <c r="AI17" s="1">
        <f t="shared" si="5"/>
        <v>2</v>
      </c>
      <c r="AJ17" s="1" t="s">
        <v>514</v>
      </c>
      <c r="AK17" s="1" t="s">
        <v>313</v>
      </c>
      <c r="AL17" s="4">
        <f t="shared" ref="AL17:AS17" si="95">IF(ISNUMBER(SEARCH(AL$1,$AK17)), 1, 0)</f>
        <v>1</v>
      </c>
      <c r="AM17" s="4">
        <f t="shared" si="95"/>
        <v>1</v>
      </c>
      <c r="AN17" s="4">
        <f t="shared" si="95"/>
        <v>0</v>
      </c>
      <c r="AO17" s="4">
        <f t="shared" si="95"/>
        <v>1</v>
      </c>
      <c r="AP17" s="4">
        <f t="shared" si="95"/>
        <v>1</v>
      </c>
      <c r="AQ17" s="4">
        <f t="shared" si="95"/>
        <v>1</v>
      </c>
      <c r="AR17" s="4">
        <f t="shared" si="95"/>
        <v>0</v>
      </c>
      <c r="AS17" s="4">
        <f t="shared" si="95"/>
        <v>0</v>
      </c>
      <c r="AU17" s="1" t="s">
        <v>48</v>
      </c>
      <c r="AV17" s="1">
        <f t="shared" si="7"/>
        <v>0</v>
      </c>
      <c r="AW17" s="1">
        <f t="shared" si="8"/>
        <v>1</v>
      </c>
      <c r="AX17" s="1">
        <f t="shared" si="9"/>
        <v>0</v>
      </c>
      <c r="AY17" s="1" t="s">
        <v>48</v>
      </c>
      <c r="BA17" s="1" t="s">
        <v>318</v>
      </c>
      <c r="BB17" s="4">
        <f t="shared" ref="BB17:BJ17" si="96">IF(ISNUMBER(SEARCH(BB$1,$BA17)), 1, 0)</f>
        <v>0</v>
      </c>
      <c r="BC17" s="4">
        <f t="shared" si="96"/>
        <v>0</v>
      </c>
      <c r="BD17" s="4">
        <f t="shared" si="96"/>
        <v>1</v>
      </c>
      <c r="BE17" s="4">
        <f t="shared" si="96"/>
        <v>1</v>
      </c>
      <c r="BF17" s="4">
        <f t="shared" si="96"/>
        <v>1</v>
      </c>
      <c r="BG17" s="4">
        <f t="shared" si="96"/>
        <v>1</v>
      </c>
      <c r="BH17" s="4">
        <f t="shared" si="96"/>
        <v>0</v>
      </c>
      <c r="BI17" s="4">
        <f t="shared" si="96"/>
        <v>0</v>
      </c>
      <c r="BJ17" s="4">
        <f t="shared" si="96"/>
        <v>1</v>
      </c>
      <c r="BK17" s="4">
        <f t="shared" si="11"/>
        <v>5</v>
      </c>
      <c r="BM17" s="1" t="s">
        <v>232</v>
      </c>
      <c r="BN17" s="1" t="s">
        <v>72</v>
      </c>
      <c r="BO17" s="4">
        <f t="shared" ref="BO17:BU17" si="97">IF(ISNUMBER(SEARCH(BO$1,$BN17)), 1, 0)</f>
        <v>0</v>
      </c>
      <c r="BP17" s="4">
        <f t="shared" si="97"/>
        <v>0</v>
      </c>
      <c r="BQ17" s="4">
        <f t="shared" si="97"/>
        <v>0</v>
      </c>
      <c r="BR17" s="4">
        <f t="shared" si="97"/>
        <v>0</v>
      </c>
      <c r="BS17" s="4">
        <f t="shared" si="97"/>
        <v>0</v>
      </c>
      <c r="BT17" s="4">
        <f t="shared" si="97"/>
        <v>0</v>
      </c>
      <c r="BU17" s="4">
        <f t="shared" si="97"/>
        <v>1</v>
      </c>
      <c r="BW17" s="1" t="s">
        <v>212</v>
      </c>
      <c r="BY17" s="1" t="s">
        <v>515</v>
      </c>
      <c r="BZ17" s="1" t="s">
        <v>516</v>
      </c>
      <c r="DC17" s="1" t="s">
        <v>238</v>
      </c>
    </row>
    <row r="18" spans="1:107" ht="15.75" customHeight="1" x14ac:dyDescent="0.25">
      <c r="A18" s="1" t="b">
        <v>1</v>
      </c>
      <c r="B18" s="3">
        <v>46149.891053240739</v>
      </c>
      <c r="C18" s="1" t="s">
        <v>186</v>
      </c>
      <c r="D18" s="1" t="s">
        <v>4</v>
      </c>
      <c r="E18" s="4">
        <f t="shared" ref="E18:K18" si="98">IF(ISNUMBER(SEARCH(E$1,$D18)), SEARCH(E$1,$D18), 0)</f>
        <v>1</v>
      </c>
      <c r="F18" s="4">
        <f t="shared" si="98"/>
        <v>0</v>
      </c>
      <c r="G18" s="4">
        <f t="shared" si="98"/>
        <v>0</v>
      </c>
      <c r="H18" s="4">
        <f t="shared" si="98"/>
        <v>0</v>
      </c>
      <c r="I18" s="4">
        <f t="shared" si="98"/>
        <v>0</v>
      </c>
      <c r="J18" s="4">
        <f t="shared" si="98"/>
        <v>0</v>
      </c>
      <c r="K18" s="4">
        <f t="shared" si="98"/>
        <v>0</v>
      </c>
      <c r="L18" s="4">
        <f t="shared" si="1"/>
        <v>1</v>
      </c>
      <c r="N18" s="1" t="s">
        <v>187</v>
      </c>
      <c r="O18" s="4">
        <f t="shared" ref="O18:T18" si="99">IF(ISNUMBER(SEARCH(O$1,$N18)), 1, 0)</f>
        <v>1</v>
      </c>
      <c r="P18" s="4">
        <f t="shared" si="99"/>
        <v>1</v>
      </c>
      <c r="Q18" s="4">
        <f t="shared" si="99"/>
        <v>1</v>
      </c>
      <c r="R18" s="4">
        <f t="shared" si="99"/>
        <v>1</v>
      </c>
      <c r="S18" s="4">
        <f t="shared" si="99"/>
        <v>1</v>
      </c>
      <c r="T18" s="4">
        <f t="shared" si="99"/>
        <v>1</v>
      </c>
      <c r="W18" s="1" t="str">
        <f t="shared" si="69"/>
        <v>False</v>
      </c>
      <c r="X18" s="1" t="str">
        <f t="shared" si="69"/>
        <v>False</v>
      </c>
      <c r="Y18" s="1" t="str">
        <f t="shared" si="69"/>
        <v>False</v>
      </c>
      <c r="Z18" s="1" t="str">
        <f t="shared" si="69"/>
        <v>False</v>
      </c>
      <c r="AA18" s="1" t="str">
        <f t="shared" si="69"/>
        <v>False</v>
      </c>
      <c r="AB18" s="1" t="s">
        <v>188</v>
      </c>
      <c r="AC18" s="4">
        <f t="shared" ref="AC18:AH18" si="100">IF(ISNUMBER(SEARCH(AC$1,$AB18)), 1, 0)</f>
        <v>0</v>
      </c>
      <c r="AD18" s="4">
        <f t="shared" si="100"/>
        <v>0</v>
      </c>
      <c r="AE18" s="4">
        <f t="shared" si="100"/>
        <v>1</v>
      </c>
      <c r="AF18" s="4">
        <f t="shared" si="100"/>
        <v>1</v>
      </c>
      <c r="AG18" s="4">
        <f t="shared" si="100"/>
        <v>0</v>
      </c>
      <c r="AH18" s="4">
        <f t="shared" si="100"/>
        <v>0</v>
      </c>
      <c r="AI18" s="1">
        <f t="shared" si="5"/>
        <v>2</v>
      </c>
      <c r="AK18" s="1" t="s">
        <v>189</v>
      </c>
      <c r="AL18" s="4">
        <f t="shared" ref="AL18:AS18" si="101">IF(ISNUMBER(SEARCH(AL$1,$AK18)), 1, 0)</f>
        <v>1</v>
      </c>
      <c r="AM18" s="4">
        <f t="shared" si="101"/>
        <v>1</v>
      </c>
      <c r="AN18" s="4">
        <f t="shared" si="101"/>
        <v>1</v>
      </c>
      <c r="AO18" s="4">
        <f t="shared" si="101"/>
        <v>1</v>
      </c>
      <c r="AP18" s="4">
        <f t="shared" si="101"/>
        <v>0</v>
      </c>
      <c r="AQ18" s="4">
        <f t="shared" si="101"/>
        <v>1</v>
      </c>
      <c r="AR18" s="4">
        <f t="shared" si="101"/>
        <v>0</v>
      </c>
      <c r="AS18" s="4">
        <f t="shared" si="101"/>
        <v>0</v>
      </c>
      <c r="AU18" s="1" t="s">
        <v>47</v>
      </c>
      <c r="AV18" s="1">
        <f t="shared" si="7"/>
        <v>1</v>
      </c>
      <c r="AW18" s="1">
        <f t="shared" si="8"/>
        <v>0</v>
      </c>
      <c r="AX18" s="1">
        <f t="shared" si="9"/>
        <v>0</v>
      </c>
      <c r="AY18" s="1" t="s">
        <v>48</v>
      </c>
      <c r="BA18" s="1" t="s">
        <v>61</v>
      </c>
      <c r="BB18" s="4">
        <f t="shared" ref="BB18:BJ18" si="102">IF(ISNUMBER(SEARCH(BB$1,$BA18)), 1, 0)</f>
        <v>0</v>
      </c>
      <c r="BC18" s="4">
        <f t="shared" si="102"/>
        <v>0</v>
      </c>
      <c r="BD18" s="4">
        <f t="shared" si="102"/>
        <v>0</v>
      </c>
      <c r="BE18" s="4">
        <f t="shared" si="102"/>
        <v>0</v>
      </c>
      <c r="BF18" s="4">
        <f t="shared" si="102"/>
        <v>0</v>
      </c>
      <c r="BG18" s="4">
        <f t="shared" si="102"/>
        <v>0</v>
      </c>
      <c r="BH18" s="4">
        <f t="shared" si="102"/>
        <v>0</v>
      </c>
      <c r="BI18" s="4">
        <f t="shared" si="102"/>
        <v>0</v>
      </c>
      <c r="BJ18" s="4">
        <f t="shared" si="102"/>
        <v>1</v>
      </c>
      <c r="BK18" s="4">
        <f t="shared" si="11"/>
        <v>1</v>
      </c>
      <c r="BM18" s="1" t="s">
        <v>190</v>
      </c>
      <c r="BN18" s="1" t="s">
        <v>72</v>
      </c>
      <c r="BO18" s="4">
        <f t="shared" ref="BO18:BU18" si="103">IF(ISNUMBER(SEARCH(BO$1,$BN18)), 1, 0)</f>
        <v>0</v>
      </c>
      <c r="BP18" s="4">
        <f t="shared" si="103"/>
        <v>0</v>
      </c>
      <c r="BQ18" s="4">
        <f t="shared" si="103"/>
        <v>0</v>
      </c>
      <c r="BR18" s="4">
        <f t="shared" si="103"/>
        <v>0</v>
      </c>
      <c r="BS18" s="4">
        <f t="shared" si="103"/>
        <v>0</v>
      </c>
      <c r="BT18" s="4">
        <f t="shared" si="103"/>
        <v>0</v>
      </c>
      <c r="BU18" s="4">
        <f t="shared" si="103"/>
        <v>1</v>
      </c>
      <c r="DC18" s="1" t="s">
        <v>180</v>
      </c>
    </row>
    <row r="19" spans="1:107" ht="15.75" customHeight="1" x14ac:dyDescent="0.25">
      <c r="A19" s="1" t="b">
        <v>1</v>
      </c>
      <c r="B19" s="3">
        <v>46171.995300925926</v>
      </c>
      <c r="C19" s="1" t="s">
        <v>784</v>
      </c>
      <c r="D19" s="1" t="s">
        <v>4</v>
      </c>
      <c r="E19" s="4">
        <f t="shared" ref="E19:K19" si="104">IF(ISNUMBER(SEARCH(E$1,$D19)), SEARCH(E$1,$D19), 0)</f>
        <v>1</v>
      </c>
      <c r="F19" s="4">
        <f t="shared" si="104"/>
        <v>0</v>
      </c>
      <c r="G19" s="4">
        <f t="shared" si="104"/>
        <v>0</v>
      </c>
      <c r="H19" s="4">
        <f t="shared" si="104"/>
        <v>0</v>
      </c>
      <c r="I19" s="4">
        <f t="shared" si="104"/>
        <v>0</v>
      </c>
      <c r="J19" s="4">
        <f t="shared" si="104"/>
        <v>0</v>
      </c>
      <c r="K19" s="4">
        <f t="shared" si="104"/>
        <v>0</v>
      </c>
      <c r="L19" s="4">
        <f t="shared" si="1"/>
        <v>1</v>
      </c>
      <c r="N19" s="1" t="s">
        <v>328</v>
      </c>
      <c r="O19" s="4">
        <f t="shared" ref="O19:T19" si="105">IF(ISNUMBER(SEARCH(O$1,$N19)), 1, 0)</f>
        <v>1</v>
      </c>
      <c r="P19" s="4">
        <f t="shared" si="105"/>
        <v>1</v>
      </c>
      <c r="Q19" s="4">
        <f t="shared" si="105"/>
        <v>1</v>
      </c>
      <c r="R19" s="4">
        <f t="shared" si="105"/>
        <v>0</v>
      </c>
      <c r="S19" s="4">
        <f t="shared" si="105"/>
        <v>0</v>
      </c>
      <c r="T19" s="4">
        <f t="shared" si="105"/>
        <v>0</v>
      </c>
      <c r="W19" s="1" t="str">
        <f t="shared" si="69"/>
        <v>False</v>
      </c>
      <c r="X19" s="1" t="str">
        <f t="shared" si="69"/>
        <v>False</v>
      </c>
      <c r="Y19" s="1" t="str">
        <f t="shared" si="69"/>
        <v>False</v>
      </c>
      <c r="Z19" s="1" t="str">
        <f t="shared" si="69"/>
        <v>False</v>
      </c>
      <c r="AA19" s="1" t="str">
        <f t="shared" si="69"/>
        <v>False</v>
      </c>
      <c r="AB19" s="1" t="s">
        <v>188</v>
      </c>
      <c r="AC19" s="4">
        <f t="shared" ref="AC19:AH19" si="106">IF(ISNUMBER(SEARCH(AC$1,$AB19)), 1, 0)</f>
        <v>0</v>
      </c>
      <c r="AD19" s="4">
        <f t="shared" si="106"/>
        <v>0</v>
      </c>
      <c r="AE19" s="4">
        <f t="shared" si="106"/>
        <v>1</v>
      </c>
      <c r="AF19" s="4">
        <f t="shared" si="106"/>
        <v>1</v>
      </c>
      <c r="AG19" s="4">
        <f t="shared" si="106"/>
        <v>0</v>
      </c>
      <c r="AH19" s="4">
        <f t="shared" si="106"/>
        <v>0</v>
      </c>
      <c r="AI19" s="1">
        <f t="shared" si="5"/>
        <v>2</v>
      </c>
      <c r="AK19" s="1" t="s">
        <v>189</v>
      </c>
      <c r="AL19" s="4">
        <f t="shared" ref="AL19:AS19" si="107">IF(ISNUMBER(SEARCH(AL$1,$AK19)), 1, 0)</f>
        <v>1</v>
      </c>
      <c r="AM19" s="4">
        <f t="shared" si="107"/>
        <v>1</v>
      </c>
      <c r="AN19" s="4">
        <f t="shared" si="107"/>
        <v>1</v>
      </c>
      <c r="AO19" s="4">
        <f t="shared" si="107"/>
        <v>1</v>
      </c>
      <c r="AP19" s="4">
        <f t="shared" si="107"/>
        <v>0</v>
      </c>
      <c r="AQ19" s="4">
        <f t="shared" si="107"/>
        <v>1</v>
      </c>
      <c r="AR19" s="4">
        <f t="shared" si="107"/>
        <v>0</v>
      </c>
      <c r="AS19" s="4">
        <f t="shared" si="107"/>
        <v>0</v>
      </c>
      <c r="AU19" s="1" t="s">
        <v>47</v>
      </c>
      <c r="AV19" s="1">
        <f t="shared" si="7"/>
        <v>1</v>
      </c>
      <c r="AW19" s="1">
        <f t="shared" si="8"/>
        <v>0</v>
      </c>
      <c r="AX19" s="1">
        <f t="shared" si="9"/>
        <v>0</v>
      </c>
      <c r="AY19" s="1" t="s">
        <v>48</v>
      </c>
      <c r="BA19" s="1" t="s">
        <v>61</v>
      </c>
      <c r="BB19" s="4">
        <f t="shared" ref="BB19:BJ19" si="108">IF(ISNUMBER(SEARCH(BB$1,$BA19)), 1, 0)</f>
        <v>0</v>
      </c>
      <c r="BC19" s="4">
        <f t="shared" si="108"/>
        <v>0</v>
      </c>
      <c r="BD19" s="4">
        <f t="shared" si="108"/>
        <v>0</v>
      </c>
      <c r="BE19" s="4">
        <f t="shared" si="108"/>
        <v>0</v>
      </c>
      <c r="BF19" s="4">
        <f t="shared" si="108"/>
        <v>0</v>
      </c>
      <c r="BG19" s="4">
        <f t="shared" si="108"/>
        <v>0</v>
      </c>
      <c r="BH19" s="4">
        <f t="shared" si="108"/>
        <v>0</v>
      </c>
      <c r="BI19" s="4">
        <f t="shared" si="108"/>
        <v>0</v>
      </c>
      <c r="BJ19" s="4">
        <f t="shared" si="108"/>
        <v>1</v>
      </c>
      <c r="BK19" s="4">
        <f t="shared" si="11"/>
        <v>1</v>
      </c>
      <c r="BM19" s="1" t="s">
        <v>190</v>
      </c>
      <c r="BN19" s="1" t="s">
        <v>72</v>
      </c>
      <c r="BO19" s="4">
        <f t="shared" ref="BO19:BU19" si="109">IF(ISNUMBER(SEARCH(BO$1,$BN19)), 1, 0)</f>
        <v>0</v>
      </c>
      <c r="BP19" s="4">
        <f t="shared" si="109"/>
        <v>0</v>
      </c>
      <c r="BQ19" s="4">
        <f t="shared" si="109"/>
        <v>0</v>
      </c>
      <c r="BR19" s="4">
        <f t="shared" si="109"/>
        <v>0</v>
      </c>
      <c r="BS19" s="4">
        <f t="shared" si="109"/>
        <v>0</v>
      </c>
      <c r="BT19" s="4">
        <f t="shared" si="109"/>
        <v>0</v>
      </c>
      <c r="BU19" s="4">
        <f t="shared" si="109"/>
        <v>1</v>
      </c>
      <c r="DC19" s="1" t="s">
        <v>238</v>
      </c>
    </row>
    <row r="20" spans="1:107" ht="15.75" customHeight="1" x14ac:dyDescent="0.25">
      <c r="A20" s="1" t="b">
        <v>1</v>
      </c>
      <c r="B20" s="3">
        <v>46153.407986111109</v>
      </c>
      <c r="C20" s="1" t="s">
        <v>309</v>
      </c>
      <c r="D20" s="1" t="s">
        <v>4</v>
      </c>
      <c r="E20" s="4">
        <f t="shared" ref="E20:K20" si="110">IF(ISNUMBER(SEARCH(E$1,$D20)), SEARCH(E$1,$D20), 0)</f>
        <v>1</v>
      </c>
      <c r="F20" s="4">
        <f t="shared" si="110"/>
        <v>0</v>
      </c>
      <c r="G20" s="4">
        <f t="shared" si="110"/>
        <v>0</v>
      </c>
      <c r="H20" s="4">
        <f t="shared" si="110"/>
        <v>0</v>
      </c>
      <c r="I20" s="4">
        <f t="shared" si="110"/>
        <v>0</v>
      </c>
      <c r="J20" s="4">
        <f t="shared" si="110"/>
        <v>0</v>
      </c>
      <c r="K20" s="4">
        <f t="shared" si="110"/>
        <v>0</v>
      </c>
      <c r="L20" s="4">
        <f t="shared" si="1"/>
        <v>1</v>
      </c>
      <c r="N20" s="1" t="s">
        <v>19</v>
      </c>
      <c r="O20" s="4">
        <f t="shared" ref="O20:T20" si="111">IF(ISNUMBER(SEARCH(O$1,$N20)), 1, 0)</f>
        <v>0</v>
      </c>
      <c r="P20" s="4">
        <f t="shared" si="111"/>
        <v>0</v>
      </c>
      <c r="Q20" s="4">
        <f t="shared" si="111"/>
        <v>0</v>
      </c>
      <c r="R20" s="4">
        <f t="shared" si="111"/>
        <v>0</v>
      </c>
      <c r="S20" s="4">
        <f t="shared" si="111"/>
        <v>0</v>
      </c>
      <c r="T20" s="4">
        <f t="shared" si="111"/>
        <v>1</v>
      </c>
      <c r="W20" s="1" t="str">
        <f t="shared" si="69"/>
        <v>False</v>
      </c>
      <c r="X20" s="1" t="str">
        <f t="shared" si="69"/>
        <v>False</v>
      </c>
      <c r="Y20" s="1" t="str">
        <f t="shared" si="69"/>
        <v>False</v>
      </c>
      <c r="Z20" s="1" t="str">
        <f t="shared" si="69"/>
        <v>False</v>
      </c>
      <c r="AA20" s="1" t="str">
        <f t="shared" si="69"/>
        <v>False</v>
      </c>
      <c r="AB20" s="1" t="s">
        <v>33</v>
      </c>
      <c r="AC20" s="4">
        <f t="shared" ref="AC20:AH20" si="112">IF(ISNUMBER(SEARCH(AC$1,$AB20)), 1, 0)</f>
        <v>0</v>
      </c>
      <c r="AD20" s="4">
        <f t="shared" si="112"/>
        <v>0</v>
      </c>
      <c r="AE20" s="4">
        <f t="shared" si="112"/>
        <v>0</v>
      </c>
      <c r="AF20" s="4">
        <f t="shared" si="112"/>
        <v>0</v>
      </c>
      <c r="AG20" s="4">
        <f t="shared" si="112"/>
        <v>0</v>
      </c>
      <c r="AH20" s="4">
        <f t="shared" si="112"/>
        <v>1</v>
      </c>
      <c r="AI20" s="1">
        <f t="shared" si="5"/>
        <v>1</v>
      </c>
      <c r="AK20" s="1" t="s">
        <v>42</v>
      </c>
      <c r="AL20" s="4">
        <f t="shared" ref="AL20:AS20" si="113">IF(ISNUMBER(SEARCH(AL$1,$AK20)), 1, 0)</f>
        <v>0</v>
      </c>
      <c r="AM20" s="4">
        <f t="shared" si="113"/>
        <v>0</v>
      </c>
      <c r="AN20" s="4">
        <f t="shared" si="113"/>
        <v>0</v>
      </c>
      <c r="AO20" s="4">
        <f t="shared" si="113"/>
        <v>0</v>
      </c>
      <c r="AP20" s="4">
        <f t="shared" si="113"/>
        <v>0</v>
      </c>
      <c r="AQ20" s="4">
        <f t="shared" si="113"/>
        <v>1</v>
      </c>
      <c r="AR20" s="4">
        <f t="shared" si="113"/>
        <v>0</v>
      </c>
      <c r="AS20" s="4">
        <f t="shared" si="113"/>
        <v>0</v>
      </c>
      <c r="AU20" s="1" t="s">
        <v>49</v>
      </c>
      <c r="AV20" s="1">
        <f t="shared" si="7"/>
        <v>0</v>
      </c>
      <c r="AW20" s="1">
        <f t="shared" si="8"/>
        <v>0</v>
      </c>
      <c r="AX20" s="1">
        <f t="shared" si="9"/>
        <v>1</v>
      </c>
      <c r="AY20" s="1" t="s">
        <v>48</v>
      </c>
      <c r="BA20" s="1" t="s">
        <v>57</v>
      </c>
      <c r="BB20" s="4">
        <f t="shared" ref="BB20:BJ20" si="114">IF(ISNUMBER(SEARCH(BB$1,$BA20)), 1, 0)</f>
        <v>0</v>
      </c>
      <c r="BC20" s="4">
        <f t="shared" si="114"/>
        <v>0</v>
      </c>
      <c r="BD20" s="4">
        <f t="shared" si="114"/>
        <v>0</v>
      </c>
      <c r="BE20" s="4">
        <f t="shared" si="114"/>
        <v>0</v>
      </c>
      <c r="BF20" s="4">
        <f t="shared" si="114"/>
        <v>1</v>
      </c>
      <c r="BG20" s="4">
        <f t="shared" si="114"/>
        <v>0</v>
      </c>
      <c r="BH20" s="4">
        <f t="shared" si="114"/>
        <v>0</v>
      </c>
      <c r="BI20" s="4">
        <f t="shared" si="114"/>
        <v>0</v>
      </c>
      <c r="BJ20" s="4">
        <f t="shared" si="114"/>
        <v>0</v>
      </c>
      <c r="BK20" s="4">
        <f t="shared" si="11"/>
        <v>1</v>
      </c>
      <c r="BM20" s="1" t="s">
        <v>166</v>
      </c>
      <c r="BN20" s="1" t="s">
        <v>66</v>
      </c>
      <c r="BO20" s="4">
        <f t="shared" ref="BO20:BU20" si="115">IF(ISNUMBER(SEARCH(BO$1,$BN20)), 1, 0)</f>
        <v>1</v>
      </c>
      <c r="BP20" s="4">
        <f t="shared" si="115"/>
        <v>0</v>
      </c>
      <c r="BQ20" s="4">
        <f t="shared" si="115"/>
        <v>0</v>
      </c>
      <c r="BR20" s="4">
        <f t="shared" si="115"/>
        <v>0</v>
      </c>
      <c r="BS20" s="4">
        <f t="shared" si="115"/>
        <v>0</v>
      </c>
      <c r="BT20" s="4">
        <f t="shared" si="115"/>
        <v>0</v>
      </c>
      <c r="BU20" s="4">
        <f t="shared" si="115"/>
        <v>0</v>
      </c>
      <c r="DC20" s="1" t="s">
        <v>180</v>
      </c>
    </row>
    <row r="21" spans="1:107" ht="15.75" customHeight="1" x14ac:dyDescent="0.25">
      <c r="A21" s="1" t="b">
        <v>1</v>
      </c>
      <c r="B21" s="3">
        <v>46161.016493055555</v>
      </c>
      <c r="C21" s="1" t="s">
        <v>422</v>
      </c>
      <c r="D21" s="1" t="s">
        <v>4</v>
      </c>
      <c r="E21" s="4">
        <f t="shared" ref="E21:K21" si="116">IF(ISNUMBER(SEARCH(E$1,$D21)), SEARCH(E$1,$D21), 0)</f>
        <v>1</v>
      </c>
      <c r="F21" s="4">
        <f t="shared" si="116"/>
        <v>0</v>
      </c>
      <c r="G21" s="4">
        <f t="shared" si="116"/>
        <v>0</v>
      </c>
      <c r="H21" s="4">
        <f t="shared" si="116"/>
        <v>0</v>
      </c>
      <c r="I21" s="4">
        <f t="shared" si="116"/>
        <v>0</v>
      </c>
      <c r="J21" s="4">
        <f t="shared" si="116"/>
        <v>0</v>
      </c>
      <c r="K21" s="4">
        <f t="shared" si="116"/>
        <v>0</v>
      </c>
      <c r="L21" s="4">
        <f t="shared" si="1"/>
        <v>1</v>
      </c>
      <c r="N21" s="1" t="s">
        <v>244</v>
      </c>
      <c r="O21" s="4">
        <f t="shared" ref="O21:T21" si="117">IF(ISNUMBER(SEARCH(O$1,$N21)), 1, 0)</f>
        <v>1</v>
      </c>
      <c r="P21" s="4">
        <f t="shared" si="117"/>
        <v>0</v>
      </c>
      <c r="Q21" s="4">
        <f t="shared" si="117"/>
        <v>1</v>
      </c>
      <c r="R21" s="4">
        <f t="shared" si="117"/>
        <v>1</v>
      </c>
      <c r="S21" s="4">
        <f t="shared" si="117"/>
        <v>0</v>
      </c>
      <c r="T21" s="4">
        <f t="shared" si="117"/>
        <v>0</v>
      </c>
      <c r="V21" s="1" t="s">
        <v>24</v>
      </c>
      <c r="W21" s="1" t="str">
        <f t="shared" si="69"/>
        <v>False</v>
      </c>
      <c r="X21" s="1" t="str">
        <f t="shared" si="69"/>
        <v>False</v>
      </c>
      <c r="Y21" s="1" t="str">
        <f t="shared" si="69"/>
        <v>True</v>
      </c>
      <c r="Z21" s="1" t="str">
        <f t="shared" si="69"/>
        <v>False</v>
      </c>
      <c r="AA21" s="1" t="str">
        <f t="shared" si="69"/>
        <v>False</v>
      </c>
      <c r="AB21" s="1" t="s">
        <v>33</v>
      </c>
      <c r="AC21" s="4">
        <f t="shared" ref="AC21:AH21" si="118">IF(ISNUMBER(SEARCH(AC$1,$AB21)), 1, 0)</f>
        <v>0</v>
      </c>
      <c r="AD21" s="4">
        <f t="shared" si="118"/>
        <v>0</v>
      </c>
      <c r="AE21" s="4">
        <f t="shared" si="118"/>
        <v>0</v>
      </c>
      <c r="AF21" s="4">
        <f t="shared" si="118"/>
        <v>0</v>
      </c>
      <c r="AG21" s="4">
        <f t="shared" si="118"/>
        <v>0</v>
      </c>
      <c r="AH21" s="4">
        <f t="shared" si="118"/>
        <v>1</v>
      </c>
      <c r="AI21" s="1">
        <f t="shared" si="5"/>
        <v>1</v>
      </c>
      <c r="AK21" s="1" t="s">
        <v>423</v>
      </c>
      <c r="AL21" s="4">
        <f t="shared" ref="AL21:AS21" si="119">IF(ISNUMBER(SEARCH(AL$1,$AK21)), 1, 0)</f>
        <v>0</v>
      </c>
      <c r="AM21" s="4">
        <f t="shared" si="119"/>
        <v>1</v>
      </c>
      <c r="AN21" s="4">
        <f t="shared" si="119"/>
        <v>1</v>
      </c>
      <c r="AO21" s="4">
        <f t="shared" si="119"/>
        <v>1</v>
      </c>
      <c r="AP21" s="4">
        <f t="shared" si="119"/>
        <v>0</v>
      </c>
      <c r="AQ21" s="4">
        <f t="shared" si="119"/>
        <v>1</v>
      </c>
      <c r="AR21" s="4">
        <f t="shared" si="119"/>
        <v>0</v>
      </c>
      <c r="AS21" s="4">
        <f t="shared" si="119"/>
        <v>0</v>
      </c>
      <c r="AU21" s="1" t="s">
        <v>47</v>
      </c>
      <c r="AV21" s="1">
        <f t="shared" si="7"/>
        <v>1</v>
      </c>
      <c r="AW21" s="1">
        <f t="shared" si="8"/>
        <v>0</v>
      </c>
      <c r="AX21" s="1">
        <f t="shared" si="9"/>
        <v>0</v>
      </c>
      <c r="AY21" s="1" t="s">
        <v>47</v>
      </c>
      <c r="AZ21" s="1" t="s">
        <v>48</v>
      </c>
      <c r="BB21" s="4">
        <f t="shared" ref="BB21:BJ21" si="120">IF(ISNUMBER(SEARCH(BB$1,$BA21)), 1, 0)</f>
        <v>0</v>
      </c>
      <c r="BC21" s="4">
        <f t="shared" si="120"/>
        <v>0</v>
      </c>
      <c r="BD21" s="4">
        <f t="shared" si="120"/>
        <v>0</v>
      </c>
      <c r="BE21" s="4">
        <f t="shared" si="120"/>
        <v>0</v>
      </c>
      <c r="BF21" s="4">
        <f t="shared" si="120"/>
        <v>0</v>
      </c>
      <c r="BG21" s="4">
        <f t="shared" si="120"/>
        <v>0</v>
      </c>
      <c r="BH21" s="4">
        <f t="shared" si="120"/>
        <v>0</v>
      </c>
      <c r="BI21" s="4">
        <f t="shared" si="120"/>
        <v>0</v>
      </c>
      <c r="BJ21" s="4">
        <f t="shared" si="120"/>
        <v>0</v>
      </c>
      <c r="BK21" s="4">
        <f t="shared" si="11"/>
        <v>0</v>
      </c>
      <c r="BO21" s="4">
        <f t="shared" ref="BO21:BU21" si="121">IF(ISNUMBER(SEARCH(BO$1,$BN21)), 1, 0)</f>
        <v>0</v>
      </c>
      <c r="BP21" s="4">
        <f t="shared" si="121"/>
        <v>0</v>
      </c>
      <c r="BQ21" s="4">
        <f t="shared" si="121"/>
        <v>0</v>
      </c>
      <c r="BR21" s="4">
        <f t="shared" si="121"/>
        <v>0</v>
      </c>
      <c r="BS21" s="4">
        <f t="shared" si="121"/>
        <v>0</v>
      </c>
      <c r="BT21" s="4">
        <f t="shared" si="121"/>
        <v>0</v>
      </c>
      <c r="BU21" s="4">
        <f t="shared" si="121"/>
        <v>0</v>
      </c>
      <c r="DC21" s="1" t="s">
        <v>180</v>
      </c>
    </row>
    <row r="22" spans="1:107" ht="15.75" customHeight="1" x14ac:dyDescent="0.25">
      <c r="A22" s="1" t="b">
        <v>1</v>
      </c>
      <c r="B22" s="3">
        <v>46166.92827546296</v>
      </c>
      <c r="C22" s="1" t="s">
        <v>658</v>
      </c>
      <c r="D22" s="1" t="s">
        <v>4</v>
      </c>
      <c r="E22" s="4">
        <f t="shared" ref="E22:K22" si="122">IF(ISNUMBER(SEARCH(E$1,$D22)), SEARCH(E$1,$D22), 0)</f>
        <v>1</v>
      </c>
      <c r="F22" s="4">
        <f t="shared" si="122"/>
        <v>0</v>
      </c>
      <c r="G22" s="4">
        <f t="shared" si="122"/>
        <v>0</v>
      </c>
      <c r="H22" s="4">
        <f t="shared" si="122"/>
        <v>0</v>
      </c>
      <c r="I22" s="4">
        <f t="shared" si="122"/>
        <v>0</v>
      </c>
      <c r="J22" s="4">
        <f t="shared" si="122"/>
        <v>0</v>
      </c>
      <c r="K22" s="4">
        <f t="shared" si="122"/>
        <v>0</v>
      </c>
      <c r="L22" s="4">
        <f t="shared" si="1"/>
        <v>1</v>
      </c>
      <c r="N22" s="1" t="s">
        <v>659</v>
      </c>
      <c r="O22" s="4">
        <f t="shared" ref="O22:T22" si="123">IF(ISNUMBER(SEARCH(O$1,$N22)), 1, 0)</f>
        <v>1</v>
      </c>
      <c r="P22" s="4">
        <f t="shared" si="123"/>
        <v>1</v>
      </c>
      <c r="Q22" s="4">
        <f t="shared" si="123"/>
        <v>1</v>
      </c>
      <c r="R22" s="4">
        <f t="shared" si="123"/>
        <v>0</v>
      </c>
      <c r="S22" s="4">
        <f t="shared" si="123"/>
        <v>1</v>
      </c>
      <c r="T22" s="4">
        <f t="shared" si="123"/>
        <v>0</v>
      </c>
      <c r="V22" s="1" t="s">
        <v>22</v>
      </c>
      <c r="W22" s="1" t="str">
        <f t="shared" si="69"/>
        <v>True</v>
      </c>
      <c r="X22" s="1" t="str">
        <f t="shared" si="69"/>
        <v>False</v>
      </c>
      <c r="Y22" s="1" t="str">
        <f t="shared" si="69"/>
        <v>False</v>
      </c>
      <c r="Z22" s="1" t="str">
        <f t="shared" si="69"/>
        <v>False</v>
      </c>
      <c r="AA22" s="1" t="str">
        <f t="shared" si="69"/>
        <v>False</v>
      </c>
      <c r="AB22" s="1" t="s">
        <v>33</v>
      </c>
      <c r="AC22" s="4">
        <f t="shared" ref="AC22:AH22" si="124">IF(ISNUMBER(SEARCH(AC$1,$AB22)), 1, 0)</f>
        <v>0</v>
      </c>
      <c r="AD22" s="4">
        <f t="shared" si="124"/>
        <v>0</v>
      </c>
      <c r="AE22" s="4">
        <f t="shared" si="124"/>
        <v>0</v>
      </c>
      <c r="AF22" s="4">
        <f t="shared" si="124"/>
        <v>0</v>
      </c>
      <c r="AG22" s="4">
        <f t="shared" si="124"/>
        <v>0</v>
      </c>
      <c r="AH22" s="4">
        <f t="shared" si="124"/>
        <v>1</v>
      </c>
      <c r="AI22" s="1">
        <f t="shared" si="5"/>
        <v>1</v>
      </c>
      <c r="AK22" s="1" t="s">
        <v>423</v>
      </c>
      <c r="AL22" s="4">
        <f t="shared" ref="AL22:AS22" si="125">IF(ISNUMBER(SEARCH(AL$1,$AK22)), 1, 0)</f>
        <v>0</v>
      </c>
      <c r="AM22" s="4">
        <f t="shared" si="125"/>
        <v>1</v>
      </c>
      <c r="AN22" s="4">
        <f t="shared" si="125"/>
        <v>1</v>
      </c>
      <c r="AO22" s="4">
        <f t="shared" si="125"/>
        <v>1</v>
      </c>
      <c r="AP22" s="4">
        <f t="shared" si="125"/>
        <v>0</v>
      </c>
      <c r="AQ22" s="4">
        <f t="shared" si="125"/>
        <v>1</v>
      </c>
      <c r="AR22" s="4">
        <f t="shared" si="125"/>
        <v>0</v>
      </c>
      <c r="AS22" s="4">
        <f t="shared" si="125"/>
        <v>0</v>
      </c>
      <c r="AU22" s="1" t="s">
        <v>49</v>
      </c>
      <c r="AV22" s="1">
        <f t="shared" si="7"/>
        <v>0</v>
      </c>
      <c r="AW22" s="1">
        <f t="shared" si="8"/>
        <v>0</v>
      </c>
      <c r="AX22" s="1">
        <f t="shared" si="9"/>
        <v>1</v>
      </c>
      <c r="AY22" s="1" t="s">
        <v>48</v>
      </c>
      <c r="BA22" s="1" t="s">
        <v>656</v>
      </c>
      <c r="BB22" s="4">
        <f t="shared" ref="BB22:BJ22" si="126">IF(ISNUMBER(SEARCH(BB$1,$BA22)), 1, 0)</f>
        <v>0</v>
      </c>
      <c r="BC22" s="4">
        <f t="shared" si="126"/>
        <v>1</v>
      </c>
      <c r="BD22" s="4">
        <f t="shared" si="126"/>
        <v>0</v>
      </c>
      <c r="BE22" s="4">
        <f t="shared" si="126"/>
        <v>0</v>
      </c>
      <c r="BF22" s="4">
        <f t="shared" si="126"/>
        <v>1</v>
      </c>
      <c r="BG22" s="4">
        <f t="shared" si="126"/>
        <v>1</v>
      </c>
      <c r="BH22" s="4">
        <f t="shared" si="126"/>
        <v>0</v>
      </c>
      <c r="BI22" s="4">
        <f t="shared" si="126"/>
        <v>0</v>
      </c>
      <c r="BJ22" s="4">
        <f t="shared" si="126"/>
        <v>1</v>
      </c>
      <c r="BK22" s="4">
        <f t="shared" si="11"/>
        <v>4</v>
      </c>
      <c r="BM22" s="1" t="s">
        <v>190</v>
      </c>
      <c r="BN22" s="1" t="s">
        <v>290</v>
      </c>
      <c r="BO22" s="4">
        <f t="shared" ref="BO22:BU22" si="127">IF(ISNUMBER(SEARCH(BO$1,$BN22)), 1, 0)</f>
        <v>0</v>
      </c>
      <c r="BP22" s="4">
        <f t="shared" si="127"/>
        <v>0</v>
      </c>
      <c r="BQ22" s="4">
        <f t="shared" si="127"/>
        <v>0</v>
      </c>
      <c r="BR22" s="4">
        <f t="shared" si="127"/>
        <v>1</v>
      </c>
      <c r="BS22" s="4">
        <f t="shared" si="127"/>
        <v>0</v>
      </c>
      <c r="BT22" s="4">
        <f t="shared" si="127"/>
        <v>1</v>
      </c>
      <c r="BU22" s="4">
        <f t="shared" si="127"/>
        <v>0</v>
      </c>
      <c r="DC22" s="1" t="s">
        <v>238</v>
      </c>
    </row>
    <row r="23" spans="1:107" ht="15.75" customHeight="1" x14ac:dyDescent="0.25">
      <c r="A23" s="1" t="b">
        <v>1</v>
      </c>
      <c r="B23" s="3">
        <v>46172.179236111115</v>
      </c>
      <c r="C23" s="1" t="s">
        <v>785</v>
      </c>
      <c r="D23" s="1" t="s">
        <v>4</v>
      </c>
      <c r="E23" s="4">
        <f t="shared" ref="E23:K23" si="128">IF(ISNUMBER(SEARCH(E$1,$D23)), SEARCH(E$1,$D23), 0)</f>
        <v>1</v>
      </c>
      <c r="F23" s="4">
        <f t="shared" si="128"/>
        <v>0</v>
      </c>
      <c r="G23" s="4">
        <f t="shared" si="128"/>
        <v>0</v>
      </c>
      <c r="H23" s="4">
        <f t="shared" si="128"/>
        <v>0</v>
      </c>
      <c r="I23" s="4">
        <f t="shared" si="128"/>
        <v>0</v>
      </c>
      <c r="J23" s="4">
        <f t="shared" si="128"/>
        <v>0</v>
      </c>
      <c r="K23" s="4">
        <f t="shared" si="128"/>
        <v>0</v>
      </c>
      <c r="L23" s="4">
        <f t="shared" si="1"/>
        <v>1</v>
      </c>
      <c r="N23" s="1" t="s">
        <v>14</v>
      </c>
      <c r="O23" s="4">
        <f t="shared" ref="O23:T23" si="129">IF(ISNUMBER(SEARCH(O$1,$N23)), 1, 0)</f>
        <v>1</v>
      </c>
      <c r="P23" s="4">
        <f t="shared" si="129"/>
        <v>0</v>
      </c>
      <c r="Q23" s="4">
        <f t="shared" si="129"/>
        <v>0</v>
      </c>
      <c r="R23" s="4">
        <f t="shared" si="129"/>
        <v>0</v>
      </c>
      <c r="S23" s="4">
        <f t="shared" si="129"/>
        <v>0</v>
      </c>
      <c r="T23" s="4">
        <f t="shared" si="129"/>
        <v>0</v>
      </c>
      <c r="V23" s="1" t="s">
        <v>24</v>
      </c>
      <c r="W23" s="1" t="str">
        <f t="shared" ref="W23:AA32" si="130">IF(W$1=$V23, "True", "False")</f>
        <v>False</v>
      </c>
      <c r="X23" s="1" t="str">
        <f t="shared" si="130"/>
        <v>False</v>
      </c>
      <c r="Y23" s="1" t="str">
        <f t="shared" si="130"/>
        <v>True</v>
      </c>
      <c r="Z23" s="1" t="str">
        <f t="shared" si="130"/>
        <v>False</v>
      </c>
      <c r="AA23" s="1" t="str">
        <f t="shared" si="130"/>
        <v>False</v>
      </c>
      <c r="AB23" s="1" t="s">
        <v>33</v>
      </c>
      <c r="AC23" s="4">
        <f t="shared" ref="AC23:AH23" si="131">IF(ISNUMBER(SEARCH(AC$1,$AB23)), 1, 0)</f>
        <v>0</v>
      </c>
      <c r="AD23" s="4">
        <f t="shared" si="131"/>
        <v>0</v>
      </c>
      <c r="AE23" s="4">
        <f t="shared" si="131"/>
        <v>0</v>
      </c>
      <c r="AF23" s="4">
        <f t="shared" si="131"/>
        <v>0</v>
      </c>
      <c r="AG23" s="4">
        <f t="shared" si="131"/>
        <v>0</v>
      </c>
      <c r="AH23" s="4">
        <f t="shared" si="131"/>
        <v>1</v>
      </c>
      <c r="AI23" s="1">
        <f t="shared" si="5"/>
        <v>1</v>
      </c>
      <c r="AK23" s="1" t="s">
        <v>481</v>
      </c>
      <c r="AL23" s="4">
        <f t="shared" ref="AL23:AS23" si="132">IF(ISNUMBER(SEARCH(AL$1,$AK23)), 1, 0)</f>
        <v>0</v>
      </c>
      <c r="AM23" s="4">
        <f t="shared" si="132"/>
        <v>0</v>
      </c>
      <c r="AN23" s="4">
        <f t="shared" si="132"/>
        <v>0</v>
      </c>
      <c r="AO23" s="4">
        <f t="shared" si="132"/>
        <v>1</v>
      </c>
      <c r="AP23" s="4">
        <f t="shared" si="132"/>
        <v>0</v>
      </c>
      <c r="AQ23" s="4">
        <f t="shared" si="132"/>
        <v>1</v>
      </c>
      <c r="AR23" s="4">
        <f t="shared" si="132"/>
        <v>0</v>
      </c>
      <c r="AS23" s="4">
        <f t="shared" si="132"/>
        <v>0</v>
      </c>
      <c r="AU23" s="1" t="s">
        <v>47</v>
      </c>
      <c r="AV23" s="1">
        <f t="shared" si="7"/>
        <v>1</v>
      </c>
      <c r="AW23" s="1">
        <f t="shared" si="8"/>
        <v>0</v>
      </c>
      <c r="AX23" s="1">
        <f t="shared" si="9"/>
        <v>0</v>
      </c>
      <c r="AY23" s="1" t="s">
        <v>48</v>
      </c>
      <c r="BA23" s="1" t="s">
        <v>61</v>
      </c>
      <c r="BB23" s="4">
        <f t="shared" ref="BB23:BJ23" si="133">IF(ISNUMBER(SEARCH(BB$1,$BA23)), 1, 0)</f>
        <v>0</v>
      </c>
      <c r="BC23" s="4">
        <f t="shared" si="133"/>
        <v>0</v>
      </c>
      <c r="BD23" s="4">
        <f t="shared" si="133"/>
        <v>0</v>
      </c>
      <c r="BE23" s="4">
        <f t="shared" si="133"/>
        <v>0</v>
      </c>
      <c r="BF23" s="4">
        <f t="shared" si="133"/>
        <v>0</v>
      </c>
      <c r="BG23" s="4">
        <f t="shared" si="133"/>
        <v>0</v>
      </c>
      <c r="BH23" s="4">
        <f t="shared" si="133"/>
        <v>0</v>
      </c>
      <c r="BI23" s="4">
        <f t="shared" si="133"/>
        <v>0</v>
      </c>
      <c r="BJ23" s="4">
        <f t="shared" si="133"/>
        <v>1</v>
      </c>
      <c r="BK23" s="4">
        <f t="shared" si="11"/>
        <v>1</v>
      </c>
      <c r="BM23" s="1" t="s">
        <v>190</v>
      </c>
      <c r="BN23" s="1" t="s">
        <v>68</v>
      </c>
      <c r="BO23" s="4">
        <f t="shared" ref="BO23:BU23" si="134">IF(ISNUMBER(SEARCH(BO$1,$BN23)), 1, 0)</f>
        <v>0</v>
      </c>
      <c r="BP23" s="4">
        <f t="shared" si="134"/>
        <v>0</v>
      </c>
      <c r="BQ23" s="4">
        <f t="shared" si="134"/>
        <v>1</v>
      </c>
      <c r="BR23" s="4">
        <f t="shared" si="134"/>
        <v>0</v>
      </c>
      <c r="BS23" s="4">
        <f t="shared" si="134"/>
        <v>0</v>
      </c>
      <c r="BT23" s="4">
        <f t="shared" si="134"/>
        <v>0</v>
      </c>
      <c r="BU23" s="4">
        <f t="shared" si="134"/>
        <v>0</v>
      </c>
      <c r="DC23" s="1" t="s">
        <v>180</v>
      </c>
    </row>
    <row r="24" spans="1:107" ht="15.75" customHeight="1" x14ac:dyDescent="0.25">
      <c r="A24" s="1" t="b">
        <v>1</v>
      </c>
      <c r="B24" s="3">
        <v>46164.58803240741</v>
      </c>
      <c r="C24" s="1" t="s">
        <v>486</v>
      </c>
      <c r="D24" s="1" t="s">
        <v>4</v>
      </c>
      <c r="E24" s="4">
        <f t="shared" ref="E24:K24" si="135">IF(ISNUMBER(SEARCH(E$1,$D24)), SEARCH(E$1,$D24), 0)</f>
        <v>1</v>
      </c>
      <c r="F24" s="4">
        <f t="shared" si="135"/>
        <v>0</v>
      </c>
      <c r="G24" s="4">
        <f t="shared" si="135"/>
        <v>0</v>
      </c>
      <c r="H24" s="4">
        <f t="shared" si="135"/>
        <v>0</v>
      </c>
      <c r="I24" s="4">
        <f t="shared" si="135"/>
        <v>0</v>
      </c>
      <c r="J24" s="4">
        <f t="shared" si="135"/>
        <v>0</v>
      </c>
      <c r="K24" s="4">
        <f t="shared" si="135"/>
        <v>0</v>
      </c>
      <c r="L24" s="4">
        <f t="shared" si="1"/>
        <v>1</v>
      </c>
      <c r="N24" s="1" t="s">
        <v>229</v>
      </c>
      <c r="O24" s="4">
        <f t="shared" ref="O24:T24" si="136">IF(ISNUMBER(SEARCH(O$1,$N24)), 1, 0)</f>
        <v>1</v>
      </c>
      <c r="P24" s="4">
        <f t="shared" si="136"/>
        <v>0</v>
      </c>
      <c r="Q24" s="4">
        <f t="shared" si="136"/>
        <v>1</v>
      </c>
      <c r="R24" s="4">
        <f t="shared" si="136"/>
        <v>1</v>
      </c>
      <c r="S24" s="4">
        <f t="shared" si="136"/>
        <v>1</v>
      </c>
      <c r="T24" s="4">
        <f t="shared" si="136"/>
        <v>0</v>
      </c>
      <c r="W24" s="1" t="str">
        <f t="shared" si="130"/>
        <v>False</v>
      </c>
      <c r="X24" s="1" t="str">
        <f t="shared" si="130"/>
        <v>False</v>
      </c>
      <c r="Y24" s="1" t="str">
        <f t="shared" si="130"/>
        <v>False</v>
      </c>
      <c r="Z24" s="1" t="str">
        <f t="shared" si="130"/>
        <v>False</v>
      </c>
      <c r="AA24" s="1" t="str">
        <f t="shared" si="130"/>
        <v>False</v>
      </c>
      <c r="AB24" s="1" t="s">
        <v>487</v>
      </c>
      <c r="AC24" s="4">
        <f t="shared" ref="AC24:AH24" si="137">IF(ISNUMBER(SEARCH(AC$1,$AB24)), 1, 0)</f>
        <v>0</v>
      </c>
      <c r="AD24" s="4">
        <f t="shared" si="137"/>
        <v>0</v>
      </c>
      <c r="AE24" s="4">
        <f t="shared" si="137"/>
        <v>0</v>
      </c>
      <c r="AF24" s="4">
        <f t="shared" si="137"/>
        <v>1</v>
      </c>
      <c r="AG24" s="4">
        <f t="shared" si="137"/>
        <v>0</v>
      </c>
      <c r="AH24" s="4">
        <f t="shared" si="137"/>
        <v>1</v>
      </c>
      <c r="AI24" s="1">
        <f t="shared" si="5"/>
        <v>2</v>
      </c>
      <c r="AK24" s="1" t="s">
        <v>470</v>
      </c>
      <c r="AL24" s="4">
        <f t="shared" ref="AL24:AS24" si="138">IF(ISNUMBER(SEARCH(AL$1,$AK24)), 1, 0)</f>
        <v>0</v>
      </c>
      <c r="AM24" s="4">
        <f t="shared" si="138"/>
        <v>1</v>
      </c>
      <c r="AN24" s="4">
        <f t="shared" si="138"/>
        <v>0</v>
      </c>
      <c r="AO24" s="4">
        <f t="shared" si="138"/>
        <v>1</v>
      </c>
      <c r="AP24" s="4">
        <f t="shared" si="138"/>
        <v>0</v>
      </c>
      <c r="AQ24" s="4">
        <f t="shared" si="138"/>
        <v>1</v>
      </c>
      <c r="AR24" s="4">
        <f t="shared" si="138"/>
        <v>0</v>
      </c>
      <c r="AS24" s="4">
        <f t="shared" si="138"/>
        <v>0</v>
      </c>
      <c r="AU24" s="1" t="s">
        <v>47</v>
      </c>
      <c r="AV24" s="1">
        <f t="shared" si="7"/>
        <v>1</v>
      </c>
      <c r="AW24" s="1">
        <f t="shared" si="8"/>
        <v>0</v>
      </c>
      <c r="AX24" s="1">
        <f t="shared" si="9"/>
        <v>0</v>
      </c>
      <c r="AY24" s="1" t="s">
        <v>48</v>
      </c>
      <c r="BA24" s="1" t="s">
        <v>57</v>
      </c>
      <c r="BB24" s="4">
        <f t="shared" ref="BB24:BJ24" si="139">IF(ISNUMBER(SEARCH(BB$1,$BA24)), 1, 0)</f>
        <v>0</v>
      </c>
      <c r="BC24" s="4">
        <f t="shared" si="139"/>
        <v>0</v>
      </c>
      <c r="BD24" s="4">
        <f t="shared" si="139"/>
        <v>0</v>
      </c>
      <c r="BE24" s="4">
        <f t="shared" si="139"/>
        <v>0</v>
      </c>
      <c r="BF24" s="4">
        <f t="shared" si="139"/>
        <v>1</v>
      </c>
      <c r="BG24" s="4">
        <f t="shared" si="139"/>
        <v>0</v>
      </c>
      <c r="BH24" s="4">
        <f t="shared" si="139"/>
        <v>0</v>
      </c>
      <c r="BI24" s="4">
        <f t="shared" si="139"/>
        <v>0</v>
      </c>
      <c r="BJ24" s="4">
        <f t="shared" si="139"/>
        <v>0</v>
      </c>
      <c r="BK24" s="4">
        <f t="shared" si="11"/>
        <v>1</v>
      </c>
      <c r="BM24" s="1" t="s">
        <v>218</v>
      </c>
      <c r="BN24" s="1" t="s">
        <v>340</v>
      </c>
      <c r="BO24" s="4">
        <f t="shared" ref="BO24:BU24" si="140">IF(ISNUMBER(SEARCH(BO$1,$BN24)), 1, 0)</f>
        <v>1</v>
      </c>
      <c r="BP24" s="4">
        <f t="shared" si="140"/>
        <v>1</v>
      </c>
      <c r="BQ24" s="4">
        <f t="shared" si="140"/>
        <v>0</v>
      </c>
      <c r="BR24" s="4">
        <f t="shared" si="140"/>
        <v>0</v>
      </c>
      <c r="BS24" s="4">
        <f t="shared" si="140"/>
        <v>0</v>
      </c>
      <c r="BT24" s="4">
        <f t="shared" si="140"/>
        <v>0</v>
      </c>
      <c r="BU24" s="4">
        <f t="shared" si="140"/>
        <v>0</v>
      </c>
      <c r="DC24" s="1" t="s">
        <v>238</v>
      </c>
    </row>
    <row r="25" spans="1:107" ht="15.75" customHeight="1" x14ac:dyDescent="0.25">
      <c r="A25" s="1" t="b">
        <v>1</v>
      </c>
      <c r="B25" s="3">
        <v>46165.772303240738</v>
      </c>
      <c r="C25" s="1" t="s">
        <v>622</v>
      </c>
      <c r="D25" s="1" t="s">
        <v>4</v>
      </c>
      <c r="E25" s="4">
        <f t="shared" ref="E25:K25" si="141">IF(ISNUMBER(SEARCH(E$1,$D25)), SEARCH(E$1,$D25), 0)</f>
        <v>1</v>
      </c>
      <c r="F25" s="4">
        <f t="shared" si="141"/>
        <v>0</v>
      </c>
      <c r="G25" s="4">
        <f t="shared" si="141"/>
        <v>0</v>
      </c>
      <c r="H25" s="4">
        <f t="shared" si="141"/>
        <v>0</v>
      </c>
      <c r="I25" s="4">
        <f t="shared" si="141"/>
        <v>0</v>
      </c>
      <c r="J25" s="4">
        <f t="shared" si="141"/>
        <v>0</v>
      </c>
      <c r="K25" s="4">
        <f t="shared" si="141"/>
        <v>0</v>
      </c>
      <c r="L25" s="4">
        <f t="shared" si="1"/>
        <v>1</v>
      </c>
      <c r="N25" s="1" t="s">
        <v>208</v>
      </c>
      <c r="O25" s="4">
        <f t="shared" ref="O25:T25" si="142">IF(ISNUMBER(SEARCH(O$1,$N25)), 1, 0)</f>
        <v>1</v>
      </c>
      <c r="P25" s="4">
        <f t="shared" si="142"/>
        <v>1</v>
      </c>
      <c r="Q25" s="4">
        <f t="shared" si="142"/>
        <v>0</v>
      </c>
      <c r="R25" s="4">
        <f t="shared" si="142"/>
        <v>1</v>
      </c>
      <c r="S25" s="4">
        <f t="shared" si="142"/>
        <v>0</v>
      </c>
      <c r="T25" s="4">
        <f t="shared" si="142"/>
        <v>0</v>
      </c>
      <c r="W25" s="1" t="str">
        <f t="shared" si="130"/>
        <v>False</v>
      </c>
      <c r="X25" s="1" t="str">
        <f t="shared" si="130"/>
        <v>False</v>
      </c>
      <c r="Y25" s="1" t="str">
        <f t="shared" si="130"/>
        <v>False</v>
      </c>
      <c r="Z25" s="1" t="str">
        <f t="shared" si="130"/>
        <v>False</v>
      </c>
      <c r="AA25" s="1" t="str">
        <f t="shared" si="130"/>
        <v>False</v>
      </c>
      <c r="AB25" s="1" t="s">
        <v>487</v>
      </c>
      <c r="AC25" s="4">
        <f t="shared" ref="AC25:AH25" si="143">IF(ISNUMBER(SEARCH(AC$1,$AB25)), 1, 0)</f>
        <v>0</v>
      </c>
      <c r="AD25" s="4">
        <f t="shared" si="143"/>
        <v>0</v>
      </c>
      <c r="AE25" s="4">
        <f t="shared" si="143"/>
        <v>0</v>
      </c>
      <c r="AF25" s="4">
        <f t="shared" si="143"/>
        <v>1</v>
      </c>
      <c r="AG25" s="4">
        <f t="shared" si="143"/>
        <v>0</v>
      </c>
      <c r="AH25" s="4">
        <f t="shared" si="143"/>
        <v>1</v>
      </c>
      <c r="AI25" s="1">
        <f t="shared" si="5"/>
        <v>2</v>
      </c>
      <c r="AK25" s="1" t="s">
        <v>623</v>
      </c>
      <c r="AL25" s="4">
        <f t="shared" ref="AL25:AS25" si="144">IF(ISNUMBER(SEARCH(AL$1,$AK25)), 1, 0)</f>
        <v>0</v>
      </c>
      <c r="AM25" s="4">
        <f t="shared" si="144"/>
        <v>1</v>
      </c>
      <c r="AN25" s="4">
        <f t="shared" si="144"/>
        <v>1</v>
      </c>
      <c r="AO25" s="4">
        <f t="shared" si="144"/>
        <v>1</v>
      </c>
      <c r="AP25" s="4">
        <f t="shared" si="144"/>
        <v>1</v>
      </c>
      <c r="AQ25" s="4">
        <f t="shared" si="144"/>
        <v>1</v>
      </c>
      <c r="AR25" s="4">
        <f t="shared" si="144"/>
        <v>0</v>
      </c>
      <c r="AS25" s="4">
        <f t="shared" si="144"/>
        <v>0</v>
      </c>
      <c r="AU25" s="1" t="s">
        <v>47</v>
      </c>
      <c r="AV25" s="1">
        <f t="shared" si="7"/>
        <v>1</v>
      </c>
      <c r="AW25" s="1">
        <f t="shared" si="8"/>
        <v>0</v>
      </c>
      <c r="AX25" s="1">
        <f t="shared" si="9"/>
        <v>0</v>
      </c>
      <c r="AY25" s="1" t="s">
        <v>48</v>
      </c>
      <c r="BA25" s="1" t="s">
        <v>624</v>
      </c>
      <c r="BB25" s="4">
        <f t="shared" ref="BB25:BJ25" si="145">IF(ISNUMBER(SEARCH(BB$1,$BA25)), 1, 0)</f>
        <v>0</v>
      </c>
      <c r="BC25" s="4">
        <f t="shared" si="145"/>
        <v>0</v>
      </c>
      <c r="BD25" s="4">
        <f t="shared" si="145"/>
        <v>0</v>
      </c>
      <c r="BE25" s="4">
        <f t="shared" si="145"/>
        <v>1</v>
      </c>
      <c r="BF25" s="4">
        <f t="shared" si="145"/>
        <v>0</v>
      </c>
      <c r="BG25" s="4">
        <f t="shared" si="145"/>
        <v>1</v>
      </c>
      <c r="BH25" s="4">
        <f t="shared" si="145"/>
        <v>0</v>
      </c>
      <c r="BI25" s="4">
        <f t="shared" si="145"/>
        <v>0</v>
      </c>
      <c r="BJ25" s="4">
        <f t="shared" si="145"/>
        <v>1</v>
      </c>
      <c r="BK25" s="4">
        <f t="shared" si="11"/>
        <v>3</v>
      </c>
      <c r="BM25" s="1" t="s">
        <v>232</v>
      </c>
      <c r="BN25" s="1" t="s">
        <v>625</v>
      </c>
      <c r="BO25" s="4">
        <f t="shared" ref="BO25:BU25" si="146">IF(ISNUMBER(SEARCH(BO$1,$BN25)), 1, 0)</f>
        <v>1</v>
      </c>
      <c r="BP25" s="4">
        <f t="shared" si="146"/>
        <v>0</v>
      </c>
      <c r="BQ25" s="4">
        <f t="shared" si="146"/>
        <v>0</v>
      </c>
      <c r="BR25" s="4">
        <f t="shared" si="146"/>
        <v>0</v>
      </c>
      <c r="BS25" s="4">
        <f t="shared" si="146"/>
        <v>1</v>
      </c>
      <c r="BT25" s="4">
        <f t="shared" si="146"/>
        <v>0</v>
      </c>
      <c r="BU25" s="4">
        <f t="shared" si="146"/>
        <v>0</v>
      </c>
      <c r="DC25" s="1" t="s">
        <v>180</v>
      </c>
    </row>
    <row r="26" spans="1:107" ht="15.75" customHeight="1" x14ac:dyDescent="0.25">
      <c r="A26" s="1" t="b">
        <v>1</v>
      </c>
      <c r="B26" s="3">
        <v>46164.307488425926</v>
      </c>
      <c r="C26" s="1" t="s">
        <v>468</v>
      </c>
      <c r="D26" s="1" t="s">
        <v>4</v>
      </c>
      <c r="E26" s="4">
        <f t="shared" ref="E26:K26" si="147">IF(ISNUMBER(SEARCH(E$1,$D26)), SEARCH(E$1,$D26), 0)</f>
        <v>1</v>
      </c>
      <c r="F26" s="4">
        <f t="shared" si="147"/>
        <v>0</v>
      </c>
      <c r="G26" s="4">
        <f t="shared" si="147"/>
        <v>0</v>
      </c>
      <c r="H26" s="4">
        <f t="shared" si="147"/>
        <v>0</v>
      </c>
      <c r="I26" s="4">
        <f t="shared" si="147"/>
        <v>0</v>
      </c>
      <c r="J26" s="4">
        <f t="shared" si="147"/>
        <v>0</v>
      </c>
      <c r="K26" s="4">
        <f t="shared" si="147"/>
        <v>0</v>
      </c>
      <c r="L26" s="4">
        <f t="shared" si="1"/>
        <v>1</v>
      </c>
      <c r="N26" s="1" t="s">
        <v>469</v>
      </c>
      <c r="O26" s="4">
        <f t="shared" ref="O26:T26" si="148">IF(ISNUMBER(SEARCH(O$1,$N26)), 1, 0)</f>
        <v>1</v>
      </c>
      <c r="P26" s="4">
        <f t="shared" si="148"/>
        <v>0</v>
      </c>
      <c r="Q26" s="4">
        <f t="shared" si="148"/>
        <v>0</v>
      </c>
      <c r="R26" s="4">
        <f t="shared" si="148"/>
        <v>1</v>
      </c>
      <c r="S26" s="4">
        <f t="shared" si="148"/>
        <v>0</v>
      </c>
      <c r="T26" s="4">
        <f t="shared" si="148"/>
        <v>0</v>
      </c>
      <c r="V26" s="1" t="s">
        <v>24</v>
      </c>
      <c r="W26" s="1" t="str">
        <f t="shared" si="130"/>
        <v>False</v>
      </c>
      <c r="X26" s="1" t="str">
        <f t="shared" si="130"/>
        <v>False</v>
      </c>
      <c r="Y26" s="1" t="str">
        <f t="shared" si="130"/>
        <v>True</v>
      </c>
      <c r="Z26" s="1" t="str">
        <f t="shared" si="130"/>
        <v>False</v>
      </c>
      <c r="AA26" s="1" t="str">
        <f t="shared" si="130"/>
        <v>False</v>
      </c>
      <c r="AB26" s="1" t="s">
        <v>357</v>
      </c>
      <c r="AC26" s="4">
        <f t="shared" ref="AC26:AH26" si="149">IF(ISNUMBER(SEARCH(AC$1,$AB26)), 1, 0)</f>
        <v>1</v>
      </c>
      <c r="AD26" s="4">
        <f t="shared" si="149"/>
        <v>0</v>
      </c>
      <c r="AE26" s="4">
        <f t="shared" si="149"/>
        <v>0</v>
      </c>
      <c r="AF26" s="4">
        <f t="shared" si="149"/>
        <v>0</v>
      </c>
      <c r="AG26" s="4">
        <f t="shared" si="149"/>
        <v>0</v>
      </c>
      <c r="AH26" s="4">
        <f t="shared" si="149"/>
        <v>1</v>
      </c>
      <c r="AI26" s="1">
        <f t="shared" si="5"/>
        <v>2</v>
      </c>
      <c r="AK26" s="1" t="s">
        <v>470</v>
      </c>
      <c r="AL26" s="4">
        <f t="shared" ref="AL26:AS26" si="150">IF(ISNUMBER(SEARCH(AL$1,$AK26)), 1, 0)</f>
        <v>0</v>
      </c>
      <c r="AM26" s="4">
        <f t="shared" si="150"/>
        <v>1</v>
      </c>
      <c r="AN26" s="4">
        <f t="shared" si="150"/>
        <v>0</v>
      </c>
      <c r="AO26" s="4">
        <f t="shared" si="150"/>
        <v>1</v>
      </c>
      <c r="AP26" s="4">
        <f t="shared" si="150"/>
        <v>0</v>
      </c>
      <c r="AQ26" s="4">
        <f t="shared" si="150"/>
        <v>1</v>
      </c>
      <c r="AR26" s="4">
        <f t="shared" si="150"/>
        <v>0</v>
      </c>
      <c r="AS26" s="4">
        <f t="shared" si="150"/>
        <v>0</v>
      </c>
      <c r="AU26" s="1" t="s">
        <v>47</v>
      </c>
      <c r="AV26" s="1">
        <f t="shared" si="7"/>
        <v>1</v>
      </c>
      <c r="AW26" s="1">
        <f t="shared" si="8"/>
        <v>0</v>
      </c>
      <c r="AX26" s="1">
        <f t="shared" si="9"/>
        <v>0</v>
      </c>
      <c r="AY26" s="1" t="s">
        <v>48</v>
      </c>
      <c r="BA26" s="1" t="s">
        <v>471</v>
      </c>
      <c r="BB26" s="4">
        <f t="shared" ref="BB26:BJ26" si="151">IF(ISNUMBER(SEARCH(BB$1,$BA26)), 1, 0)</f>
        <v>0</v>
      </c>
      <c r="BC26" s="4">
        <f t="shared" si="151"/>
        <v>0</v>
      </c>
      <c r="BD26" s="4">
        <f t="shared" si="151"/>
        <v>0</v>
      </c>
      <c r="BE26" s="4">
        <f t="shared" si="151"/>
        <v>1</v>
      </c>
      <c r="BF26" s="4">
        <f t="shared" si="151"/>
        <v>1</v>
      </c>
      <c r="BG26" s="4">
        <f t="shared" si="151"/>
        <v>1</v>
      </c>
      <c r="BH26" s="4">
        <f t="shared" si="151"/>
        <v>0</v>
      </c>
      <c r="BI26" s="4">
        <f t="shared" si="151"/>
        <v>0</v>
      </c>
      <c r="BJ26" s="4">
        <f t="shared" si="151"/>
        <v>1</v>
      </c>
      <c r="BK26" s="4">
        <f t="shared" si="11"/>
        <v>4</v>
      </c>
      <c r="BM26" s="1" t="s">
        <v>166</v>
      </c>
      <c r="BN26" s="1" t="s">
        <v>472</v>
      </c>
      <c r="BO26" s="4">
        <f t="shared" ref="BO26:BU26" si="152">IF(ISNUMBER(SEARCH(BO$1,$BN26)), 1, 0)</f>
        <v>1</v>
      </c>
      <c r="BP26" s="4">
        <f t="shared" si="152"/>
        <v>1</v>
      </c>
      <c r="BQ26" s="4">
        <f t="shared" si="152"/>
        <v>0</v>
      </c>
      <c r="BR26" s="4">
        <f t="shared" si="152"/>
        <v>0</v>
      </c>
      <c r="BS26" s="4">
        <f t="shared" si="152"/>
        <v>0</v>
      </c>
      <c r="BT26" s="4">
        <f t="shared" si="152"/>
        <v>1</v>
      </c>
      <c r="BU26" s="4">
        <f t="shared" si="152"/>
        <v>0</v>
      </c>
      <c r="DC26" s="1" t="s">
        <v>238</v>
      </c>
    </row>
    <row r="27" spans="1:107" ht="15.75" customHeight="1" x14ac:dyDescent="0.25">
      <c r="A27" s="1" t="b">
        <v>1</v>
      </c>
      <c r="B27" s="3">
        <v>46164.529062499998</v>
      </c>
      <c r="C27" s="1" t="s">
        <v>480</v>
      </c>
      <c r="D27" s="1" t="s">
        <v>4</v>
      </c>
      <c r="E27" s="4">
        <f t="shared" ref="E27:K27" si="153">IF(ISNUMBER(SEARCH(E$1,$D27)), SEARCH(E$1,$D27), 0)</f>
        <v>1</v>
      </c>
      <c r="F27" s="4">
        <f t="shared" si="153"/>
        <v>0</v>
      </c>
      <c r="G27" s="4">
        <f t="shared" si="153"/>
        <v>0</v>
      </c>
      <c r="H27" s="4">
        <f t="shared" si="153"/>
        <v>0</v>
      </c>
      <c r="I27" s="4">
        <f t="shared" si="153"/>
        <v>0</v>
      </c>
      <c r="J27" s="4">
        <f t="shared" si="153"/>
        <v>0</v>
      </c>
      <c r="K27" s="4">
        <f t="shared" si="153"/>
        <v>0</v>
      </c>
      <c r="L27" s="4">
        <f t="shared" si="1"/>
        <v>1</v>
      </c>
      <c r="N27" s="1" t="s">
        <v>316</v>
      </c>
      <c r="O27" s="4">
        <f t="shared" ref="O27:T27" si="154">IF(ISNUMBER(SEARCH(O$1,$N27)), 1, 0)</f>
        <v>1</v>
      </c>
      <c r="P27" s="4">
        <f t="shared" si="154"/>
        <v>0</v>
      </c>
      <c r="Q27" s="4">
        <f t="shared" si="154"/>
        <v>1</v>
      </c>
      <c r="R27" s="4">
        <f t="shared" si="154"/>
        <v>0</v>
      </c>
      <c r="S27" s="4">
        <f t="shared" si="154"/>
        <v>0</v>
      </c>
      <c r="T27" s="4">
        <f t="shared" si="154"/>
        <v>0</v>
      </c>
      <c r="V27" s="1" t="s">
        <v>24</v>
      </c>
      <c r="W27" s="1" t="str">
        <f t="shared" si="130"/>
        <v>False</v>
      </c>
      <c r="X27" s="1" t="str">
        <f t="shared" si="130"/>
        <v>False</v>
      </c>
      <c r="Y27" s="1" t="str">
        <f t="shared" si="130"/>
        <v>True</v>
      </c>
      <c r="Z27" s="1" t="str">
        <f t="shared" si="130"/>
        <v>False</v>
      </c>
      <c r="AA27" s="1" t="str">
        <f t="shared" si="130"/>
        <v>False</v>
      </c>
      <c r="AB27" s="1" t="s">
        <v>357</v>
      </c>
      <c r="AC27" s="4">
        <f t="shared" ref="AC27:AH27" si="155">IF(ISNUMBER(SEARCH(AC$1,$AB27)), 1, 0)</f>
        <v>1</v>
      </c>
      <c r="AD27" s="4">
        <f t="shared" si="155"/>
        <v>0</v>
      </c>
      <c r="AE27" s="4">
        <f t="shared" si="155"/>
        <v>0</v>
      </c>
      <c r="AF27" s="4">
        <f t="shared" si="155"/>
        <v>0</v>
      </c>
      <c r="AG27" s="4">
        <f t="shared" si="155"/>
        <v>0</v>
      </c>
      <c r="AH27" s="4">
        <f t="shared" si="155"/>
        <v>1</v>
      </c>
      <c r="AI27" s="1">
        <f t="shared" si="5"/>
        <v>2</v>
      </c>
      <c r="AK27" s="1" t="s">
        <v>481</v>
      </c>
      <c r="AL27" s="4">
        <f t="shared" ref="AL27:AS27" si="156">IF(ISNUMBER(SEARCH(AL$1,$AK27)), 1, 0)</f>
        <v>0</v>
      </c>
      <c r="AM27" s="4">
        <f t="shared" si="156"/>
        <v>0</v>
      </c>
      <c r="AN27" s="4">
        <f t="shared" si="156"/>
        <v>0</v>
      </c>
      <c r="AO27" s="4">
        <f t="shared" si="156"/>
        <v>1</v>
      </c>
      <c r="AP27" s="4">
        <f t="shared" si="156"/>
        <v>0</v>
      </c>
      <c r="AQ27" s="4">
        <f t="shared" si="156"/>
        <v>1</v>
      </c>
      <c r="AR27" s="4">
        <f t="shared" si="156"/>
        <v>0</v>
      </c>
      <c r="AS27" s="4">
        <f t="shared" si="156"/>
        <v>0</v>
      </c>
      <c r="AU27" s="1" t="s">
        <v>47</v>
      </c>
      <c r="AV27" s="1">
        <f t="shared" si="7"/>
        <v>1</v>
      </c>
      <c r="AW27" s="1">
        <f t="shared" si="8"/>
        <v>0</v>
      </c>
      <c r="AX27" s="1">
        <f t="shared" si="9"/>
        <v>0</v>
      </c>
      <c r="AY27" s="1" t="s">
        <v>48</v>
      </c>
      <c r="BA27" s="1" t="s">
        <v>61</v>
      </c>
      <c r="BB27" s="4">
        <f t="shared" ref="BB27:BJ27" si="157">IF(ISNUMBER(SEARCH(BB$1,$BA27)), 1, 0)</f>
        <v>0</v>
      </c>
      <c r="BC27" s="4">
        <f t="shared" si="157"/>
        <v>0</v>
      </c>
      <c r="BD27" s="4">
        <f t="shared" si="157"/>
        <v>0</v>
      </c>
      <c r="BE27" s="4">
        <f t="shared" si="157"/>
        <v>0</v>
      </c>
      <c r="BF27" s="4">
        <f t="shared" si="157"/>
        <v>0</v>
      </c>
      <c r="BG27" s="4">
        <f t="shared" si="157"/>
        <v>0</v>
      </c>
      <c r="BH27" s="4">
        <f t="shared" si="157"/>
        <v>0</v>
      </c>
      <c r="BI27" s="4">
        <f t="shared" si="157"/>
        <v>0</v>
      </c>
      <c r="BJ27" s="4">
        <f t="shared" si="157"/>
        <v>1</v>
      </c>
      <c r="BK27" s="4">
        <f t="shared" si="11"/>
        <v>1</v>
      </c>
      <c r="BM27" s="1" t="s">
        <v>232</v>
      </c>
      <c r="BN27" s="1" t="s">
        <v>71</v>
      </c>
      <c r="BO27" s="4">
        <f t="shared" ref="BO27:BU27" si="158">IF(ISNUMBER(SEARCH(BO$1,$BN27)), 1, 0)</f>
        <v>0</v>
      </c>
      <c r="BP27" s="4">
        <f t="shared" si="158"/>
        <v>0</v>
      </c>
      <c r="BQ27" s="4">
        <f t="shared" si="158"/>
        <v>0</v>
      </c>
      <c r="BR27" s="4">
        <f t="shared" si="158"/>
        <v>0</v>
      </c>
      <c r="BS27" s="4">
        <f t="shared" si="158"/>
        <v>0</v>
      </c>
      <c r="BT27" s="4">
        <f t="shared" si="158"/>
        <v>1</v>
      </c>
      <c r="BU27" s="4">
        <f t="shared" si="158"/>
        <v>0</v>
      </c>
      <c r="DC27" s="1" t="s">
        <v>238</v>
      </c>
    </row>
    <row r="28" spans="1:107" ht="15.75" customHeight="1" x14ac:dyDescent="0.25">
      <c r="A28" s="1" t="b">
        <v>1</v>
      </c>
      <c r="B28" s="3">
        <v>46164.639606481483</v>
      </c>
      <c r="C28" s="1" t="s">
        <v>508</v>
      </c>
      <c r="D28" s="1" t="s">
        <v>4</v>
      </c>
      <c r="E28" s="4">
        <f t="shared" ref="E28:K28" si="159">IF(ISNUMBER(SEARCH(E$1,$D28)), SEARCH(E$1,$D28), 0)</f>
        <v>1</v>
      </c>
      <c r="F28" s="4">
        <f t="shared" si="159"/>
        <v>0</v>
      </c>
      <c r="G28" s="4">
        <f t="shared" si="159"/>
        <v>0</v>
      </c>
      <c r="H28" s="4">
        <f t="shared" si="159"/>
        <v>0</v>
      </c>
      <c r="I28" s="4">
        <f t="shared" si="159"/>
        <v>0</v>
      </c>
      <c r="J28" s="4">
        <f t="shared" si="159"/>
        <v>0</v>
      </c>
      <c r="K28" s="4">
        <f t="shared" si="159"/>
        <v>0</v>
      </c>
      <c r="L28" s="4">
        <f t="shared" si="1"/>
        <v>1</v>
      </c>
      <c r="N28" s="1" t="s">
        <v>240</v>
      </c>
      <c r="O28" s="4">
        <f t="shared" ref="O28:T28" si="160">IF(ISNUMBER(SEARCH(O$1,$N28)), 1, 0)</f>
        <v>1</v>
      </c>
      <c r="P28" s="4">
        <f t="shared" si="160"/>
        <v>1</v>
      </c>
      <c r="Q28" s="4">
        <f t="shared" si="160"/>
        <v>1</v>
      </c>
      <c r="R28" s="4">
        <f t="shared" si="160"/>
        <v>1</v>
      </c>
      <c r="S28" s="4">
        <f t="shared" si="160"/>
        <v>0</v>
      </c>
      <c r="T28" s="4">
        <f t="shared" si="160"/>
        <v>0</v>
      </c>
      <c r="W28" s="1" t="str">
        <f t="shared" si="130"/>
        <v>False</v>
      </c>
      <c r="X28" s="1" t="str">
        <f t="shared" si="130"/>
        <v>False</v>
      </c>
      <c r="Y28" s="1" t="str">
        <f t="shared" si="130"/>
        <v>False</v>
      </c>
      <c r="Z28" s="1" t="str">
        <f t="shared" si="130"/>
        <v>False</v>
      </c>
      <c r="AA28" s="1" t="str">
        <f t="shared" si="130"/>
        <v>False</v>
      </c>
      <c r="AB28" s="1" t="s">
        <v>357</v>
      </c>
      <c r="AC28" s="4">
        <f t="shared" ref="AC28:AH28" si="161">IF(ISNUMBER(SEARCH(AC$1,$AB28)), 1, 0)</f>
        <v>1</v>
      </c>
      <c r="AD28" s="4">
        <f t="shared" si="161"/>
        <v>0</v>
      </c>
      <c r="AE28" s="4">
        <f t="shared" si="161"/>
        <v>0</v>
      </c>
      <c r="AF28" s="4">
        <f t="shared" si="161"/>
        <v>0</v>
      </c>
      <c r="AG28" s="4">
        <f t="shared" si="161"/>
        <v>0</v>
      </c>
      <c r="AH28" s="4">
        <f t="shared" si="161"/>
        <v>1</v>
      </c>
      <c r="AI28" s="1">
        <f t="shared" si="5"/>
        <v>2</v>
      </c>
      <c r="AK28" s="1" t="s">
        <v>317</v>
      </c>
      <c r="AL28" s="4">
        <f t="shared" ref="AL28:AS28" si="162">IF(ISNUMBER(SEARCH(AL$1,$AK28)), 1, 0)</f>
        <v>0</v>
      </c>
      <c r="AM28" s="4">
        <f t="shared" si="162"/>
        <v>1</v>
      </c>
      <c r="AN28" s="4">
        <f t="shared" si="162"/>
        <v>0</v>
      </c>
      <c r="AO28" s="4">
        <f t="shared" si="162"/>
        <v>1</v>
      </c>
      <c r="AP28" s="4">
        <f t="shared" si="162"/>
        <v>1</v>
      </c>
      <c r="AQ28" s="4">
        <f t="shared" si="162"/>
        <v>1</v>
      </c>
      <c r="AR28" s="4">
        <f t="shared" si="162"/>
        <v>0</v>
      </c>
      <c r="AS28" s="4">
        <f t="shared" si="162"/>
        <v>0</v>
      </c>
      <c r="AU28" s="1" t="s">
        <v>47</v>
      </c>
      <c r="AV28" s="1">
        <f t="shared" si="7"/>
        <v>1</v>
      </c>
      <c r="AW28" s="1">
        <f t="shared" si="8"/>
        <v>0</v>
      </c>
      <c r="AX28" s="1">
        <f t="shared" si="9"/>
        <v>0</v>
      </c>
      <c r="AY28" s="1" t="s">
        <v>48</v>
      </c>
      <c r="BA28" s="1" t="s">
        <v>509</v>
      </c>
      <c r="BB28" s="4">
        <f t="shared" ref="BB28:BJ28" si="163">IF(ISNUMBER(SEARCH(BB$1,$BA28)), 1, 0)</f>
        <v>0</v>
      </c>
      <c r="BC28" s="4">
        <f t="shared" si="163"/>
        <v>1</v>
      </c>
      <c r="BD28" s="4">
        <f t="shared" si="163"/>
        <v>1</v>
      </c>
      <c r="BE28" s="4">
        <f t="shared" si="163"/>
        <v>1</v>
      </c>
      <c r="BF28" s="4">
        <f t="shared" si="163"/>
        <v>1</v>
      </c>
      <c r="BG28" s="4">
        <f t="shared" si="163"/>
        <v>0</v>
      </c>
      <c r="BH28" s="4">
        <f t="shared" si="163"/>
        <v>0</v>
      </c>
      <c r="BI28" s="4">
        <f t="shared" si="163"/>
        <v>0</v>
      </c>
      <c r="BJ28" s="4">
        <f t="shared" si="163"/>
        <v>1</v>
      </c>
      <c r="BK28" s="4">
        <f t="shared" si="11"/>
        <v>5</v>
      </c>
      <c r="BM28" s="1" t="s">
        <v>232</v>
      </c>
      <c r="BN28" s="1" t="s">
        <v>510</v>
      </c>
      <c r="BO28" s="4">
        <f t="shared" ref="BO28:BU28" si="164">IF(ISNUMBER(SEARCH(BO$1,$BN28)), 1, 0)</f>
        <v>0</v>
      </c>
      <c r="BP28" s="4">
        <f t="shared" si="164"/>
        <v>1</v>
      </c>
      <c r="BQ28" s="4">
        <f t="shared" si="164"/>
        <v>0</v>
      </c>
      <c r="BR28" s="4">
        <f t="shared" si="164"/>
        <v>1</v>
      </c>
      <c r="BS28" s="4">
        <f t="shared" si="164"/>
        <v>0</v>
      </c>
      <c r="BT28" s="4">
        <f t="shared" si="164"/>
        <v>1</v>
      </c>
      <c r="BU28" s="4">
        <f t="shared" si="164"/>
        <v>1</v>
      </c>
      <c r="DC28" s="1" t="s">
        <v>238</v>
      </c>
    </row>
    <row r="29" spans="1:107" ht="15.75" customHeight="1" x14ac:dyDescent="0.25">
      <c r="A29" s="1" t="b">
        <v>1</v>
      </c>
      <c r="B29" s="3">
        <v>46166.580659722225</v>
      </c>
      <c r="C29" s="1" t="s">
        <v>646</v>
      </c>
      <c r="D29" s="1" t="s">
        <v>4</v>
      </c>
      <c r="E29" s="4">
        <f t="shared" ref="E29:K29" si="165">IF(ISNUMBER(SEARCH(E$1,$D29)), SEARCH(E$1,$D29), 0)</f>
        <v>1</v>
      </c>
      <c r="F29" s="4">
        <f t="shared" si="165"/>
        <v>0</v>
      </c>
      <c r="G29" s="4">
        <f t="shared" si="165"/>
        <v>0</v>
      </c>
      <c r="H29" s="4">
        <f t="shared" si="165"/>
        <v>0</v>
      </c>
      <c r="I29" s="4">
        <f t="shared" si="165"/>
        <v>0</v>
      </c>
      <c r="J29" s="4">
        <f t="shared" si="165"/>
        <v>0</v>
      </c>
      <c r="K29" s="4">
        <f t="shared" si="165"/>
        <v>0</v>
      </c>
      <c r="L29" s="4">
        <f t="shared" si="1"/>
        <v>1</v>
      </c>
      <c r="N29" s="1" t="s">
        <v>208</v>
      </c>
      <c r="O29" s="4">
        <f t="shared" ref="O29:T29" si="166">IF(ISNUMBER(SEARCH(O$1,$N29)), 1, 0)</f>
        <v>1</v>
      </c>
      <c r="P29" s="4">
        <f t="shared" si="166"/>
        <v>1</v>
      </c>
      <c r="Q29" s="4">
        <f t="shared" si="166"/>
        <v>0</v>
      </c>
      <c r="R29" s="4">
        <f t="shared" si="166"/>
        <v>1</v>
      </c>
      <c r="S29" s="4">
        <f t="shared" si="166"/>
        <v>0</v>
      </c>
      <c r="T29" s="4">
        <f t="shared" si="166"/>
        <v>0</v>
      </c>
      <c r="V29" s="1" t="s">
        <v>23</v>
      </c>
      <c r="W29" s="1" t="str">
        <f t="shared" si="130"/>
        <v>False</v>
      </c>
      <c r="X29" s="1" t="str">
        <f t="shared" si="130"/>
        <v>True</v>
      </c>
      <c r="Y29" s="1" t="str">
        <f t="shared" si="130"/>
        <v>False</v>
      </c>
      <c r="Z29" s="1" t="str">
        <f t="shared" si="130"/>
        <v>False</v>
      </c>
      <c r="AA29" s="1" t="str">
        <f t="shared" si="130"/>
        <v>False</v>
      </c>
      <c r="AB29" s="1" t="s">
        <v>357</v>
      </c>
      <c r="AC29" s="4">
        <f t="shared" ref="AC29:AH29" si="167">IF(ISNUMBER(SEARCH(AC$1,$AB29)), 1, 0)</f>
        <v>1</v>
      </c>
      <c r="AD29" s="4">
        <f t="shared" si="167"/>
        <v>0</v>
      </c>
      <c r="AE29" s="4">
        <f t="shared" si="167"/>
        <v>0</v>
      </c>
      <c r="AF29" s="4">
        <f t="shared" si="167"/>
        <v>0</v>
      </c>
      <c r="AG29" s="4">
        <f t="shared" si="167"/>
        <v>0</v>
      </c>
      <c r="AH29" s="4">
        <f t="shared" si="167"/>
        <v>1</v>
      </c>
      <c r="AI29" s="1">
        <f t="shared" si="5"/>
        <v>2</v>
      </c>
      <c r="AK29" s="1" t="s">
        <v>481</v>
      </c>
      <c r="AL29" s="4">
        <f t="shared" ref="AL29:AS29" si="168">IF(ISNUMBER(SEARCH(AL$1,$AK29)), 1, 0)</f>
        <v>0</v>
      </c>
      <c r="AM29" s="4">
        <f t="shared" si="168"/>
        <v>0</v>
      </c>
      <c r="AN29" s="4">
        <f t="shared" si="168"/>
        <v>0</v>
      </c>
      <c r="AO29" s="4">
        <f t="shared" si="168"/>
        <v>1</v>
      </c>
      <c r="AP29" s="4">
        <f t="shared" si="168"/>
        <v>0</v>
      </c>
      <c r="AQ29" s="4">
        <f t="shared" si="168"/>
        <v>1</v>
      </c>
      <c r="AR29" s="4">
        <f t="shared" si="168"/>
        <v>0</v>
      </c>
      <c r="AS29" s="4">
        <f t="shared" si="168"/>
        <v>0</v>
      </c>
      <c r="AU29" s="1" t="s">
        <v>48</v>
      </c>
      <c r="AV29" s="1">
        <f t="shared" si="7"/>
        <v>0</v>
      </c>
      <c r="AW29" s="1">
        <f t="shared" si="8"/>
        <v>1</v>
      </c>
      <c r="AX29" s="1">
        <f t="shared" si="9"/>
        <v>0</v>
      </c>
      <c r="AY29" s="1" t="s">
        <v>48</v>
      </c>
      <c r="BA29" s="1" t="s">
        <v>61</v>
      </c>
      <c r="BB29" s="4">
        <f t="shared" ref="BB29:BJ29" si="169">IF(ISNUMBER(SEARCH(BB$1,$BA29)), 1, 0)</f>
        <v>0</v>
      </c>
      <c r="BC29" s="4">
        <f t="shared" si="169"/>
        <v>0</v>
      </c>
      <c r="BD29" s="4">
        <f t="shared" si="169"/>
        <v>0</v>
      </c>
      <c r="BE29" s="4">
        <f t="shared" si="169"/>
        <v>0</v>
      </c>
      <c r="BF29" s="4">
        <f t="shared" si="169"/>
        <v>0</v>
      </c>
      <c r="BG29" s="4">
        <f t="shared" si="169"/>
        <v>0</v>
      </c>
      <c r="BH29" s="4">
        <f t="shared" si="169"/>
        <v>0</v>
      </c>
      <c r="BI29" s="4">
        <f t="shared" si="169"/>
        <v>0</v>
      </c>
      <c r="BJ29" s="4">
        <f t="shared" si="169"/>
        <v>1</v>
      </c>
      <c r="BK29" s="4">
        <f t="shared" si="11"/>
        <v>1</v>
      </c>
      <c r="BM29" s="1" t="s">
        <v>166</v>
      </c>
      <c r="BN29" s="1" t="s">
        <v>72</v>
      </c>
      <c r="BO29" s="4">
        <f t="shared" ref="BO29:BU29" si="170">IF(ISNUMBER(SEARCH(BO$1,$BN29)), 1, 0)</f>
        <v>0</v>
      </c>
      <c r="BP29" s="4">
        <f t="shared" si="170"/>
        <v>0</v>
      </c>
      <c r="BQ29" s="4">
        <f t="shared" si="170"/>
        <v>0</v>
      </c>
      <c r="BR29" s="4">
        <f t="shared" si="170"/>
        <v>0</v>
      </c>
      <c r="BS29" s="4">
        <f t="shared" si="170"/>
        <v>0</v>
      </c>
      <c r="BT29" s="4">
        <f t="shared" si="170"/>
        <v>0</v>
      </c>
      <c r="BU29" s="4">
        <f t="shared" si="170"/>
        <v>1</v>
      </c>
      <c r="BW29" s="1" t="s">
        <v>255</v>
      </c>
      <c r="DC29" s="1" t="s">
        <v>180</v>
      </c>
    </row>
    <row r="30" spans="1:107" ht="15.75" customHeight="1" x14ac:dyDescent="0.25">
      <c r="A30" s="1" t="b">
        <v>1</v>
      </c>
      <c r="B30" s="3">
        <v>46164.528020833335</v>
      </c>
      <c r="C30" s="1" t="s">
        <v>476</v>
      </c>
      <c r="D30" s="1" t="s">
        <v>4</v>
      </c>
      <c r="E30" s="4">
        <f t="shared" ref="E30:K30" si="171">IF(ISNUMBER(SEARCH(E$1,$D30)), SEARCH(E$1,$D30), 0)</f>
        <v>1</v>
      </c>
      <c r="F30" s="4">
        <f t="shared" si="171"/>
        <v>0</v>
      </c>
      <c r="G30" s="4">
        <f t="shared" si="171"/>
        <v>0</v>
      </c>
      <c r="H30" s="4">
        <f t="shared" si="171"/>
        <v>0</v>
      </c>
      <c r="I30" s="4">
        <f t="shared" si="171"/>
        <v>0</v>
      </c>
      <c r="J30" s="4">
        <f t="shared" si="171"/>
        <v>0</v>
      </c>
      <c r="K30" s="4">
        <f t="shared" si="171"/>
        <v>0</v>
      </c>
      <c r="L30" s="4">
        <f t="shared" si="1"/>
        <v>1</v>
      </c>
      <c r="N30" s="1" t="s">
        <v>208</v>
      </c>
      <c r="O30" s="4">
        <f t="shared" ref="O30:T30" si="172">IF(ISNUMBER(SEARCH(O$1,$N30)), 1, 0)</f>
        <v>1</v>
      </c>
      <c r="P30" s="4">
        <f t="shared" si="172"/>
        <v>1</v>
      </c>
      <c r="Q30" s="4">
        <f t="shared" si="172"/>
        <v>0</v>
      </c>
      <c r="R30" s="4">
        <f t="shared" si="172"/>
        <v>1</v>
      </c>
      <c r="S30" s="4">
        <f t="shared" si="172"/>
        <v>0</v>
      </c>
      <c r="T30" s="4">
        <f t="shared" si="172"/>
        <v>0</v>
      </c>
      <c r="V30" s="1" t="s">
        <v>25</v>
      </c>
      <c r="W30" s="1" t="str">
        <f t="shared" si="130"/>
        <v>False</v>
      </c>
      <c r="X30" s="1" t="str">
        <f t="shared" si="130"/>
        <v>False</v>
      </c>
      <c r="Y30" s="1" t="str">
        <f t="shared" si="130"/>
        <v>False</v>
      </c>
      <c r="Z30" s="1" t="str">
        <f t="shared" si="130"/>
        <v>True</v>
      </c>
      <c r="AA30" s="1" t="str">
        <f t="shared" si="130"/>
        <v>False</v>
      </c>
      <c r="AB30" s="1" t="s">
        <v>477</v>
      </c>
      <c r="AC30" s="4">
        <f t="shared" ref="AC30:AH30" si="173">IF(ISNUMBER(SEARCH(AC$1,$AB30)), 1, 0)</f>
        <v>1</v>
      </c>
      <c r="AD30" s="4">
        <f t="shared" si="173"/>
        <v>1</v>
      </c>
      <c r="AE30" s="4">
        <f t="shared" si="173"/>
        <v>0</v>
      </c>
      <c r="AF30" s="4">
        <f t="shared" si="173"/>
        <v>0</v>
      </c>
      <c r="AG30" s="4">
        <f t="shared" si="173"/>
        <v>0</v>
      </c>
      <c r="AH30" s="4">
        <f t="shared" si="173"/>
        <v>1</v>
      </c>
      <c r="AI30" s="1">
        <f t="shared" si="5"/>
        <v>3</v>
      </c>
      <c r="AK30" s="1" t="s">
        <v>423</v>
      </c>
      <c r="AL30" s="4">
        <f t="shared" ref="AL30:AS30" si="174">IF(ISNUMBER(SEARCH(AL$1,$AK30)), 1, 0)</f>
        <v>0</v>
      </c>
      <c r="AM30" s="4">
        <f t="shared" si="174"/>
        <v>1</v>
      </c>
      <c r="AN30" s="4">
        <f t="shared" si="174"/>
        <v>1</v>
      </c>
      <c r="AO30" s="4">
        <f t="shared" si="174"/>
        <v>1</v>
      </c>
      <c r="AP30" s="4">
        <f t="shared" si="174"/>
        <v>0</v>
      </c>
      <c r="AQ30" s="4">
        <f t="shared" si="174"/>
        <v>1</v>
      </c>
      <c r="AR30" s="4">
        <f t="shared" si="174"/>
        <v>0</v>
      </c>
      <c r="AS30" s="4">
        <f t="shared" si="174"/>
        <v>0</v>
      </c>
      <c r="AU30" s="1" t="s">
        <v>48</v>
      </c>
      <c r="AV30" s="1">
        <f t="shared" si="7"/>
        <v>0</v>
      </c>
      <c r="AW30" s="1">
        <f t="shared" si="8"/>
        <v>1</v>
      </c>
      <c r="AX30" s="1">
        <f t="shared" si="9"/>
        <v>0</v>
      </c>
      <c r="AY30" s="1" t="s">
        <v>48</v>
      </c>
      <c r="BA30" s="1" t="s">
        <v>457</v>
      </c>
      <c r="BB30" s="4">
        <f t="shared" ref="BB30:BJ30" si="175">IF(ISNUMBER(SEARCH(BB$1,$BA30)), 1, 0)</f>
        <v>0</v>
      </c>
      <c r="BC30" s="4">
        <f t="shared" si="175"/>
        <v>0</v>
      </c>
      <c r="BD30" s="4">
        <f t="shared" si="175"/>
        <v>0</v>
      </c>
      <c r="BE30" s="4">
        <f t="shared" si="175"/>
        <v>0</v>
      </c>
      <c r="BF30" s="4">
        <f t="shared" si="175"/>
        <v>1</v>
      </c>
      <c r="BG30" s="4">
        <f t="shared" si="175"/>
        <v>1</v>
      </c>
      <c r="BH30" s="4">
        <f t="shared" si="175"/>
        <v>0</v>
      </c>
      <c r="BI30" s="4">
        <f t="shared" si="175"/>
        <v>0</v>
      </c>
      <c r="BJ30" s="4">
        <f t="shared" si="175"/>
        <v>1</v>
      </c>
      <c r="BK30" s="4">
        <f t="shared" si="11"/>
        <v>3</v>
      </c>
      <c r="BM30" s="1" t="s">
        <v>232</v>
      </c>
      <c r="BN30" s="1" t="s">
        <v>340</v>
      </c>
      <c r="BO30" s="4">
        <f t="shared" ref="BO30:BU30" si="176">IF(ISNUMBER(SEARCH(BO$1,$BN30)), 1, 0)</f>
        <v>1</v>
      </c>
      <c r="BP30" s="4">
        <f t="shared" si="176"/>
        <v>1</v>
      </c>
      <c r="BQ30" s="4">
        <f t="shared" si="176"/>
        <v>0</v>
      </c>
      <c r="BR30" s="4">
        <f t="shared" si="176"/>
        <v>0</v>
      </c>
      <c r="BS30" s="4">
        <f t="shared" si="176"/>
        <v>0</v>
      </c>
      <c r="BT30" s="4">
        <f t="shared" si="176"/>
        <v>0</v>
      </c>
      <c r="BU30" s="4">
        <f t="shared" si="176"/>
        <v>0</v>
      </c>
      <c r="BW30" s="1" t="s">
        <v>212</v>
      </c>
      <c r="BY30" s="1" t="s">
        <v>478</v>
      </c>
      <c r="BZ30" s="1" t="s">
        <v>183</v>
      </c>
      <c r="CA30" s="1" t="s">
        <v>479</v>
      </c>
      <c r="DC30" s="1" t="s">
        <v>180</v>
      </c>
    </row>
    <row r="31" spans="1:107" ht="15.75" customHeight="1" x14ac:dyDescent="0.25">
      <c r="A31" s="1" t="b">
        <v>1</v>
      </c>
      <c r="B31" s="3">
        <v>46168.681400462963</v>
      </c>
      <c r="C31" s="1" t="s">
        <v>721</v>
      </c>
      <c r="D31" s="1" t="s">
        <v>4</v>
      </c>
      <c r="E31" s="4">
        <f t="shared" ref="E31:K31" si="177">IF(ISNUMBER(SEARCH(E$1,$D31)), SEARCH(E$1,$D31), 0)</f>
        <v>1</v>
      </c>
      <c r="F31" s="4">
        <f t="shared" si="177"/>
        <v>0</v>
      </c>
      <c r="G31" s="4">
        <f t="shared" si="177"/>
        <v>0</v>
      </c>
      <c r="H31" s="4">
        <f t="shared" si="177"/>
        <v>0</v>
      </c>
      <c r="I31" s="4">
        <f t="shared" si="177"/>
        <v>0</v>
      </c>
      <c r="J31" s="4">
        <f t="shared" si="177"/>
        <v>0</v>
      </c>
      <c r="K31" s="4">
        <f t="shared" si="177"/>
        <v>0</v>
      </c>
      <c r="L31" s="4">
        <f t="shared" si="1"/>
        <v>1</v>
      </c>
      <c r="N31" s="1" t="s">
        <v>294</v>
      </c>
      <c r="O31" s="4">
        <f t="shared" ref="O31:T31" si="178">IF(ISNUMBER(SEARCH(O$1,$N31)), 1, 0)</f>
        <v>1</v>
      </c>
      <c r="P31" s="4">
        <f t="shared" si="178"/>
        <v>1</v>
      </c>
      <c r="Q31" s="4">
        <f t="shared" si="178"/>
        <v>0</v>
      </c>
      <c r="R31" s="4">
        <f t="shared" si="178"/>
        <v>0</v>
      </c>
      <c r="S31" s="4">
        <f t="shared" si="178"/>
        <v>0</v>
      </c>
      <c r="T31" s="4">
        <f t="shared" si="178"/>
        <v>0</v>
      </c>
      <c r="W31" s="1" t="str">
        <f t="shared" si="130"/>
        <v>False</v>
      </c>
      <c r="X31" s="1" t="str">
        <f t="shared" si="130"/>
        <v>False</v>
      </c>
      <c r="Y31" s="1" t="str">
        <f t="shared" si="130"/>
        <v>False</v>
      </c>
      <c r="Z31" s="1" t="str">
        <f t="shared" si="130"/>
        <v>False</v>
      </c>
      <c r="AA31" s="1" t="str">
        <f t="shared" si="130"/>
        <v>False</v>
      </c>
      <c r="AB31" s="1" t="s">
        <v>311</v>
      </c>
      <c r="AC31" s="4">
        <f t="shared" ref="AC31:AH31" si="179">IF(ISNUMBER(SEARCH(AC$1,$AB31)), 1, 0)</f>
        <v>1</v>
      </c>
      <c r="AD31" s="4">
        <f t="shared" si="179"/>
        <v>0</v>
      </c>
      <c r="AE31" s="4">
        <f t="shared" si="179"/>
        <v>0</v>
      </c>
      <c r="AF31" s="4">
        <f t="shared" si="179"/>
        <v>0</v>
      </c>
      <c r="AG31" s="4">
        <f t="shared" si="179"/>
        <v>0</v>
      </c>
      <c r="AH31" s="4">
        <f t="shared" si="179"/>
        <v>0</v>
      </c>
      <c r="AI31" s="1">
        <f t="shared" si="5"/>
        <v>1</v>
      </c>
      <c r="AJ31" s="1" t="s">
        <v>722</v>
      </c>
      <c r="AK31" s="1" t="s">
        <v>252</v>
      </c>
      <c r="AL31" s="4">
        <f t="shared" ref="AL31:AS31" si="180">IF(ISNUMBER(SEARCH(AL$1,$AK31)), 1, 0)</f>
        <v>0</v>
      </c>
      <c r="AM31" s="4">
        <f t="shared" si="180"/>
        <v>1</v>
      </c>
      <c r="AN31" s="4">
        <f t="shared" si="180"/>
        <v>1</v>
      </c>
      <c r="AO31" s="4">
        <f t="shared" si="180"/>
        <v>0</v>
      </c>
      <c r="AP31" s="4">
        <f t="shared" si="180"/>
        <v>0</v>
      </c>
      <c r="AQ31" s="4">
        <f t="shared" si="180"/>
        <v>1</v>
      </c>
      <c r="AR31" s="4">
        <f t="shared" si="180"/>
        <v>0</v>
      </c>
      <c r="AS31" s="4">
        <f t="shared" si="180"/>
        <v>0</v>
      </c>
      <c r="AU31" s="1" t="s">
        <v>47</v>
      </c>
      <c r="AV31" s="1">
        <f t="shared" si="7"/>
        <v>1</v>
      </c>
      <c r="AW31" s="1">
        <f t="shared" si="8"/>
        <v>0</v>
      </c>
      <c r="AX31" s="1">
        <f t="shared" si="9"/>
        <v>0</v>
      </c>
      <c r="AY31" s="1" t="s">
        <v>47</v>
      </c>
      <c r="AZ31" s="1" t="s">
        <v>48</v>
      </c>
      <c r="BA31" s="1" t="s">
        <v>723</v>
      </c>
      <c r="BB31" s="4">
        <f t="shared" ref="BB31:BJ31" si="181">IF(ISNUMBER(SEARCH(BB$1,$BA31)), 1, 0)</f>
        <v>0</v>
      </c>
      <c r="BC31" s="4">
        <f t="shared" si="181"/>
        <v>0</v>
      </c>
      <c r="BD31" s="4">
        <f t="shared" si="181"/>
        <v>0</v>
      </c>
      <c r="BE31" s="4">
        <f t="shared" si="181"/>
        <v>0</v>
      </c>
      <c r="BF31" s="4">
        <f t="shared" si="181"/>
        <v>1</v>
      </c>
      <c r="BG31" s="4">
        <f t="shared" si="181"/>
        <v>1</v>
      </c>
      <c r="BH31" s="4">
        <f t="shared" si="181"/>
        <v>0</v>
      </c>
      <c r="BI31" s="4">
        <f t="shared" si="181"/>
        <v>0</v>
      </c>
      <c r="BJ31" s="4">
        <f t="shared" si="181"/>
        <v>0</v>
      </c>
      <c r="BK31" s="4">
        <f t="shared" si="11"/>
        <v>2</v>
      </c>
      <c r="BO31" s="4">
        <f t="shared" ref="BO31:BU31" si="182">IF(ISNUMBER(SEARCH(BO$1,$BN31)), 1, 0)</f>
        <v>0</v>
      </c>
      <c r="BP31" s="4">
        <f t="shared" si="182"/>
        <v>0</v>
      </c>
      <c r="BQ31" s="4">
        <f t="shared" si="182"/>
        <v>0</v>
      </c>
      <c r="BR31" s="4">
        <f t="shared" si="182"/>
        <v>0</v>
      </c>
      <c r="BS31" s="4">
        <f t="shared" si="182"/>
        <v>0</v>
      </c>
      <c r="BT31" s="4">
        <f t="shared" si="182"/>
        <v>0</v>
      </c>
      <c r="BU31" s="4">
        <f t="shared" si="182"/>
        <v>0</v>
      </c>
      <c r="DC31" s="1" t="s">
        <v>238</v>
      </c>
    </row>
    <row r="32" spans="1:107" ht="15.75" customHeight="1" x14ac:dyDescent="0.25">
      <c r="A32" s="1" t="b">
        <v>1</v>
      </c>
      <c r="B32" s="3">
        <v>46164.733113425929</v>
      </c>
      <c r="C32" s="1" t="s">
        <v>542</v>
      </c>
      <c r="D32" s="1" t="s">
        <v>4</v>
      </c>
      <c r="E32" s="4">
        <f t="shared" ref="E32:K32" si="183">IF(ISNUMBER(SEARCH(E$1,$D32)), SEARCH(E$1,$D32), 0)</f>
        <v>1</v>
      </c>
      <c r="F32" s="4">
        <f t="shared" si="183"/>
        <v>0</v>
      </c>
      <c r="G32" s="4">
        <f t="shared" si="183"/>
        <v>0</v>
      </c>
      <c r="H32" s="4">
        <f t="shared" si="183"/>
        <v>0</v>
      </c>
      <c r="I32" s="4">
        <f t="shared" si="183"/>
        <v>0</v>
      </c>
      <c r="J32" s="4">
        <f t="shared" si="183"/>
        <v>0</v>
      </c>
      <c r="K32" s="4">
        <f t="shared" si="183"/>
        <v>0</v>
      </c>
      <c r="L32" s="4">
        <f t="shared" si="1"/>
        <v>1</v>
      </c>
      <c r="N32" s="1" t="s">
        <v>469</v>
      </c>
      <c r="O32" s="4">
        <f t="shared" ref="O32:T32" si="184">IF(ISNUMBER(SEARCH(O$1,$N32)), 1, 0)</f>
        <v>1</v>
      </c>
      <c r="P32" s="4">
        <f t="shared" si="184"/>
        <v>0</v>
      </c>
      <c r="Q32" s="4">
        <f t="shared" si="184"/>
        <v>0</v>
      </c>
      <c r="R32" s="4">
        <f t="shared" si="184"/>
        <v>1</v>
      </c>
      <c r="S32" s="4">
        <f t="shared" si="184"/>
        <v>0</v>
      </c>
      <c r="T32" s="4">
        <f t="shared" si="184"/>
        <v>0</v>
      </c>
      <c r="V32" s="1" t="s">
        <v>24</v>
      </c>
      <c r="W32" s="1" t="str">
        <f t="shared" si="130"/>
        <v>False</v>
      </c>
      <c r="X32" s="1" t="str">
        <f t="shared" si="130"/>
        <v>False</v>
      </c>
      <c r="Y32" s="1" t="str">
        <f t="shared" si="130"/>
        <v>True</v>
      </c>
      <c r="Z32" s="1" t="str">
        <f t="shared" si="130"/>
        <v>False</v>
      </c>
      <c r="AA32" s="1" t="str">
        <f t="shared" si="130"/>
        <v>False</v>
      </c>
      <c r="AB32" s="1" t="s">
        <v>245</v>
      </c>
      <c r="AC32" s="4">
        <f t="shared" ref="AC32:AH32" si="185">IF(ISNUMBER(SEARCH(AC$1,$AB32)), 1, 0)</f>
        <v>1</v>
      </c>
      <c r="AD32" s="4">
        <f t="shared" si="185"/>
        <v>0</v>
      </c>
      <c r="AE32" s="4">
        <f t="shared" si="185"/>
        <v>0</v>
      </c>
      <c r="AF32" s="4">
        <f t="shared" si="185"/>
        <v>1</v>
      </c>
      <c r="AG32" s="4">
        <f t="shared" si="185"/>
        <v>0</v>
      </c>
      <c r="AH32" s="4">
        <f t="shared" si="185"/>
        <v>0</v>
      </c>
      <c r="AI32" s="1">
        <f t="shared" si="5"/>
        <v>2</v>
      </c>
      <c r="AK32" s="1" t="s">
        <v>42</v>
      </c>
      <c r="AL32" s="4">
        <f t="shared" ref="AL32:AS32" si="186">IF(ISNUMBER(SEARCH(AL$1,$AK32)), 1, 0)</f>
        <v>0</v>
      </c>
      <c r="AM32" s="4">
        <f t="shared" si="186"/>
        <v>0</v>
      </c>
      <c r="AN32" s="4">
        <f t="shared" si="186"/>
        <v>0</v>
      </c>
      <c r="AO32" s="4">
        <f t="shared" si="186"/>
        <v>0</v>
      </c>
      <c r="AP32" s="4">
        <f t="shared" si="186"/>
        <v>0</v>
      </c>
      <c r="AQ32" s="4">
        <f t="shared" si="186"/>
        <v>1</v>
      </c>
      <c r="AR32" s="4">
        <f t="shared" si="186"/>
        <v>0</v>
      </c>
      <c r="AS32" s="4">
        <f t="shared" si="186"/>
        <v>0</v>
      </c>
      <c r="AU32" s="1" t="s">
        <v>47</v>
      </c>
      <c r="AV32" s="1">
        <f t="shared" si="7"/>
        <v>1</v>
      </c>
      <c r="AW32" s="1">
        <f t="shared" si="8"/>
        <v>0</v>
      </c>
      <c r="AX32" s="1">
        <f t="shared" si="9"/>
        <v>0</v>
      </c>
      <c r="AY32" s="1" t="s">
        <v>48</v>
      </c>
      <c r="BA32" s="1" t="s">
        <v>225</v>
      </c>
      <c r="BB32" s="4">
        <f t="shared" ref="BB32:BJ32" si="187">IF(ISNUMBER(SEARCH(BB$1,$BA32)), 1, 0)</f>
        <v>0</v>
      </c>
      <c r="BC32" s="4">
        <f t="shared" si="187"/>
        <v>0</v>
      </c>
      <c r="BD32" s="4">
        <f t="shared" si="187"/>
        <v>0</v>
      </c>
      <c r="BE32" s="4">
        <f t="shared" si="187"/>
        <v>1</v>
      </c>
      <c r="BF32" s="4">
        <f t="shared" si="187"/>
        <v>0</v>
      </c>
      <c r="BG32" s="4">
        <f t="shared" si="187"/>
        <v>0</v>
      </c>
      <c r="BH32" s="4">
        <f t="shared" si="187"/>
        <v>0</v>
      </c>
      <c r="BI32" s="4">
        <f t="shared" si="187"/>
        <v>0</v>
      </c>
      <c r="BJ32" s="4">
        <f t="shared" si="187"/>
        <v>1</v>
      </c>
      <c r="BK32" s="4">
        <f t="shared" si="11"/>
        <v>2</v>
      </c>
      <c r="BM32" s="1" t="s">
        <v>190</v>
      </c>
      <c r="BN32" s="1" t="s">
        <v>372</v>
      </c>
      <c r="BO32" s="4">
        <f t="shared" ref="BO32:BU32" si="188">IF(ISNUMBER(SEARCH(BO$1,$BN32)), 1, 0)</f>
        <v>0</v>
      </c>
      <c r="BP32" s="4">
        <f t="shared" si="188"/>
        <v>0</v>
      </c>
      <c r="BQ32" s="4">
        <f t="shared" si="188"/>
        <v>0</v>
      </c>
      <c r="BR32" s="4">
        <f t="shared" si="188"/>
        <v>0</v>
      </c>
      <c r="BS32" s="4">
        <f t="shared" si="188"/>
        <v>0</v>
      </c>
      <c r="BT32" s="4">
        <f t="shared" si="188"/>
        <v>1</v>
      </c>
      <c r="BU32" s="4">
        <f t="shared" si="188"/>
        <v>1</v>
      </c>
      <c r="DC32" s="1" t="s">
        <v>180</v>
      </c>
    </row>
    <row r="33" spans="1:107" ht="15.75" customHeight="1" x14ac:dyDescent="0.25">
      <c r="A33" s="1" t="b">
        <v>1</v>
      </c>
      <c r="B33" s="3">
        <v>46164.808206018519</v>
      </c>
      <c r="C33" s="1" t="s">
        <v>556</v>
      </c>
      <c r="D33" s="1" t="s">
        <v>4</v>
      </c>
      <c r="E33" s="4">
        <f t="shared" ref="E33:K33" si="189">IF(ISNUMBER(SEARCH(E$1,$D33)), SEARCH(E$1,$D33), 0)</f>
        <v>1</v>
      </c>
      <c r="F33" s="4">
        <f t="shared" si="189"/>
        <v>0</v>
      </c>
      <c r="G33" s="4">
        <f t="shared" si="189"/>
        <v>0</v>
      </c>
      <c r="H33" s="4">
        <f t="shared" si="189"/>
        <v>0</v>
      </c>
      <c r="I33" s="4">
        <f t="shared" si="189"/>
        <v>0</v>
      </c>
      <c r="J33" s="4">
        <f t="shared" si="189"/>
        <v>0</v>
      </c>
      <c r="K33" s="4">
        <f t="shared" si="189"/>
        <v>0</v>
      </c>
      <c r="L33" s="4">
        <f t="shared" si="1"/>
        <v>1</v>
      </c>
      <c r="N33" s="1" t="s">
        <v>294</v>
      </c>
      <c r="O33" s="4">
        <f t="shared" ref="O33:T33" si="190">IF(ISNUMBER(SEARCH(O$1,$N33)), 1, 0)</f>
        <v>1</v>
      </c>
      <c r="P33" s="4">
        <f t="shared" si="190"/>
        <v>1</v>
      </c>
      <c r="Q33" s="4">
        <f t="shared" si="190"/>
        <v>0</v>
      </c>
      <c r="R33" s="4">
        <f t="shared" si="190"/>
        <v>0</v>
      </c>
      <c r="S33" s="4">
        <f t="shared" si="190"/>
        <v>0</v>
      </c>
      <c r="T33" s="4">
        <f t="shared" si="190"/>
        <v>0</v>
      </c>
      <c r="V33" s="1" t="s">
        <v>24</v>
      </c>
      <c r="W33" s="1" t="str">
        <f t="shared" ref="W33:AA42" si="191">IF(W$1=$V33, "True", "False")</f>
        <v>False</v>
      </c>
      <c r="X33" s="1" t="str">
        <f t="shared" si="191"/>
        <v>False</v>
      </c>
      <c r="Y33" s="1" t="str">
        <f t="shared" si="191"/>
        <v>True</v>
      </c>
      <c r="Z33" s="1" t="str">
        <f t="shared" si="191"/>
        <v>False</v>
      </c>
      <c r="AA33" s="1" t="str">
        <f t="shared" si="191"/>
        <v>False</v>
      </c>
      <c r="AB33" s="1" t="s">
        <v>245</v>
      </c>
      <c r="AC33" s="4">
        <f t="shared" ref="AC33:AH33" si="192">IF(ISNUMBER(SEARCH(AC$1,$AB33)), 1, 0)</f>
        <v>1</v>
      </c>
      <c r="AD33" s="4">
        <f t="shared" si="192"/>
        <v>0</v>
      </c>
      <c r="AE33" s="4">
        <f t="shared" si="192"/>
        <v>0</v>
      </c>
      <c r="AF33" s="4">
        <f t="shared" si="192"/>
        <v>1</v>
      </c>
      <c r="AG33" s="4">
        <f t="shared" si="192"/>
        <v>0</v>
      </c>
      <c r="AH33" s="4">
        <f t="shared" si="192"/>
        <v>0</v>
      </c>
      <c r="AI33" s="1">
        <f t="shared" si="5"/>
        <v>2</v>
      </c>
      <c r="AK33" s="1" t="s">
        <v>470</v>
      </c>
      <c r="AL33" s="4">
        <f t="shared" ref="AL33:AS33" si="193">IF(ISNUMBER(SEARCH(AL$1,$AK33)), 1, 0)</f>
        <v>0</v>
      </c>
      <c r="AM33" s="4">
        <f t="shared" si="193"/>
        <v>1</v>
      </c>
      <c r="AN33" s="4">
        <f t="shared" si="193"/>
        <v>0</v>
      </c>
      <c r="AO33" s="4">
        <f t="shared" si="193"/>
        <v>1</v>
      </c>
      <c r="AP33" s="4">
        <f t="shared" si="193"/>
        <v>0</v>
      </c>
      <c r="AQ33" s="4">
        <f t="shared" si="193"/>
        <v>1</v>
      </c>
      <c r="AR33" s="4">
        <f t="shared" si="193"/>
        <v>0</v>
      </c>
      <c r="AS33" s="4">
        <f t="shared" si="193"/>
        <v>0</v>
      </c>
      <c r="AU33" s="1" t="s">
        <v>48</v>
      </c>
      <c r="AV33" s="1">
        <f t="shared" si="7"/>
        <v>0</v>
      </c>
      <c r="AW33" s="1">
        <f t="shared" si="8"/>
        <v>1</v>
      </c>
      <c r="AX33" s="1">
        <f t="shared" si="9"/>
        <v>0</v>
      </c>
      <c r="AY33" s="1" t="s">
        <v>48</v>
      </c>
      <c r="BA33" s="1" t="s">
        <v>454</v>
      </c>
      <c r="BB33" s="4">
        <f t="shared" ref="BB33:BJ33" si="194">IF(ISNUMBER(SEARCH(BB$1,$BA33)), 1, 0)</f>
        <v>0</v>
      </c>
      <c r="BC33" s="4">
        <f t="shared" si="194"/>
        <v>0</v>
      </c>
      <c r="BD33" s="4">
        <f t="shared" si="194"/>
        <v>1</v>
      </c>
      <c r="BE33" s="4">
        <f t="shared" si="194"/>
        <v>0</v>
      </c>
      <c r="BF33" s="4">
        <f t="shared" si="194"/>
        <v>1</v>
      </c>
      <c r="BG33" s="4">
        <f t="shared" si="194"/>
        <v>0</v>
      </c>
      <c r="BH33" s="4">
        <f t="shared" si="194"/>
        <v>0</v>
      </c>
      <c r="BI33" s="4">
        <f t="shared" si="194"/>
        <v>0</v>
      </c>
      <c r="BJ33" s="4">
        <f t="shared" si="194"/>
        <v>1</v>
      </c>
      <c r="BK33" s="4">
        <f t="shared" si="11"/>
        <v>3</v>
      </c>
      <c r="BM33" s="1" t="s">
        <v>232</v>
      </c>
      <c r="BN33" s="1" t="s">
        <v>557</v>
      </c>
      <c r="BO33" s="4">
        <f t="shared" ref="BO33:BU33" si="195">IF(ISNUMBER(SEARCH(BO$1,$BN33)), 1, 0)</f>
        <v>0</v>
      </c>
      <c r="BP33" s="4">
        <f t="shared" si="195"/>
        <v>0</v>
      </c>
      <c r="BQ33" s="4">
        <f t="shared" si="195"/>
        <v>0</v>
      </c>
      <c r="BR33" s="4">
        <f t="shared" si="195"/>
        <v>1</v>
      </c>
      <c r="BS33" s="4">
        <f t="shared" si="195"/>
        <v>1</v>
      </c>
      <c r="BT33" s="4">
        <f t="shared" si="195"/>
        <v>0</v>
      </c>
      <c r="BU33" s="4">
        <f t="shared" si="195"/>
        <v>0</v>
      </c>
      <c r="BW33" s="1" t="s">
        <v>547</v>
      </c>
      <c r="BY33" s="1" t="s">
        <v>558</v>
      </c>
      <c r="BZ33" s="1" t="s">
        <v>516</v>
      </c>
      <c r="DC33" s="1" t="s">
        <v>180</v>
      </c>
    </row>
    <row r="34" spans="1:107" ht="15.75" customHeight="1" x14ac:dyDescent="0.25">
      <c r="A34" s="1" t="b">
        <v>1</v>
      </c>
      <c r="B34" s="3">
        <v>46170.460798611108</v>
      </c>
      <c r="C34" s="1" t="s">
        <v>758</v>
      </c>
      <c r="D34" s="1" t="s">
        <v>4</v>
      </c>
      <c r="E34" s="4">
        <f t="shared" ref="E34:K34" si="196">IF(ISNUMBER(SEARCH(E$1,$D34)), SEARCH(E$1,$D34), 0)</f>
        <v>1</v>
      </c>
      <c r="F34" s="4">
        <f t="shared" si="196"/>
        <v>0</v>
      </c>
      <c r="G34" s="4">
        <f t="shared" si="196"/>
        <v>0</v>
      </c>
      <c r="H34" s="4">
        <f t="shared" si="196"/>
        <v>0</v>
      </c>
      <c r="I34" s="4">
        <f t="shared" si="196"/>
        <v>0</v>
      </c>
      <c r="J34" s="4">
        <f t="shared" si="196"/>
        <v>0</v>
      </c>
      <c r="K34" s="4">
        <f t="shared" si="196"/>
        <v>0</v>
      </c>
      <c r="L34" s="4">
        <f t="shared" si="1"/>
        <v>1</v>
      </c>
      <c r="N34" s="1" t="s">
        <v>328</v>
      </c>
      <c r="O34" s="4">
        <f t="shared" ref="O34:T34" si="197">IF(ISNUMBER(SEARCH(O$1,$N34)), 1, 0)</f>
        <v>1</v>
      </c>
      <c r="P34" s="4">
        <f t="shared" si="197"/>
        <v>1</v>
      </c>
      <c r="Q34" s="4">
        <f t="shared" si="197"/>
        <v>1</v>
      </c>
      <c r="R34" s="4">
        <f t="shared" si="197"/>
        <v>0</v>
      </c>
      <c r="S34" s="4">
        <f t="shared" si="197"/>
        <v>0</v>
      </c>
      <c r="T34" s="4">
        <f t="shared" si="197"/>
        <v>0</v>
      </c>
      <c r="V34" s="1" t="s">
        <v>23</v>
      </c>
      <c r="W34" s="1" t="str">
        <f t="shared" si="191"/>
        <v>False</v>
      </c>
      <c r="X34" s="1" t="str">
        <f t="shared" si="191"/>
        <v>True</v>
      </c>
      <c r="Y34" s="1" t="str">
        <f t="shared" si="191"/>
        <v>False</v>
      </c>
      <c r="Z34" s="1" t="str">
        <f t="shared" si="191"/>
        <v>False</v>
      </c>
      <c r="AA34" s="1" t="str">
        <f t="shared" si="191"/>
        <v>False</v>
      </c>
      <c r="AB34" s="1" t="s">
        <v>183</v>
      </c>
      <c r="AC34" s="4">
        <f t="shared" ref="AC34:AH34" si="198">IF(ISNUMBER(SEARCH(AC$1,$AB34)), 1, 0)</f>
        <v>0</v>
      </c>
      <c r="AD34" s="4">
        <f t="shared" si="198"/>
        <v>0</v>
      </c>
      <c r="AE34" s="4">
        <f t="shared" si="198"/>
        <v>0</v>
      </c>
      <c r="AF34" s="4">
        <f t="shared" si="198"/>
        <v>0</v>
      </c>
      <c r="AG34" s="4">
        <f t="shared" si="198"/>
        <v>0</v>
      </c>
      <c r="AH34" s="4">
        <f t="shared" si="198"/>
        <v>0</v>
      </c>
      <c r="AI34" s="1">
        <f t="shared" si="5"/>
        <v>0</v>
      </c>
      <c r="AJ34" s="1" t="s">
        <v>759</v>
      </c>
      <c r="AK34" s="1" t="s">
        <v>760</v>
      </c>
      <c r="AL34" s="4">
        <f t="shared" ref="AL34:AS34" si="199">IF(ISNUMBER(SEARCH(AL$1,$AK34)), 1, 0)</f>
        <v>0</v>
      </c>
      <c r="AM34" s="4">
        <f t="shared" si="199"/>
        <v>1</v>
      </c>
      <c r="AN34" s="4">
        <f t="shared" si="199"/>
        <v>0</v>
      </c>
      <c r="AO34" s="4">
        <f t="shared" si="199"/>
        <v>0</v>
      </c>
      <c r="AP34" s="4">
        <f t="shared" si="199"/>
        <v>1</v>
      </c>
      <c r="AQ34" s="4">
        <f t="shared" si="199"/>
        <v>0</v>
      </c>
      <c r="AR34" s="4">
        <f t="shared" si="199"/>
        <v>0</v>
      </c>
      <c r="AS34" s="4">
        <f t="shared" si="199"/>
        <v>1</v>
      </c>
      <c r="AU34" s="1" t="s">
        <v>47</v>
      </c>
      <c r="AV34" s="1">
        <f t="shared" si="7"/>
        <v>1</v>
      </c>
      <c r="AW34" s="1">
        <f t="shared" si="8"/>
        <v>0</v>
      </c>
      <c r="AX34" s="1">
        <f t="shared" si="9"/>
        <v>0</v>
      </c>
      <c r="AY34" s="1" t="s">
        <v>47</v>
      </c>
      <c r="AZ34" s="1" t="s">
        <v>48</v>
      </c>
      <c r="BA34" s="1" t="s">
        <v>419</v>
      </c>
      <c r="BB34" s="4">
        <f t="shared" ref="BB34:BJ34" si="200">IF(ISNUMBER(SEARCH(BB$1,$BA34)), 1, 0)</f>
        <v>0</v>
      </c>
      <c r="BC34" s="4">
        <f t="shared" si="200"/>
        <v>1</v>
      </c>
      <c r="BD34" s="4">
        <f t="shared" si="200"/>
        <v>0</v>
      </c>
      <c r="BE34" s="4">
        <f t="shared" si="200"/>
        <v>1</v>
      </c>
      <c r="BF34" s="4">
        <f t="shared" si="200"/>
        <v>0</v>
      </c>
      <c r="BG34" s="4">
        <f t="shared" si="200"/>
        <v>1</v>
      </c>
      <c r="BH34" s="4">
        <f t="shared" si="200"/>
        <v>0</v>
      </c>
      <c r="BI34" s="4">
        <f t="shared" si="200"/>
        <v>0</v>
      </c>
      <c r="BJ34" s="4">
        <f t="shared" si="200"/>
        <v>1</v>
      </c>
      <c r="BK34" s="4">
        <f t="shared" si="11"/>
        <v>4</v>
      </c>
      <c r="BO34" s="4">
        <f t="shared" ref="BO34:BU34" si="201">IF(ISNUMBER(SEARCH(BO$1,$BN34)), 1, 0)</f>
        <v>0</v>
      </c>
      <c r="BP34" s="4">
        <f t="shared" si="201"/>
        <v>0</v>
      </c>
      <c r="BQ34" s="4">
        <f t="shared" si="201"/>
        <v>0</v>
      </c>
      <c r="BR34" s="4">
        <f t="shared" si="201"/>
        <v>0</v>
      </c>
      <c r="BS34" s="4">
        <f t="shared" si="201"/>
        <v>0</v>
      </c>
      <c r="BT34" s="4">
        <f t="shared" si="201"/>
        <v>0</v>
      </c>
      <c r="BU34" s="4">
        <f t="shared" si="201"/>
        <v>0</v>
      </c>
      <c r="DC34" s="1" t="s">
        <v>180</v>
      </c>
    </row>
    <row r="35" spans="1:107" ht="15.75" customHeight="1" x14ac:dyDescent="0.25">
      <c r="A35" s="1" t="b">
        <v>1</v>
      </c>
      <c r="B35" s="3">
        <v>46152.556076388886</v>
      </c>
      <c r="C35" s="1" t="s">
        <v>293</v>
      </c>
      <c r="D35" s="1" t="s">
        <v>4</v>
      </c>
      <c r="E35" s="4">
        <f t="shared" ref="E35:K35" si="202">IF(ISNUMBER(SEARCH(E$1,$D35)), SEARCH(E$1,$D35), 0)</f>
        <v>1</v>
      </c>
      <c r="F35" s="4">
        <f t="shared" si="202"/>
        <v>0</v>
      </c>
      <c r="G35" s="4">
        <f t="shared" si="202"/>
        <v>0</v>
      </c>
      <c r="H35" s="4">
        <f t="shared" si="202"/>
        <v>0</v>
      </c>
      <c r="I35" s="4">
        <f t="shared" si="202"/>
        <v>0</v>
      </c>
      <c r="J35" s="4">
        <f t="shared" si="202"/>
        <v>0</v>
      </c>
      <c r="K35" s="4">
        <f t="shared" si="202"/>
        <v>0</v>
      </c>
      <c r="L35" s="4">
        <f t="shared" si="1"/>
        <v>1</v>
      </c>
      <c r="N35" s="1" t="s">
        <v>294</v>
      </c>
      <c r="O35" s="4">
        <f t="shared" ref="O35:T35" si="203">IF(ISNUMBER(SEARCH(O$1,$N35)), 1, 0)</f>
        <v>1</v>
      </c>
      <c r="P35" s="4">
        <f t="shared" si="203"/>
        <v>1</v>
      </c>
      <c r="Q35" s="4">
        <f t="shared" si="203"/>
        <v>0</v>
      </c>
      <c r="R35" s="4">
        <f t="shared" si="203"/>
        <v>0</v>
      </c>
      <c r="S35" s="4">
        <f t="shared" si="203"/>
        <v>0</v>
      </c>
      <c r="T35" s="4">
        <f t="shared" si="203"/>
        <v>0</v>
      </c>
      <c r="V35" s="1" t="s">
        <v>22</v>
      </c>
      <c r="W35" s="1" t="str">
        <f t="shared" si="191"/>
        <v>True</v>
      </c>
      <c r="X35" s="1" t="str">
        <f t="shared" si="191"/>
        <v>False</v>
      </c>
      <c r="Y35" s="1" t="str">
        <f t="shared" si="191"/>
        <v>False</v>
      </c>
      <c r="Z35" s="1" t="str">
        <f t="shared" si="191"/>
        <v>False</v>
      </c>
      <c r="AA35" s="1" t="str">
        <f t="shared" si="191"/>
        <v>False</v>
      </c>
      <c r="AB35" s="1" t="s">
        <v>29</v>
      </c>
      <c r="AC35" s="4">
        <f t="shared" ref="AC35:AH35" si="204">IF(ISNUMBER(SEARCH(AC$1,$AB35)), 1, 0)</f>
        <v>0</v>
      </c>
      <c r="AD35" s="4">
        <f t="shared" si="204"/>
        <v>1</v>
      </c>
      <c r="AE35" s="4">
        <f t="shared" si="204"/>
        <v>0</v>
      </c>
      <c r="AF35" s="4">
        <f t="shared" si="204"/>
        <v>0</v>
      </c>
      <c r="AG35" s="4">
        <f t="shared" si="204"/>
        <v>0</v>
      </c>
      <c r="AH35" s="4">
        <f t="shared" si="204"/>
        <v>0</v>
      </c>
      <c r="AI35" s="1">
        <f t="shared" si="5"/>
        <v>1</v>
      </c>
      <c r="AK35" s="1" t="s">
        <v>44</v>
      </c>
      <c r="AL35" s="4">
        <f t="shared" ref="AL35:AS35" si="205">IF(ISNUMBER(SEARCH(AL$1,$AK35)), 1, 0)</f>
        <v>0</v>
      </c>
      <c r="AM35" s="4">
        <f t="shared" si="205"/>
        <v>0</v>
      </c>
      <c r="AN35" s="4">
        <f t="shared" si="205"/>
        <v>0</v>
      </c>
      <c r="AO35" s="4">
        <f t="shared" si="205"/>
        <v>0</v>
      </c>
      <c r="AP35" s="4">
        <f t="shared" si="205"/>
        <v>0</v>
      </c>
      <c r="AQ35" s="4">
        <f t="shared" si="205"/>
        <v>0</v>
      </c>
      <c r="AR35" s="4">
        <f t="shared" si="205"/>
        <v>0</v>
      </c>
      <c r="AS35" s="4">
        <f t="shared" si="205"/>
        <v>1</v>
      </c>
      <c r="AU35" s="1" t="s">
        <v>47</v>
      </c>
      <c r="AV35" s="1">
        <f t="shared" si="7"/>
        <v>1</v>
      </c>
      <c r="AW35" s="1">
        <f t="shared" si="8"/>
        <v>0</v>
      </c>
      <c r="AX35" s="1">
        <f t="shared" si="9"/>
        <v>0</v>
      </c>
      <c r="AY35" s="1" t="s">
        <v>47</v>
      </c>
      <c r="AZ35" s="1" t="s">
        <v>47</v>
      </c>
      <c r="BA35" s="1" t="s">
        <v>54</v>
      </c>
      <c r="BB35" s="4">
        <f t="shared" ref="BB35:BJ35" si="206">IF(ISNUMBER(SEARCH(BB$1,$BA35)), 1, 0)</f>
        <v>0</v>
      </c>
      <c r="BC35" s="4">
        <f t="shared" si="206"/>
        <v>1</v>
      </c>
      <c r="BD35" s="4">
        <f t="shared" si="206"/>
        <v>0</v>
      </c>
      <c r="BE35" s="4">
        <f t="shared" si="206"/>
        <v>0</v>
      </c>
      <c r="BF35" s="4">
        <f t="shared" si="206"/>
        <v>0</v>
      </c>
      <c r="BG35" s="4">
        <f t="shared" si="206"/>
        <v>0</v>
      </c>
      <c r="BH35" s="4">
        <f t="shared" si="206"/>
        <v>0</v>
      </c>
      <c r="BI35" s="4">
        <f t="shared" si="206"/>
        <v>0</v>
      </c>
      <c r="BJ35" s="4">
        <f t="shared" si="206"/>
        <v>0</v>
      </c>
      <c r="BK35" s="4">
        <f t="shared" si="11"/>
        <v>1</v>
      </c>
      <c r="BO35" s="4">
        <f t="shared" ref="BO35:BU35" si="207">IF(ISNUMBER(SEARCH(BO$1,$BN35)), 1, 0)</f>
        <v>0</v>
      </c>
      <c r="BP35" s="4">
        <f t="shared" si="207"/>
        <v>0</v>
      </c>
      <c r="BQ35" s="4">
        <f t="shared" si="207"/>
        <v>0</v>
      </c>
      <c r="BR35" s="4">
        <f t="shared" si="207"/>
        <v>0</v>
      </c>
      <c r="BS35" s="4">
        <f t="shared" si="207"/>
        <v>0</v>
      </c>
      <c r="BT35" s="4">
        <f t="shared" si="207"/>
        <v>0</v>
      </c>
      <c r="BU35" s="4">
        <f t="shared" si="207"/>
        <v>0</v>
      </c>
      <c r="DC35" s="1" t="s">
        <v>180</v>
      </c>
    </row>
    <row r="36" spans="1:107" ht="15.75" customHeight="1" x14ac:dyDescent="0.25">
      <c r="A36" s="1" t="b">
        <v>1</v>
      </c>
      <c r="B36" s="3">
        <v>46165.140775462962</v>
      </c>
      <c r="C36" s="1" t="s">
        <v>579</v>
      </c>
      <c r="D36" s="1" t="s">
        <v>4</v>
      </c>
      <c r="E36" s="4">
        <f t="shared" ref="E36:K36" si="208">IF(ISNUMBER(SEARCH(E$1,$D36)), SEARCH(E$1,$D36), 0)</f>
        <v>1</v>
      </c>
      <c r="F36" s="4">
        <f t="shared" si="208"/>
        <v>0</v>
      </c>
      <c r="G36" s="4">
        <f t="shared" si="208"/>
        <v>0</v>
      </c>
      <c r="H36" s="4">
        <f t="shared" si="208"/>
        <v>0</v>
      </c>
      <c r="I36" s="4">
        <f t="shared" si="208"/>
        <v>0</v>
      </c>
      <c r="J36" s="4">
        <f t="shared" si="208"/>
        <v>0</v>
      </c>
      <c r="K36" s="4">
        <f t="shared" si="208"/>
        <v>0</v>
      </c>
      <c r="L36" s="4">
        <f t="shared" si="1"/>
        <v>1</v>
      </c>
      <c r="N36" s="1" t="s">
        <v>14</v>
      </c>
      <c r="O36" s="4">
        <f t="shared" ref="O36:T36" si="209">IF(ISNUMBER(SEARCH(O$1,$N36)), 1, 0)</f>
        <v>1</v>
      </c>
      <c r="P36" s="4">
        <f t="shared" si="209"/>
        <v>0</v>
      </c>
      <c r="Q36" s="4">
        <f t="shared" si="209"/>
        <v>0</v>
      </c>
      <c r="R36" s="4">
        <f t="shared" si="209"/>
        <v>0</v>
      </c>
      <c r="S36" s="4">
        <f t="shared" si="209"/>
        <v>0</v>
      </c>
      <c r="T36" s="4">
        <f t="shared" si="209"/>
        <v>0</v>
      </c>
      <c r="W36" s="1" t="str">
        <f t="shared" si="191"/>
        <v>False</v>
      </c>
      <c r="X36" s="1" t="str">
        <f t="shared" si="191"/>
        <v>False</v>
      </c>
      <c r="Y36" s="1" t="str">
        <f t="shared" si="191"/>
        <v>False</v>
      </c>
      <c r="Z36" s="1" t="str">
        <f t="shared" si="191"/>
        <v>False</v>
      </c>
      <c r="AA36" s="1" t="str">
        <f t="shared" si="191"/>
        <v>False</v>
      </c>
      <c r="AB36" s="1" t="s">
        <v>29</v>
      </c>
      <c r="AC36" s="4">
        <f t="shared" ref="AC36:AH36" si="210">IF(ISNUMBER(SEARCH(AC$1,$AB36)), 1, 0)</f>
        <v>0</v>
      </c>
      <c r="AD36" s="4">
        <f t="shared" si="210"/>
        <v>1</v>
      </c>
      <c r="AE36" s="4">
        <f t="shared" si="210"/>
        <v>0</v>
      </c>
      <c r="AF36" s="4">
        <f t="shared" si="210"/>
        <v>0</v>
      </c>
      <c r="AG36" s="4">
        <f t="shared" si="210"/>
        <v>0</v>
      </c>
      <c r="AH36" s="4">
        <f t="shared" si="210"/>
        <v>0</v>
      </c>
      <c r="AI36" s="1">
        <f t="shared" si="5"/>
        <v>1</v>
      </c>
      <c r="AK36" s="1" t="s">
        <v>580</v>
      </c>
      <c r="AL36" s="4">
        <f t="shared" ref="AL36:AS36" si="211">IF(ISNUMBER(SEARCH(AL$1,$AK36)), 1, 0)</f>
        <v>0</v>
      </c>
      <c r="AM36" s="4">
        <f t="shared" si="211"/>
        <v>0</v>
      </c>
      <c r="AN36" s="4">
        <f t="shared" si="211"/>
        <v>1</v>
      </c>
      <c r="AO36" s="4">
        <f t="shared" si="211"/>
        <v>0</v>
      </c>
      <c r="AP36" s="4">
        <f t="shared" si="211"/>
        <v>0</v>
      </c>
      <c r="AQ36" s="4">
        <f t="shared" si="211"/>
        <v>0</v>
      </c>
      <c r="AR36" s="4">
        <f t="shared" si="211"/>
        <v>0</v>
      </c>
      <c r="AS36" s="4">
        <f t="shared" si="211"/>
        <v>1</v>
      </c>
      <c r="AU36" s="1" t="s">
        <v>47</v>
      </c>
      <c r="AV36" s="1">
        <f t="shared" si="7"/>
        <v>1</v>
      </c>
      <c r="AW36" s="1">
        <f t="shared" si="8"/>
        <v>0</v>
      </c>
      <c r="AX36" s="1">
        <f t="shared" si="9"/>
        <v>0</v>
      </c>
      <c r="AY36" s="1" t="s">
        <v>48</v>
      </c>
      <c r="BA36" s="1" t="s">
        <v>581</v>
      </c>
      <c r="BB36" s="4">
        <f t="shared" ref="BB36:BJ36" si="212">IF(ISNUMBER(SEARCH(BB$1,$BA36)), 1, 0)</f>
        <v>0</v>
      </c>
      <c r="BC36" s="4">
        <f t="shared" si="212"/>
        <v>0</v>
      </c>
      <c r="BD36" s="4">
        <f t="shared" si="212"/>
        <v>0</v>
      </c>
      <c r="BE36" s="4">
        <f t="shared" si="212"/>
        <v>0</v>
      </c>
      <c r="BF36" s="4">
        <f t="shared" si="212"/>
        <v>0</v>
      </c>
      <c r="BG36" s="4">
        <f t="shared" si="212"/>
        <v>1</v>
      </c>
      <c r="BH36" s="4">
        <f t="shared" si="212"/>
        <v>0</v>
      </c>
      <c r="BI36" s="4">
        <f t="shared" si="212"/>
        <v>1</v>
      </c>
      <c r="BJ36" s="4">
        <f t="shared" si="212"/>
        <v>1</v>
      </c>
      <c r="BK36" s="4">
        <f t="shared" si="11"/>
        <v>3</v>
      </c>
      <c r="BM36" s="1" t="s">
        <v>232</v>
      </c>
      <c r="BN36" s="1" t="s">
        <v>386</v>
      </c>
      <c r="BO36" s="4">
        <f t="shared" ref="BO36:BU36" si="213">IF(ISNUMBER(SEARCH(BO$1,$BN36)), 1, 0)</f>
        <v>0</v>
      </c>
      <c r="BP36" s="4">
        <f t="shared" si="213"/>
        <v>1</v>
      </c>
      <c r="BQ36" s="4">
        <f t="shared" si="213"/>
        <v>0</v>
      </c>
      <c r="BR36" s="4">
        <f t="shared" si="213"/>
        <v>0</v>
      </c>
      <c r="BS36" s="4">
        <f t="shared" si="213"/>
        <v>0</v>
      </c>
      <c r="BT36" s="4">
        <f t="shared" si="213"/>
        <v>1</v>
      </c>
      <c r="BU36" s="4">
        <f t="shared" si="213"/>
        <v>0</v>
      </c>
      <c r="DC36" s="1" t="s">
        <v>238</v>
      </c>
    </row>
    <row r="37" spans="1:107" ht="15.75" customHeight="1" x14ac:dyDescent="0.25">
      <c r="A37" s="1" t="b">
        <v>1</v>
      </c>
      <c r="B37" s="3">
        <v>46164.450462962966</v>
      </c>
      <c r="C37" s="1" t="s">
        <v>473</v>
      </c>
      <c r="D37" s="1" t="s">
        <v>4</v>
      </c>
      <c r="E37" s="4">
        <f t="shared" ref="E37:K37" si="214">IF(ISNUMBER(SEARCH(E$1,$D37)), SEARCH(E$1,$D37), 0)</f>
        <v>1</v>
      </c>
      <c r="F37" s="4">
        <f t="shared" si="214"/>
        <v>0</v>
      </c>
      <c r="G37" s="4">
        <f t="shared" si="214"/>
        <v>0</v>
      </c>
      <c r="H37" s="4">
        <f t="shared" si="214"/>
        <v>0</v>
      </c>
      <c r="I37" s="4">
        <f t="shared" si="214"/>
        <v>0</v>
      </c>
      <c r="J37" s="4">
        <f t="shared" si="214"/>
        <v>0</v>
      </c>
      <c r="K37" s="4">
        <f t="shared" si="214"/>
        <v>0</v>
      </c>
      <c r="L37" s="4">
        <f t="shared" si="1"/>
        <v>1</v>
      </c>
      <c r="N37" s="1" t="s">
        <v>272</v>
      </c>
      <c r="O37" s="4">
        <f t="shared" ref="O37:T37" si="215">IF(ISNUMBER(SEARCH(O$1,$N37)), 1, 0)</f>
        <v>1</v>
      </c>
      <c r="P37" s="4">
        <f t="shared" si="215"/>
        <v>1</v>
      </c>
      <c r="Q37" s="4">
        <f t="shared" si="215"/>
        <v>1</v>
      </c>
      <c r="R37" s="4">
        <f t="shared" si="215"/>
        <v>1</v>
      </c>
      <c r="S37" s="4">
        <f t="shared" si="215"/>
        <v>1</v>
      </c>
      <c r="T37" s="4">
        <f t="shared" si="215"/>
        <v>0</v>
      </c>
      <c r="W37" s="1" t="str">
        <f t="shared" si="191"/>
        <v>False</v>
      </c>
      <c r="X37" s="1" t="str">
        <f t="shared" si="191"/>
        <v>False</v>
      </c>
      <c r="Y37" s="1" t="str">
        <f t="shared" si="191"/>
        <v>False</v>
      </c>
      <c r="Z37" s="1" t="str">
        <f t="shared" si="191"/>
        <v>False</v>
      </c>
      <c r="AA37" s="1" t="str">
        <f t="shared" si="191"/>
        <v>False</v>
      </c>
      <c r="AB37" s="1" t="s">
        <v>357</v>
      </c>
      <c r="AC37" s="4">
        <f t="shared" ref="AC37:AH37" si="216">IF(ISNUMBER(SEARCH(AC$1,$AB37)), 1, 0)</f>
        <v>1</v>
      </c>
      <c r="AD37" s="4">
        <f t="shared" si="216"/>
        <v>0</v>
      </c>
      <c r="AE37" s="4">
        <f t="shared" si="216"/>
        <v>0</v>
      </c>
      <c r="AF37" s="4">
        <f t="shared" si="216"/>
        <v>0</v>
      </c>
      <c r="AG37" s="4">
        <f t="shared" si="216"/>
        <v>0</v>
      </c>
      <c r="AH37" s="4">
        <f t="shared" si="216"/>
        <v>1</v>
      </c>
      <c r="AI37" s="1">
        <f t="shared" si="5"/>
        <v>2</v>
      </c>
      <c r="AK37" s="1" t="s">
        <v>474</v>
      </c>
      <c r="AL37" s="4">
        <f t="shared" ref="AL37:AS37" si="217">IF(ISNUMBER(SEARCH(AL$1,$AK37)), 1, 0)</f>
        <v>0</v>
      </c>
      <c r="AM37" s="4">
        <f t="shared" si="217"/>
        <v>0</v>
      </c>
      <c r="AN37" s="4">
        <f t="shared" si="217"/>
        <v>0</v>
      </c>
      <c r="AO37" s="4">
        <f t="shared" si="217"/>
        <v>1</v>
      </c>
      <c r="AP37" s="4">
        <f t="shared" si="217"/>
        <v>1</v>
      </c>
      <c r="AQ37" s="4">
        <f t="shared" si="217"/>
        <v>0</v>
      </c>
      <c r="AR37" s="4">
        <f t="shared" si="217"/>
        <v>1</v>
      </c>
      <c r="AS37" s="4">
        <f t="shared" si="217"/>
        <v>0</v>
      </c>
      <c r="AU37" s="1" t="s">
        <v>47</v>
      </c>
      <c r="AV37" s="1">
        <f t="shared" si="7"/>
        <v>1</v>
      </c>
      <c r="AW37" s="1">
        <f t="shared" si="8"/>
        <v>0</v>
      </c>
      <c r="AX37" s="1">
        <f t="shared" si="9"/>
        <v>0</v>
      </c>
      <c r="AY37" s="1" t="s">
        <v>48</v>
      </c>
      <c r="BA37" s="1" t="s">
        <v>61</v>
      </c>
      <c r="BB37" s="4">
        <f t="shared" ref="BB37:BJ37" si="218">IF(ISNUMBER(SEARCH(BB$1,$BA37)), 1, 0)</f>
        <v>0</v>
      </c>
      <c r="BC37" s="4">
        <f t="shared" si="218"/>
        <v>0</v>
      </c>
      <c r="BD37" s="4">
        <f t="shared" si="218"/>
        <v>0</v>
      </c>
      <c r="BE37" s="4">
        <f t="shared" si="218"/>
        <v>0</v>
      </c>
      <c r="BF37" s="4">
        <f t="shared" si="218"/>
        <v>0</v>
      </c>
      <c r="BG37" s="4">
        <f t="shared" si="218"/>
        <v>0</v>
      </c>
      <c r="BH37" s="4">
        <f t="shared" si="218"/>
        <v>0</v>
      </c>
      <c r="BI37" s="4">
        <f t="shared" si="218"/>
        <v>0</v>
      </c>
      <c r="BJ37" s="4">
        <f t="shared" si="218"/>
        <v>1</v>
      </c>
      <c r="BK37" s="4">
        <f t="shared" si="11"/>
        <v>1</v>
      </c>
      <c r="BM37" s="1" t="s">
        <v>232</v>
      </c>
      <c r="BN37" s="1" t="s">
        <v>475</v>
      </c>
      <c r="BO37" s="4">
        <f t="shared" ref="BO37:BU37" si="219">IF(ISNUMBER(SEARCH(BO$1,$BN37)), 1, 0)</f>
        <v>0</v>
      </c>
      <c r="BP37" s="4">
        <f t="shared" si="219"/>
        <v>0</v>
      </c>
      <c r="BQ37" s="4">
        <f t="shared" si="219"/>
        <v>0</v>
      </c>
      <c r="BR37" s="4">
        <f t="shared" si="219"/>
        <v>1</v>
      </c>
      <c r="BS37" s="4">
        <f t="shared" si="219"/>
        <v>1</v>
      </c>
      <c r="BT37" s="4">
        <f t="shared" si="219"/>
        <v>1</v>
      </c>
      <c r="BU37" s="4">
        <f t="shared" si="219"/>
        <v>1</v>
      </c>
      <c r="DC37" s="1" t="s">
        <v>180</v>
      </c>
    </row>
    <row r="38" spans="1:107" ht="15.75" customHeight="1" x14ac:dyDescent="0.25">
      <c r="A38" s="1" t="b">
        <v>1</v>
      </c>
      <c r="B38" s="3">
        <v>46166.881261574075</v>
      </c>
      <c r="C38" s="1" t="s">
        <v>654</v>
      </c>
      <c r="D38" s="1" t="s">
        <v>4</v>
      </c>
      <c r="E38" s="4">
        <f t="shared" ref="E38:K38" si="220">IF(ISNUMBER(SEARCH(E$1,$D38)), SEARCH(E$1,$D38), 0)</f>
        <v>1</v>
      </c>
      <c r="F38" s="4">
        <f t="shared" si="220"/>
        <v>0</v>
      </c>
      <c r="G38" s="4">
        <f t="shared" si="220"/>
        <v>0</v>
      </c>
      <c r="H38" s="4">
        <f t="shared" si="220"/>
        <v>0</v>
      </c>
      <c r="I38" s="4">
        <f t="shared" si="220"/>
        <v>0</v>
      </c>
      <c r="J38" s="4">
        <f t="shared" si="220"/>
        <v>0</v>
      </c>
      <c r="K38" s="4">
        <f t="shared" si="220"/>
        <v>0</v>
      </c>
      <c r="L38" s="4">
        <f t="shared" si="1"/>
        <v>1</v>
      </c>
      <c r="N38" s="1" t="s">
        <v>328</v>
      </c>
      <c r="O38" s="4">
        <f t="shared" ref="O38:T38" si="221">IF(ISNUMBER(SEARCH(O$1,$N38)), 1, 0)</f>
        <v>1</v>
      </c>
      <c r="P38" s="4">
        <f t="shared" si="221"/>
        <v>1</v>
      </c>
      <c r="Q38" s="4">
        <f t="shared" si="221"/>
        <v>1</v>
      </c>
      <c r="R38" s="4">
        <f t="shared" si="221"/>
        <v>0</v>
      </c>
      <c r="S38" s="4">
        <f t="shared" si="221"/>
        <v>0</v>
      </c>
      <c r="T38" s="4">
        <f t="shared" si="221"/>
        <v>0</v>
      </c>
      <c r="V38" s="1" t="s">
        <v>22</v>
      </c>
      <c r="W38" s="1" t="str">
        <f t="shared" si="191"/>
        <v>True</v>
      </c>
      <c r="X38" s="1" t="str">
        <f t="shared" si="191"/>
        <v>False</v>
      </c>
      <c r="Y38" s="1" t="str">
        <f t="shared" si="191"/>
        <v>False</v>
      </c>
      <c r="Z38" s="1" t="str">
        <f t="shared" si="191"/>
        <v>False</v>
      </c>
      <c r="AA38" s="1" t="str">
        <f t="shared" si="191"/>
        <v>False</v>
      </c>
      <c r="AB38" s="1" t="s">
        <v>28</v>
      </c>
      <c r="AC38" s="4">
        <f t="shared" ref="AC38:AH38" si="222">IF(ISNUMBER(SEARCH(AC$1,$AB38)), 1, 0)</f>
        <v>1</v>
      </c>
      <c r="AD38" s="4">
        <f t="shared" si="222"/>
        <v>0</v>
      </c>
      <c r="AE38" s="4">
        <f t="shared" si="222"/>
        <v>0</v>
      </c>
      <c r="AF38" s="4">
        <f t="shared" si="222"/>
        <v>0</v>
      </c>
      <c r="AG38" s="4">
        <f t="shared" si="222"/>
        <v>0</v>
      </c>
      <c r="AH38" s="4">
        <f t="shared" si="222"/>
        <v>0</v>
      </c>
      <c r="AI38" s="1">
        <f t="shared" si="5"/>
        <v>1</v>
      </c>
      <c r="AK38" s="1" t="s">
        <v>655</v>
      </c>
      <c r="AL38" s="4">
        <f t="shared" ref="AL38:AS38" si="223">IF(ISNUMBER(SEARCH(AL$1,$AK38)), 1, 0)</f>
        <v>0</v>
      </c>
      <c r="AM38" s="4">
        <f t="shared" si="223"/>
        <v>1</v>
      </c>
      <c r="AN38" s="4">
        <f t="shared" si="223"/>
        <v>1</v>
      </c>
      <c r="AO38" s="4">
        <f t="shared" si="223"/>
        <v>0</v>
      </c>
      <c r="AP38" s="4">
        <f t="shared" si="223"/>
        <v>0</v>
      </c>
      <c r="AQ38" s="4">
        <f t="shared" si="223"/>
        <v>0</v>
      </c>
      <c r="AR38" s="4">
        <f t="shared" si="223"/>
        <v>1</v>
      </c>
      <c r="AS38" s="4">
        <f t="shared" si="223"/>
        <v>0</v>
      </c>
      <c r="AU38" s="1" t="s">
        <v>47</v>
      </c>
      <c r="AV38" s="1">
        <f t="shared" si="7"/>
        <v>1</v>
      </c>
      <c r="AW38" s="1">
        <f t="shared" si="8"/>
        <v>0</v>
      </c>
      <c r="AX38" s="1">
        <f t="shared" si="9"/>
        <v>0</v>
      </c>
      <c r="AY38" s="1" t="s">
        <v>48</v>
      </c>
      <c r="BA38" s="1" t="s">
        <v>656</v>
      </c>
      <c r="BB38" s="4">
        <f t="shared" ref="BB38:BJ38" si="224">IF(ISNUMBER(SEARCH(BB$1,$BA38)), 1, 0)</f>
        <v>0</v>
      </c>
      <c r="BC38" s="4">
        <f t="shared" si="224"/>
        <v>1</v>
      </c>
      <c r="BD38" s="4">
        <f t="shared" si="224"/>
        <v>0</v>
      </c>
      <c r="BE38" s="4">
        <f t="shared" si="224"/>
        <v>0</v>
      </c>
      <c r="BF38" s="4">
        <f t="shared" si="224"/>
        <v>1</v>
      </c>
      <c r="BG38" s="4">
        <f t="shared" si="224"/>
        <v>1</v>
      </c>
      <c r="BH38" s="4">
        <f t="shared" si="224"/>
        <v>0</v>
      </c>
      <c r="BI38" s="4">
        <f t="shared" si="224"/>
        <v>0</v>
      </c>
      <c r="BJ38" s="4">
        <f t="shared" si="224"/>
        <v>1</v>
      </c>
      <c r="BK38" s="4">
        <f t="shared" si="11"/>
        <v>4</v>
      </c>
      <c r="BM38" s="1" t="s">
        <v>166</v>
      </c>
      <c r="BN38" s="1" t="s">
        <v>657</v>
      </c>
      <c r="BO38" s="4">
        <f t="shared" ref="BO38:BU38" si="225">IF(ISNUMBER(SEARCH(BO$1,$BN38)), 1, 0)</f>
        <v>1</v>
      </c>
      <c r="BP38" s="4">
        <f t="shared" si="225"/>
        <v>1</v>
      </c>
      <c r="BQ38" s="4">
        <f t="shared" si="225"/>
        <v>1</v>
      </c>
      <c r="BR38" s="4">
        <f t="shared" si="225"/>
        <v>1</v>
      </c>
      <c r="BS38" s="4">
        <f t="shared" si="225"/>
        <v>0</v>
      </c>
      <c r="BT38" s="4">
        <f t="shared" si="225"/>
        <v>0</v>
      </c>
      <c r="BU38" s="4">
        <f t="shared" si="225"/>
        <v>0</v>
      </c>
      <c r="DC38" s="1" t="s">
        <v>180</v>
      </c>
    </row>
    <row r="39" spans="1:107" ht="15.75" customHeight="1" x14ac:dyDescent="0.25">
      <c r="A39" s="1" t="b">
        <v>1</v>
      </c>
      <c r="B39" s="3">
        <v>46164.650601851848</v>
      </c>
      <c r="C39" s="1" t="s">
        <v>511</v>
      </c>
      <c r="D39" s="1" t="s">
        <v>4</v>
      </c>
      <c r="E39" s="4">
        <f t="shared" ref="E39:K39" si="226">IF(ISNUMBER(SEARCH(E$1,$D39)), SEARCH(E$1,$D39), 0)</f>
        <v>1</v>
      </c>
      <c r="F39" s="4">
        <f t="shared" si="226"/>
        <v>0</v>
      </c>
      <c r="G39" s="4">
        <f t="shared" si="226"/>
        <v>0</v>
      </c>
      <c r="H39" s="4">
        <f t="shared" si="226"/>
        <v>0</v>
      </c>
      <c r="I39" s="4">
        <f t="shared" si="226"/>
        <v>0</v>
      </c>
      <c r="J39" s="4">
        <f t="shared" si="226"/>
        <v>0</v>
      </c>
      <c r="K39" s="4">
        <f t="shared" si="226"/>
        <v>0</v>
      </c>
      <c r="L39" s="4">
        <f t="shared" si="1"/>
        <v>1</v>
      </c>
      <c r="N39" s="1" t="s">
        <v>240</v>
      </c>
      <c r="O39" s="4">
        <f t="shared" ref="O39:T39" si="227">IF(ISNUMBER(SEARCH(O$1,$N39)), 1, 0)</f>
        <v>1</v>
      </c>
      <c r="P39" s="4">
        <f t="shared" si="227"/>
        <v>1</v>
      </c>
      <c r="Q39" s="4">
        <f t="shared" si="227"/>
        <v>1</v>
      </c>
      <c r="R39" s="4">
        <f t="shared" si="227"/>
        <v>1</v>
      </c>
      <c r="S39" s="4">
        <f t="shared" si="227"/>
        <v>0</v>
      </c>
      <c r="T39" s="4">
        <f t="shared" si="227"/>
        <v>0</v>
      </c>
      <c r="W39" s="1" t="str">
        <f t="shared" si="191"/>
        <v>False</v>
      </c>
      <c r="X39" s="1" t="str">
        <f t="shared" si="191"/>
        <v>False</v>
      </c>
      <c r="Y39" s="1" t="str">
        <f t="shared" si="191"/>
        <v>False</v>
      </c>
      <c r="Z39" s="1" t="str">
        <f t="shared" si="191"/>
        <v>False</v>
      </c>
      <c r="AA39" s="1" t="str">
        <f t="shared" si="191"/>
        <v>False</v>
      </c>
      <c r="AB39" s="1" t="s">
        <v>33</v>
      </c>
      <c r="AC39" s="4">
        <f t="shared" ref="AC39:AH39" si="228">IF(ISNUMBER(SEARCH(AC$1,$AB39)), 1, 0)</f>
        <v>0</v>
      </c>
      <c r="AD39" s="4">
        <f t="shared" si="228"/>
        <v>0</v>
      </c>
      <c r="AE39" s="4">
        <f t="shared" si="228"/>
        <v>0</v>
      </c>
      <c r="AF39" s="4">
        <f t="shared" si="228"/>
        <v>0</v>
      </c>
      <c r="AG39" s="4">
        <f t="shared" si="228"/>
        <v>0</v>
      </c>
      <c r="AH39" s="4">
        <f t="shared" si="228"/>
        <v>1</v>
      </c>
      <c r="AI39" s="1">
        <f t="shared" si="5"/>
        <v>1</v>
      </c>
      <c r="AK39" s="1" t="s">
        <v>410</v>
      </c>
      <c r="AL39" s="4">
        <f t="shared" ref="AL39:AS39" si="229">IF(ISNUMBER(SEARCH(AL$1,$AK39)), 1, 0)</f>
        <v>1</v>
      </c>
      <c r="AM39" s="4">
        <f t="shared" si="229"/>
        <v>0</v>
      </c>
      <c r="AN39" s="4">
        <f t="shared" si="229"/>
        <v>1</v>
      </c>
      <c r="AO39" s="4">
        <f t="shared" si="229"/>
        <v>1</v>
      </c>
      <c r="AP39" s="4">
        <f t="shared" si="229"/>
        <v>0</v>
      </c>
      <c r="AQ39" s="4">
        <f t="shared" si="229"/>
        <v>0</v>
      </c>
      <c r="AR39" s="4">
        <f t="shared" si="229"/>
        <v>0</v>
      </c>
      <c r="AS39" s="4">
        <f t="shared" si="229"/>
        <v>0</v>
      </c>
      <c r="AU39" s="1" t="s">
        <v>47</v>
      </c>
      <c r="AV39" s="1">
        <f t="shared" si="7"/>
        <v>1</v>
      </c>
      <c r="AW39" s="1">
        <f t="shared" si="8"/>
        <v>0</v>
      </c>
      <c r="AX39" s="1">
        <f t="shared" si="9"/>
        <v>0</v>
      </c>
      <c r="AY39" s="1" t="s">
        <v>48</v>
      </c>
      <c r="BA39" s="1" t="s">
        <v>231</v>
      </c>
      <c r="BB39" s="4">
        <f t="shared" ref="BB39:BJ39" si="230">IF(ISNUMBER(SEARCH(BB$1,$BA39)), 1, 0)</f>
        <v>1</v>
      </c>
      <c r="BC39" s="4">
        <f t="shared" si="230"/>
        <v>1</v>
      </c>
      <c r="BD39" s="4">
        <f t="shared" si="230"/>
        <v>1</v>
      </c>
      <c r="BE39" s="4">
        <f t="shared" si="230"/>
        <v>1</v>
      </c>
      <c r="BF39" s="4">
        <f t="shared" si="230"/>
        <v>1</v>
      </c>
      <c r="BG39" s="4">
        <f t="shared" si="230"/>
        <v>1</v>
      </c>
      <c r="BH39" s="4">
        <f t="shared" si="230"/>
        <v>0</v>
      </c>
      <c r="BI39" s="4">
        <f t="shared" si="230"/>
        <v>0</v>
      </c>
      <c r="BJ39" s="4">
        <f t="shared" si="230"/>
        <v>1</v>
      </c>
      <c r="BK39" s="4">
        <f t="shared" si="11"/>
        <v>7</v>
      </c>
      <c r="BM39" s="1" t="s">
        <v>166</v>
      </c>
      <c r="BN39" s="1" t="s">
        <v>72</v>
      </c>
      <c r="BO39" s="4">
        <f t="shared" ref="BO39:BU39" si="231">IF(ISNUMBER(SEARCH(BO$1,$BN39)), 1, 0)</f>
        <v>0</v>
      </c>
      <c r="BP39" s="4">
        <f t="shared" si="231"/>
        <v>0</v>
      </c>
      <c r="BQ39" s="4">
        <f t="shared" si="231"/>
        <v>0</v>
      </c>
      <c r="BR39" s="4">
        <f t="shared" si="231"/>
        <v>0</v>
      </c>
      <c r="BS39" s="4">
        <f t="shared" si="231"/>
        <v>0</v>
      </c>
      <c r="BT39" s="4">
        <f t="shared" si="231"/>
        <v>0</v>
      </c>
      <c r="BU39" s="4">
        <f t="shared" si="231"/>
        <v>1</v>
      </c>
      <c r="DC39" s="1" t="s">
        <v>180</v>
      </c>
    </row>
    <row r="40" spans="1:107" ht="15.75" customHeight="1" x14ac:dyDescent="0.25">
      <c r="A40" s="1" t="b">
        <v>1</v>
      </c>
      <c r="B40" s="3">
        <v>46151.224618055552</v>
      </c>
      <c r="C40" s="1" t="s">
        <v>239</v>
      </c>
      <c r="D40" s="1" t="s">
        <v>4</v>
      </c>
      <c r="E40" s="4">
        <f t="shared" ref="E40:K40" si="232">IF(ISNUMBER(SEARCH(E$1,$D40)), SEARCH(E$1,$D40), 0)</f>
        <v>1</v>
      </c>
      <c r="F40" s="4">
        <f t="shared" si="232"/>
        <v>0</v>
      </c>
      <c r="G40" s="4">
        <f t="shared" si="232"/>
        <v>0</v>
      </c>
      <c r="H40" s="4">
        <f t="shared" si="232"/>
        <v>0</v>
      </c>
      <c r="I40" s="4">
        <f t="shared" si="232"/>
        <v>0</v>
      </c>
      <c r="J40" s="4">
        <f t="shared" si="232"/>
        <v>0</v>
      </c>
      <c r="K40" s="4">
        <f t="shared" si="232"/>
        <v>0</v>
      </c>
      <c r="L40" s="4">
        <f t="shared" si="1"/>
        <v>1</v>
      </c>
      <c r="N40" s="1" t="s">
        <v>240</v>
      </c>
      <c r="O40" s="4">
        <f t="shared" ref="O40:T40" si="233">IF(ISNUMBER(SEARCH(O$1,$N40)), 1, 0)</f>
        <v>1</v>
      </c>
      <c r="P40" s="4">
        <f t="shared" si="233"/>
        <v>1</v>
      </c>
      <c r="Q40" s="4">
        <f t="shared" si="233"/>
        <v>1</v>
      </c>
      <c r="R40" s="4">
        <f t="shared" si="233"/>
        <v>1</v>
      </c>
      <c r="S40" s="4">
        <f t="shared" si="233"/>
        <v>0</v>
      </c>
      <c r="T40" s="4">
        <f t="shared" si="233"/>
        <v>0</v>
      </c>
      <c r="W40" s="1" t="str">
        <f t="shared" si="191"/>
        <v>False</v>
      </c>
      <c r="X40" s="1" t="str">
        <f t="shared" si="191"/>
        <v>False</v>
      </c>
      <c r="Y40" s="1" t="str">
        <f t="shared" si="191"/>
        <v>False</v>
      </c>
      <c r="Z40" s="1" t="str">
        <f t="shared" si="191"/>
        <v>False</v>
      </c>
      <c r="AA40" s="1" t="str">
        <f t="shared" si="191"/>
        <v>False</v>
      </c>
      <c r="AB40" s="1" t="s">
        <v>28</v>
      </c>
      <c r="AC40" s="4">
        <f t="shared" ref="AC40:AH40" si="234">IF(ISNUMBER(SEARCH(AC$1,$AB40)), 1, 0)</f>
        <v>1</v>
      </c>
      <c r="AD40" s="4">
        <f t="shared" si="234"/>
        <v>0</v>
      </c>
      <c r="AE40" s="4">
        <f t="shared" si="234"/>
        <v>0</v>
      </c>
      <c r="AF40" s="4">
        <f t="shared" si="234"/>
        <v>0</v>
      </c>
      <c r="AG40" s="4">
        <f t="shared" si="234"/>
        <v>0</v>
      </c>
      <c r="AH40" s="4">
        <f t="shared" si="234"/>
        <v>0</v>
      </c>
      <c r="AI40" s="1">
        <f t="shared" si="5"/>
        <v>1</v>
      </c>
      <c r="AK40" s="1" t="s">
        <v>241</v>
      </c>
      <c r="AL40" s="4">
        <f t="shared" ref="AL40:AS40" si="235">IF(ISNUMBER(SEARCH(AL$1,$AK40)), 1, 0)</f>
        <v>1</v>
      </c>
      <c r="AM40" s="4">
        <f t="shared" si="235"/>
        <v>1</v>
      </c>
      <c r="AN40" s="4">
        <f t="shared" si="235"/>
        <v>0</v>
      </c>
      <c r="AO40" s="4">
        <f t="shared" si="235"/>
        <v>1</v>
      </c>
      <c r="AP40" s="4">
        <f t="shared" si="235"/>
        <v>1</v>
      </c>
      <c r="AQ40" s="4">
        <f t="shared" si="235"/>
        <v>0</v>
      </c>
      <c r="AR40" s="4">
        <f t="shared" si="235"/>
        <v>0</v>
      </c>
      <c r="AS40" s="4">
        <f t="shared" si="235"/>
        <v>0</v>
      </c>
      <c r="AU40" s="1" t="s">
        <v>49</v>
      </c>
      <c r="AV40" s="1">
        <f t="shared" si="7"/>
        <v>0</v>
      </c>
      <c r="AW40" s="1">
        <f t="shared" si="8"/>
        <v>0</v>
      </c>
      <c r="AX40" s="1">
        <f t="shared" si="9"/>
        <v>1</v>
      </c>
      <c r="AY40" s="1" t="s">
        <v>48</v>
      </c>
      <c r="BA40" s="1" t="s">
        <v>61</v>
      </c>
      <c r="BB40" s="4">
        <f t="shared" ref="BB40:BJ40" si="236">IF(ISNUMBER(SEARCH(BB$1,$BA40)), 1, 0)</f>
        <v>0</v>
      </c>
      <c r="BC40" s="4">
        <f t="shared" si="236"/>
        <v>0</v>
      </c>
      <c r="BD40" s="4">
        <f t="shared" si="236"/>
        <v>0</v>
      </c>
      <c r="BE40" s="4">
        <f t="shared" si="236"/>
        <v>0</v>
      </c>
      <c r="BF40" s="4">
        <f t="shared" si="236"/>
        <v>0</v>
      </c>
      <c r="BG40" s="4">
        <f t="shared" si="236"/>
        <v>0</v>
      </c>
      <c r="BH40" s="4">
        <f t="shared" si="236"/>
        <v>0</v>
      </c>
      <c r="BI40" s="4">
        <f t="shared" si="236"/>
        <v>0</v>
      </c>
      <c r="BJ40" s="4">
        <f t="shared" si="236"/>
        <v>1</v>
      </c>
      <c r="BK40" s="4">
        <f t="shared" si="11"/>
        <v>1</v>
      </c>
      <c r="BM40" s="1" t="s">
        <v>166</v>
      </c>
      <c r="BN40" s="1" t="s">
        <v>72</v>
      </c>
      <c r="BO40" s="4">
        <f t="shared" ref="BO40:BU40" si="237">IF(ISNUMBER(SEARCH(BO$1,$BN40)), 1, 0)</f>
        <v>0</v>
      </c>
      <c r="BP40" s="4">
        <f t="shared" si="237"/>
        <v>0</v>
      </c>
      <c r="BQ40" s="4">
        <f t="shared" si="237"/>
        <v>0</v>
      </c>
      <c r="BR40" s="4">
        <f t="shared" si="237"/>
        <v>0</v>
      </c>
      <c r="BS40" s="4">
        <f t="shared" si="237"/>
        <v>0</v>
      </c>
      <c r="BT40" s="4">
        <f t="shared" si="237"/>
        <v>0</v>
      </c>
      <c r="BU40" s="4">
        <f t="shared" si="237"/>
        <v>1</v>
      </c>
    </row>
    <row r="41" spans="1:107" ht="15.75" customHeight="1" x14ac:dyDescent="0.25">
      <c r="A41" s="1" t="b">
        <v>1</v>
      </c>
      <c r="B41" s="3">
        <v>46161.002569444441</v>
      </c>
      <c r="C41" s="1" t="s">
        <v>421</v>
      </c>
      <c r="D41" s="1" t="s">
        <v>4</v>
      </c>
      <c r="E41" s="4">
        <f t="shared" ref="E41:K41" si="238">IF(ISNUMBER(SEARCH(E$1,$D41)), SEARCH(E$1,$D41), 0)</f>
        <v>1</v>
      </c>
      <c r="F41" s="4">
        <f t="shared" si="238"/>
        <v>0</v>
      </c>
      <c r="G41" s="4">
        <f t="shared" si="238"/>
        <v>0</v>
      </c>
      <c r="H41" s="4">
        <f t="shared" si="238"/>
        <v>0</v>
      </c>
      <c r="I41" s="4">
        <f t="shared" si="238"/>
        <v>0</v>
      </c>
      <c r="J41" s="4">
        <f t="shared" si="238"/>
        <v>0</v>
      </c>
      <c r="K41" s="4">
        <f t="shared" si="238"/>
        <v>0</v>
      </c>
      <c r="L41" s="4">
        <f t="shared" si="1"/>
        <v>1</v>
      </c>
      <c r="N41" s="1" t="s">
        <v>272</v>
      </c>
      <c r="O41" s="4">
        <f t="shared" ref="O41:T41" si="239">IF(ISNUMBER(SEARCH(O$1,$N41)), 1, 0)</f>
        <v>1</v>
      </c>
      <c r="P41" s="4">
        <f t="shared" si="239"/>
        <v>1</v>
      </c>
      <c r="Q41" s="4">
        <f t="shared" si="239"/>
        <v>1</v>
      </c>
      <c r="R41" s="4">
        <f t="shared" si="239"/>
        <v>1</v>
      </c>
      <c r="S41" s="4">
        <f t="shared" si="239"/>
        <v>1</v>
      </c>
      <c r="T41" s="4">
        <f t="shared" si="239"/>
        <v>0</v>
      </c>
      <c r="V41" s="1" t="s">
        <v>26</v>
      </c>
      <c r="W41" s="1" t="str">
        <f t="shared" si="191"/>
        <v>False</v>
      </c>
      <c r="X41" s="1" t="str">
        <f t="shared" si="191"/>
        <v>False</v>
      </c>
      <c r="Y41" s="1" t="str">
        <f t="shared" si="191"/>
        <v>False</v>
      </c>
      <c r="Z41" s="1" t="str">
        <f t="shared" si="191"/>
        <v>False</v>
      </c>
      <c r="AA41" s="1" t="str">
        <f t="shared" si="191"/>
        <v>True</v>
      </c>
      <c r="AB41" s="1" t="s">
        <v>28</v>
      </c>
      <c r="AC41" s="4">
        <f t="shared" ref="AC41:AH41" si="240">IF(ISNUMBER(SEARCH(AC$1,$AB41)), 1, 0)</f>
        <v>1</v>
      </c>
      <c r="AD41" s="4">
        <f t="shared" si="240"/>
        <v>0</v>
      </c>
      <c r="AE41" s="4">
        <f t="shared" si="240"/>
        <v>0</v>
      </c>
      <c r="AF41" s="4">
        <f t="shared" si="240"/>
        <v>0</v>
      </c>
      <c r="AG41" s="4">
        <f t="shared" si="240"/>
        <v>0</v>
      </c>
      <c r="AH41" s="4">
        <f t="shared" si="240"/>
        <v>0</v>
      </c>
      <c r="AI41" s="1">
        <f t="shared" si="5"/>
        <v>1</v>
      </c>
      <c r="AK41" s="1" t="s">
        <v>259</v>
      </c>
      <c r="AL41" s="4">
        <f t="shared" ref="AL41:AS41" si="241">IF(ISNUMBER(SEARCH(AL$1,$AK41)), 1, 0)</f>
        <v>1</v>
      </c>
      <c r="AM41" s="4">
        <f t="shared" si="241"/>
        <v>1</v>
      </c>
      <c r="AN41" s="4">
        <f t="shared" si="241"/>
        <v>0</v>
      </c>
      <c r="AO41" s="4">
        <f t="shared" si="241"/>
        <v>1</v>
      </c>
      <c r="AP41" s="4">
        <f t="shared" si="241"/>
        <v>0</v>
      </c>
      <c r="AQ41" s="4">
        <f t="shared" si="241"/>
        <v>0</v>
      </c>
      <c r="AR41" s="4">
        <f t="shared" si="241"/>
        <v>0</v>
      </c>
      <c r="AS41" s="4">
        <f t="shared" si="241"/>
        <v>0</v>
      </c>
      <c r="AU41" s="1" t="s">
        <v>47</v>
      </c>
      <c r="AV41" s="1">
        <f t="shared" si="7"/>
        <v>1</v>
      </c>
      <c r="AW41" s="1">
        <f t="shared" si="8"/>
        <v>0</v>
      </c>
      <c r="AX41" s="1">
        <f t="shared" si="9"/>
        <v>0</v>
      </c>
      <c r="AY41" s="1" t="s">
        <v>48</v>
      </c>
      <c r="BA41" s="1" t="s">
        <v>325</v>
      </c>
      <c r="BB41" s="4">
        <f t="shared" ref="BB41:BJ41" si="242">IF(ISNUMBER(SEARCH(BB$1,$BA41)), 1, 0)</f>
        <v>1</v>
      </c>
      <c r="BC41" s="4">
        <f t="shared" si="242"/>
        <v>1</v>
      </c>
      <c r="BD41" s="4">
        <f t="shared" si="242"/>
        <v>1</v>
      </c>
      <c r="BE41" s="4">
        <f t="shared" si="242"/>
        <v>0</v>
      </c>
      <c r="BF41" s="4">
        <f t="shared" si="242"/>
        <v>1</v>
      </c>
      <c r="BG41" s="4">
        <f t="shared" si="242"/>
        <v>0</v>
      </c>
      <c r="BH41" s="4">
        <f t="shared" si="242"/>
        <v>0</v>
      </c>
      <c r="BI41" s="4">
        <f t="shared" si="242"/>
        <v>0</v>
      </c>
      <c r="BJ41" s="4">
        <f t="shared" si="242"/>
        <v>1</v>
      </c>
      <c r="BK41" s="4">
        <f t="shared" si="11"/>
        <v>5</v>
      </c>
      <c r="BM41" s="1" t="s">
        <v>190</v>
      </c>
      <c r="BN41" s="1" t="s">
        <v>72</v>
      </c>
      <c r="BO41" s="4">
        <f t="shared" ref="BO41:BU41" si="243">IF(ISNUMBER(SEARCH(BO$1,$BN41)), 1, 0)</f>
        <v>0</v>
      </c>
      <c r="BP41" s="4">
        <f t="shared" si="243"/>
        <v>0</v>
      </c>
      <c r="BQ41" s="4">
        <f t="shared" si="243"/>
        <v>0</v>
      </c>
      <c r="BR41" s="4">
        <f t="shared" si="243"/>
        <v>0</v>
      </c>
      <c r="BS41" s="4">
        <f t="shared" si="243"/>
        <v>0</v>
      </c>
      <c r="BT41" s="4">
        <f t="shared" si="243"/>
        <v>0</v>
      </c>
      <c r="BU41" s="4">
        <f t="shared" si="243"/>
        <v>1</v>
      </c>
      <c r="DC41" s="1" t="s">
        <v>180</v>
      </c>
    </row>
    <row r="42" spans="1:107" ht="15.75" customHeight="1" x14ac:dyDescent="0.25">
      <c r="A42" s="1" t="b">
        <v>1</v>
      </c>
      <c r="B42" s="3">
        <v>46162.70171296296</v>
      </c>
      <c r="C42" s="1" t="s">
        <v>452</v>
      </c>
      <c r="D42" s="1" t="s">
        <v>4</v>
      </c>
      <c r="E42" s="4">
        <f t="shared" ref="E42:K42" si="244">IF(ISNUMBER(SEARCH(E$1,$D42)), SEARCH(E$1,$D42), 0)</f>
        <v>1</v>
      </c>
      <c r="F42" s="4">
        <f t="shared" si="244"/>
        <v>0</v>
      </c>
      <c r="G42" s="4">
        <f t="shared" si="244"/>
        <v>0</v>
      </c>
      <c r="H42" s="4">
        <f t="shared" si="244"/>
        <v>0</v>
      </c>
      <c r="I42" s="4">
        <f t="shared" si="244"/>
        <v>0</v>
      </c>
      <c r="J42" s="4">
        <f t="shared" si="244"/>
        <v>0</v>
      </c>
      <c r="K42" s="4">
        <f t="shared" si="244"/>
        <v>0</v>
      </c>
      <c r="L42" s="4">
        <f t="shared" si="1"/>
        <v>1</v>
      </c>
      <c r="N42" s="1" t="s">
        <v>208</v>
      </c>
      <c r="O42" s="4">
        <f t="shared" ref="O42:T42" si="245">IF(ISNUMBER(SEARCH(O$1,$N42)), 1, 0)</f>
        <v>1</v>
      </c>
      <c r="P42" s="4">
        <f t="shared" si="245"/>
        <v>1</v>
      </c>
      <c r="Q42" s="4">
        <f t="shared" si="245"/>
        <v>0</v>
      </c>
      <c r="R42" s="4">
        <f t="shared" si="245"/>
        <v>1</v>
      </c>
      <c r="S42" s="4">
        <f t="shared" si="245"/>
        <v>0</v>
      </c>
      <c r="T42" s="4">
        <f t="shared" si="245"/>
        <v>0</v>
      </c>
      <c r="V42" s="1" t="s">
        <v>23</v>
      </c>
      <c r="W42" s="1" t="str">
        <f t="shared" si="191"/>
        <v>False</v>
      </c>
      <c r="X42" s="1" t="str">
        <f t="shared" si="191"/>
        <v>True</v>
      </c>
      <c r="Y42" s="1" t="str">
        <f t="shared" si="191"/>
        <v>False</v>
      </c>
      <c r="Z42" s="1" t="str">
        <f t="shared" si="191"/>
        <v>False</v>
      </c>
      <c r="AA42" s="1" t="str">
        <f t="shared" si="191"/>
        <v>False</v>
      </c>
      <c r="AB42" s="1" t="s">
        <v>33</v>
      </c>
      <c r="AC42" s="4">
        <f t="shared" ref="AC42:AH42" si="246">IF(ISNUMBER(SEARCH(AC$1,$AB42)), 1, 0)</f>
        <v>0</v>
      </c>
      <c r="AD42" s="4">
        <f t="shared" si="246"/>
        <v>0</v>
      </c>
      <c r="AE42" s="4">
        <f t="shared" si="246"/>
        <v>0</v>
      </c>
      <c r="AF42" s="4">
        <f t="shared" si="246"/>
        <v>0</v>
      </c>
      <c r="AG42" s="4">
        <f t="shared" si="246"/>
        <v>0</v>
      </c>
      <c r="AH42" s="4">
        <f t="shared" si="246"/>
        <v>1</v>
      </c>
      <c r="AI42" s="1">
        <f t="shared" si="5"/>
        <v>1</v>
      </c>
      <c r="AK42" s="1" t="s">
        <v>453</v>
      </c>
      <c r="AL42" s="4">
        <f t="shared" ref="AL42:AS42" si="247">IF(ISNUMBER(SEARCH(AL$1,$AK42)), 1, 0)</f>
        <v>0</v>
      </c>
      <c r="AM42" s="4">
        <f t="shared" si="247"/>
        <v>1</v>
      </c>
      <c r="AN42" s="4">
        <f t="shared" si="247"/>
        <v>1</v>
      </c>
      <c r="AO42" s="4">
        <f t="shared" si="247"/>
        <v>0</v>
      </c>
      <c r="AP42" s="4">
        <f t="shared" si="247"/>
        <v>0</v>
      </c>
      <c r="AQ42" s="4">
        <f t="shared" si="247"/>
        <v>0</v>
      </c>
      <c r="AR42" s="4">
        <f t="shared" si="247"/>
        <v>0</v>
      </c>
      <c r="AS42" s="4">
        <f t="shared" si="247"/>
        <v>0</v>
      </c>
      <c r="AU42" s="1" t="s">
        <v>47</v>
      </c>
      <c r="AV42" s="1">
        <f t="shared" si="7"/>
        <v>1</v>
      </c>
      <c r="AW42" s="1">
        <f t="shared" si="8"/>
        <v>0</v>
      </c>
      <c r="AX42" s="1">
        <f t="shared" si="9"/>
        <v>0</v>
      </c>
      <c r="AY42" s="1" t="s">
        <v>48</v>
      </c>
      <c r="BA42" s="1" t="s">
        <v>454</v>
      </c>
      <c r="BB42" s="4">
        <f t="shared" ref="BB42:BJ42" si="248">IF(ISNUMBER(SEARCH(BB$1,$BA42)), 1, 0)</f>
        <v>0</v>
      </c>
      <c r="BC42" s="4">
        <f t="shared" si="248"/>
        <v>0</v>
      </c>
      <c r="BD42" s="4">
        <f t="shared" si="248"/>
        <v>1</v>
      </c>
      <c r="BE42" s="4">
        <f t="shared" si="248"/>
        <v>0</v>
      </c>
      <c r="BF42" s="4">
        <f t="shared" si="248"/>
        <v>1</v>
      </c>
      <c r="BG42" s="4">
        <f t="shared" si="248"/>
        <v>0</v>
      </c>
      <c r="BH42" s="4">
        <f t="shared" si="248"/>
        <v>0</v>
      </c>
      <c r="BI42" s="4">
        <f t="shared" si="248"/>
        <v>0</v>
      </c>
      <c r="BJ42" s="4">
        <f t="shared" si="248"/>
        <v>1</v>
      </c>
      <c r="BK42" s="4">
        <f t="shared" si="11"/>
        <v>3</v>
      </c>
      <c r="BM42" s="1" t="s">
        <v>232</v>
      </c>
      <c r="BN42" s="1" t="s">
        <v>70</v>
      </c>
      <c r="BO42" s="4">
        <f t="shared" ref="BO42:BU42" si="249">IF(ISNUMBER(SEARCH(BO$1,$BN42)), 1, 0)</f>
        <v>0</v>
      </c>
      <c r="BP42" s="4">
        <f t="shared" si="249"/>
        <v>0</v>
      </c>
      <c r="BQ42" s="4">
        <f t="shared" si="249"/>
        <v>0</v>
      </c>
      <c r="BR42" s="4">
        <f t="shared" si="249"/>
        <v>0</v>
      </c>
      <c r="BS42" s="4">
        <f t="shared" si="249"/>
        <v>1</v>
      </c>
      <c r="BT42" s="4">
        <f t="shared" si="249"/>
        <v>0</v>
      </c>
      <c r="BU42" s="4">
        <f t="shared" si="249"/>
        <v>0</v>
      </c>
      <c r="DC42" s="1" t="s">
        <v>180</v>
      </c>
    </row>
    <row r="43" spans="1:107" ht="15.75" customHeight="1" x14ac:dyDescent="0.25">
      <c r="A43" s="1" t="b">
        <v>1</v>
      </c>
      <c r="B43" s="3">
        <v>46164.705891203703</v>
      </c>
      <c r="C43" s="1" t="s">
        <v>535</v>
      </c>
      <c r="D43" s="1" t="s">
        <v>4</v>
      </c>
      <c r="E43" s="4">
        <f t="shared" ref="E43:K43" si="250">IF(ISNUMBER(SEARCH(E$1,$D43)), SEARCH(E$1,$D43), 0)</f>
        <v>1</v>
      </c>
      <c r="F43" s="4">
        <f t="shared" si="250"/>
        <v>0</v>
      </c>
      <c r="G43" s="4">
        <f t="shared" si="250"/>
        <v>0</v>
      </c>
      <c r="H43" s="4">
        <f t="shared" si="250"/>
        <v>0</v>
      </c>
      <c r="I43" s="4">
        <f t="shared" si="250"/>
        <v>0</v>
      </c>
      <c r="J43" s="4">
        <f t="shared" si="250"/>
        <v>0</v>
      </c>
      <c r="K43" s="4">
        <f t="shared" si="250"/>
        <v>0</v>
      </c>
      <c r="L43" s="4">
        <f t="shared" si="1"/>
        <v>1</v>
      </c>
      <c r="N43" s="1" t="s">
        <v>14</v>
      </c>
      <c r="O43" s="4">
        <f t="shared" ref="O43:T43" si="251">IF(ISNUMBER(SEARCH(O$1,$N43)), 1, 0)</f>
        <v>1</v>
      </c>
      <c r="P43" s="4">
        <f t="shared" si="251"/>
        <v>0</v>
      </c>
      <c r="Q43" s="4">
        <f t="shared" si="251"/>
        <v>0</v>
      </c>
      <c r="R43" s="4">
        <f t="shared" si="251"/>
        <v>0</v>
      </c>
      <c r="S43" s="4">
        <f t="shared" si="251"/>
        <v>0</v>
      </c>
      <c r="T43" s="4">
        <f t="shared" si="251"/>
        <v>0</v>
      </c>
      <c r="W43" s="1" t="str">
        <f t="shared" ref="W43:AA52" si="252">IF(W$1=$V43, "True", "False")</f>
        <v>False</v>
      </c>
      <c r="X43" s="1" t="str">
        <f t="shared" si="252"/>
        <v>False</v>
      </c>
      <c r="Y43" s="1" t="str">
        <f t="shared" si="252"/>
        <v>False</v>
      </c>
      <c r="Z43" s="1" t="str">
        <f t="shared" si="252"/>
        <v>False</v>
      </c>
      <c r="AA43" s="1" t="str">
        <f t="shared" si="252"/>
        <v>False</v>
      </c>
      <c r="AB43" s="1" t="s">
        <v>33</v>
      </c>
      <c r="AC43" s="4">
        <f t="shared" ref="AC43:AH43" si="253">IF(ISNUMBER(SEARCH(AC$1,$AB43)), 1, 0)</f>
        <v>0</v>
      </c>
      <c r="AD43" s="4">
        <f t="shared" si="253"/>
        <v>0</v>
      </c>
      <c r="AE43" s="4">
        <f t="shared" si="253"/>
        <v>0</v>
      </c>
      <c r="AF43" s="4">
        <f t="shared" si="253"/>
        <v>0</v>
      </c>
      <c r="AG43" s="4">
        <f t="shared" si="253"/>
        <v>0</v>
      </c>
      <c r="AH43" s="4">
        <f t="shared" si="253"/>
        <v>1</v>
      </c>
      <c r="AI43" s="1">
        <f t="shared" si="5"/>
        <v>1</v>
      </c>
      <c r="AK43" s="1" t="s">
        <v>38</v>
      </c>
      <c r="AL43" s="4">
        <f t="shared" ref="AL43:AS43" si="254">IF(ISNUMBER(SEARCH(AL$1,$AK43)), 1, 0)</f>
        <v>0</v>
      </c>
      <c r="AM43" s="4">
        <f t="shared" si="254"/>
        <v>1</v>
      </c>
      <c r="AN43" s="4">
        <f t="shared" si="254"/>
        <v>0</v>
      </c>
      <c r="AO43" s="4">
        <f t="shared" si="254"/>
        <v>0</v>
      </c>
      <c r="AP43" s="4">
        <f t="shared" si="254"/>
        <v>0</v>
      </c>
      <c r="AQ43" s="4">
        <f t="shared" si="254"/>
        <v>0</v>
      </c>
      <c r="AR43" s="4">
        <f t="shared" si="254"/>
        <v>0</v>
      </c>
      <c r="AS43" s="4">
        <f t="shared" si="254"/>
        <v>0</v>
      </c>
      <c r="AU43" s="1" t="s">
        <v>47</v>
      </c>
      <c r="AV43" s="1">
        <f t="shared" si="7"/>
        <v>1</v>
      </c>
      <c r="AW43" s="1">
        <f t="shared" si="8"/>
        <v>0</v>
      </c>
      <c r="AX43" s="1">
        <f t="shared" si="9"/>
        <v>0</v>
      </c>
      <c r="AY43" s="1" t="s">
        <v>48</v>
      </c>
      <c r="BA43" s="1" t="s">
        <v>61</v>
      </c>
      <c r="BB43" s="4">
        <f t="shared" ref="BB43:BJ43" si="255">IF(ISNUMBER(SEARCH(BB$1,$BA43)), 1, 0)</f>
        <v>0</v>
      </c>
      <c r="BC43" s="4">
        <f t="shared" si="255"/>
        <v>0</v>
      </c>
      <c r="BD43" s="4">
        <f t="shared" si="255"/>
        <v>0</v>
      </c>
      <c r="BE43" s="4">
        <f t="shared" si="255"/>
        <v>0</v>
      </c>
      <c r="BF43" s="4">
        <f t="shared" si="255"/>
        <v>0</v>
      </c>
      <c r="BG43" s="4">
        <f t="shared" si="255"/>
        <v>0</v>
      </c>
      <c r="BH43" s="4">
        <f t="shared" si="255"/>
        <v>0</v>
      </c>
      <c r="BI43" s="4">
        <f t="shared" si="255"/>
        <v>0</v>
      </c>
      <c r="BJ43" s="4">
        <f t="shared" si="255"/>
        <v>1</v>
      </c>
      <c r="BK43" s="4">
        <f t="shared" si="11"/>
        <v>1</v>
      </c>
      <c r="BM43" s="1" t="s">
        <v>190</v>
      </c>
      <c r="BN43" s="1" t="s">
        <v>72</v>
      </c>
      <c r="BO43" s="4">
        <f t="shared" ref="BO43:BU43" si="256">IF(ISNUMBER(SEARCH(BO$1,$BN43)), 1, 0)</f>
        <v>0</v>
      </c>
      <c r="BP43" s="4">
        <f t="shared" si="256"/>
        <v>0</v>
      </c>
      <c r="BQ43" s="4">
        <f t="shared" si="256"/>
        <v>0</v>
      </c>
      <c r="BR43" s="4">
        <f t="shared" si="256"/>
        <v>0</v>
      </c>
      <c r="BS43" s="4">
        <f t="shared" si="256"/>
        <v>0</v>
      </c>
      <c r="BT43" s="4">
        <f t="shared" si="256"/>
        <v>0</v>
      </c>
      <c r="BU43" s="4">
        <f t="shared" si="256"/>
        <v>1</v>
      </c>
      <c r="DC43" s="1" t="s">
        <v>180</v>
      </c>
    </row>
    <row r="44" spans="1:107" ht="15.75" customHeight="1" x14ac:dyDescent="0.25">
      <c r="A44" s="1" t="b">
        <v>1</v>
      </c>
      <c r="B44" s="3">
        <v>46170.076666666668</v>
      </c>
      <c r="C44" s="1" t="s">
        <v>753</v>
      </c>
      <c r="D44" s="1" t="s">
        <v>4</v>
      </c>
      <c r="E44" s="4">
        <f t="shared" ref="E44:K44" si="257">IF(ISNUMBER(SEARCH(E$1,$D44)), SEARCH(E$1,$D44), 0)</f>
        <v>1</v>
      </c>
      <c r="F44" s="4">
        <f t="shared" si="257"/>
        <v>0</v>
      </c>
      <c r="G44" s="4">
        <f t="shared" si="257"/>
        <v>0</v>
      </c>
      <c r="H44" s="4">
        <f t="shared" si="257"/>
        <v>0</v>
      </c>
      <c r="I44" s="4">
        <f t="shared" si="257"/>
        <v>0</v>
      </c>
      <c r="J44" s="4">
        <f t="shared" si="257"/>
        <v>0</v>
      </c>
      <c r="K44" s="4">
        <f t="shared" si="257"/>
        <v>0</v>
      </c>
      <c r="L44" s="4">
        <f t="shared" si="1"/>
        <v>1</v>
      </c>
      <c r="N44" s="1" t="s">
        <v>328</v>
      </c>
      <c r="O44" s="4">
        <f t="shared" ref="O44:T44" si="258">IF(ISNUMBER(SEARCH(O$1,$N44)), 1, 0)</f>
        <v>1</v>
      </c>
      <c r="P44" s="4">
        <f t="shared" si="258"/>
        <v>1</v>
      </c>
      <c r="Q44" s="4">
        <f t="shared" si="258"/>
        <v>1</v>
      </c>
      <c r="R44" s="4">
        <f t="shared" si="258"/>
        <v>0</v>
      </c>
      <c r="S44" s="4">
        <f t="shared" si="258"/>
        <v>0</v>
      </c>
      <c r="T44" s="4">
        <f t="shared" si="258"/>
        <v>0</v>
      </c>
      <c r="W44" s="1" t="str">
        <f t="shared" si="252"/>
        <v>False</v>
      </c>
      <c r="X44" s="1" t="str">
        <f t="shared" si="252"/>
        <v>False</v>
      </c>
      <c r="Y44" s="1" t="str">
        <f t="shared" si="252"/>
        <v>False</v>
      </c>
      <c r="Z44" s="1" t="str">
        <f t="shared" si="252"/>
        <v>False</v>
      </c>
      <c r="AA44" s="1" t="str">
        <f t="shared" si="252"/>
        <v>False</v>
      </c>
      <c r="AB44" s="1" t="s">
        <v>357</v>
      </c>
      <c r="AC44" s="4">
        <f t="shared" ref="AC44:AH44" si="259">IF(ISNUMBER(SEARCH(AC$1,$AB44)), 1, 0)</f>
        <v>1</v>
      </c>
      <c r="AD44" s="4">
        <f t="shared" si="259"/>
        <v>0</v>
      </c>
      <c r="AE44" s="4">
        <f t="shared" si="259"/>
        <v>0</v>
      </c>
      <c r="AF44" s="4">
        <f t="shared" si="259"/>
        <v>0</v>
      </c>
      <c r="AG44" s="4">
        <f t="shared" si="259"/>
        <v>0</v>
      </c>
      <c r="AH44" s="4">
        <f t="shared" si="259"/>
        <v>1</v>
      </c>
      <c r="AI44" s="1">
        <f t="shared" si="5"/>
        <v>2</v>
      </c>
      <c r="AK44" s="1" t="s">
        <v>38</v>
      </c>
      <c r="AL44" s="4">
        <f t="shared" ref="AL44:AS44" si="260">IF(ISNUMBER(SEARCH(AL$1,$AK44)), 1, 0)</f>
        <v>0</v>
      </c>
      <c r="AM44" s="4">
        <f t="shared" si="260"/>
        <v>1</v>
      </c>
      <c r="AN44" s="4">
        <f t="shared" si="260"/>
        <v>0</v>
      </c>
      <c r="AO44" s="4">
        <f t="shared" si="260"/>
        <v>0</v>
      </c>
      <c r="AP44" s="4">
        <f t="shared" si="260"/>
        <v>0</v>
      </c>
      <c r="AQ44" s="4">
        <f t="shared" si="260"/>
        <v>0</v>
      </c>
      <c r="AR44" s="4">
        <f t="shared" si="260"/>
        <v>0</v>
      </c>
      <c r="AS44" s="4">
        <f t="shared" si="260"/>
        <v>0</v>
      </c>
      <c r="AU44" s="1" t="s">
        <v>47</v>
      </c>
      <c r="AV44" s="1">
        <f t="shared" si="7"/>
        <v>1</v>
      </c>
      <c r="AW44" s="1">
        <f t="shared" si="8"/>
        <v>0</v>
      </c>
      <c r="AX44" s="1">
        <f t="shared" si="9"/>
        <v>0</v>
      </c>
      <c r="AY44" s="1" t="s">
        <v>48</v>
      </c>
      <c r="BA44" s="1" t="s">
        <v>339</v>
      </c>
      <c r="BB44" s="4">
        <f t="shared" ref="BB44:BJ44" si="261">IF(ISNUMBER(SEARCH(BB$1,$BA44)), 1, 0)</f>
        <v>0</v>
      </c>
      <c r="BC44" s="4">
        <f t="shared" si="261"/>
        <v>1</v>
      </c>
      <c r="BD44" s="4">
        <f t="shared" si="261"/>
        <v>1</v>
      </c>
      <c r="BE44" s="4">
        <f t="shared" si="261"/>
        <v>1</v>
      </c>
      <c r="BF44" s="4">
        <f t="shared" si="261"/>
        <v>0</v>
      </c>
      <c r="BG44" s="4">
        <f t="shared" si="261"/>
        <v>1</v>
      </c>
      <c r="BH44" s="4">
        <f t="shared" si="261"/>
        <v>0</v>
      </c>
      <c r="BI44" s="4">
        <f t="shared" si="261"/>
        <v>0</v>
      </c>
      <c r="BJ44" s="4">
        <f t="shared" si="261"/>
        <v>1</v>
      </c>
      <c r="BK44" s="4">
        <f t="shared" si="11"/>
        <v>5</v>
      </c>
      <c r="BM44" s="1" t="s">
        <v>232</v>
      </c>
      <c r="BN44" s="1" t="s">
        <v>72</v>
      </c>
      <c r="BO44" s="4">
        <f t="shared" ref="BO44:BU44" si="262">IF(ISNUMBER(SEARCH(BO$1,$BN44)), 1, 0)</f>
        <v>0</v>
      </c>
      <c r="BP44" s="4">
        <f t="shared" si="262"/>
        <v>0</v>
      </c>
      <c r="BQ44" s="4">
        <f t="shared" si="262"/>
        <v>0</v>
      </c>
      <c r="BR44" s="4">
        <f t="shared" si="262"/>
        <v>0</v>
      </c>
      <c r="BS44" s="4">
        <f t="shared" si="262"/>
        <v>0</v>
      </c>
      <c r="BT44" s="4">
        <f t="shared" si="262"/>
        <v>0</v>
      </c>
      <c r="BU44" s="4">
        <f t="shared" si="262"/>
        <v>1</v>
      </c>
      <c r="DC44" s="1" t="s">
        <v>238</v>
      </c>
    </row>
    <row r="45" spans="1:107" ht="15.75" customHeight="1" x14ac:dyDescent="0.25">
      <c r="A45" s="1" t="b">
        <v>1</v>
      </c>
      <c r="B45" s="3">
        <v>46149.844108796293</v>
      </c>
      <c r="C45" s="1" t="s">
        <v>181</v>
      </c>
      <c r="D45" s="1" t="s">
        <v>4</v>
      </c>
      <c r="E45" s="4">
        <f t="shared" ref="E45:K45" si="263">IF(ISNUMBER(SEARCH(E$1,$D45)), SEARCH(E$1,$D45), 0)</f>
        <v>1</v>
      </c>
      <c r="F45" s="4">
        <f t="shared" si="263"/>
        <v>0</v>
      </c>
      <c r="G45" s="4">
        <f t="shared" si="263"/>
        <v>0</v>
      </c>
      <c r="H45" s="4">
        <f t="shared" si="263"/>
        <v>0</v>
      </c>
      <c r="I45" s="4">
        <f t="shared" si="263"/>
        <v>0</v>
      </c>
      <c r="J45" s="4">
        <f t="shared" si="263"/>
        <v>0</v>
      </c>
      <c r="K45" s="4">
        <f t="shared" si="263"/>
        <v>0</v>
      </c>
      <c r="L45" s="4">
        <f t="shared" si="1"/>
        <v>1</v>
      </c>
      <c r="N45" s="1" t="s">
        <v>182</v>
      </c>
      <c r="O45" s="4">
        <f t="shared" ref="O45:T45" si="264">IF(ISNUMBER(SEARCH(O$1,$N45)), 1, 0)</f>
        <v>1</v>
      </c>
      <c r="P45" s="4">
        <f t="shared" si="264"/>
        <v>0</v>
      </c>
      <c r="Q45" s="4">
        <f t="shared" si="264"/>
        <v>0</v>
      </c>
      <c r="R45" s="4">
        <f t="shared" si="264"/>
        <v>0</v>
      </c>
      <c r="S45" s="4">
        <f t="shared" si="264"/>
        <v>1</v>
      </c>
      <c r="T45" s="4">
        <f t="shared" si="264"/>
        <v>0</v>
      </c>
      <c r="V45" s="1" t="s">
        <v>22</v>
      </c>
      <c r="W45" s="1" t="str">
        <f t="shared" si="252"/>
        <v>True</v>
      </c>
      <c r="X45" s="1" t="str">
        <f t="shared" si="252"/>
        <v>False</v>
      </c>
      <c r="Y45" s="1" t="str">
        <f t="shared" si="252"/>
        <v>False</v>
      </c>
      <c r="Z45" s="1" t="str">
        <f t="shared" si="252"/>
        <v>False</v>
      </c>
      <c r="AA45" s="1" t="str">
        <f t="shared" si="252"/>
        <v>False</v>
      </c>
      <c r="AB45" s="1" t="s">
        <v>183</v>
      </c>
      <c r="AC45" s="4">
        <f t="shared" ref="AC45:AH45" si="265">IF(ISNUMBER(SEARCH(AC$1,$AB45)), 1, 0)</f>
        <v>0</v>
      </c>
      <c r="AD45" s="4">
        <f t="shared" si="265"/>
        <v>0</v>
      </c>
      <c r="AE45" s="4">
        <f t="shared" si="265"/>
        <v>0</v>
      </c>
      <c r="AF45" s="4">
        <f t="shared" si="265"/>
        <v>0</v>
      </c>
      <c r="AG45" s="4">
        <f t="shared" si="265"/>
        <v>0</v>
      </c>
      <c r="AH45" s="4">
        <f t="shared" si="265"/>
        <v>0</v>
      </c>
      <c r="AI45" s="1">
        <f t="shared" si="5"/>
        <v>0</v>
      </c>
      <c r="AJ45" s="1" t="s">
        <v>184</v>
      </c>
      <c r="AK45" s="1" t="s">
        <v>38</v>
      </c>
      <c r="AL45" s="4">
        <f t="shared" ref="AL45:AS45" si="266">IF(ISNUMBER(SEARCH(AL$1,$AK45)), 1, 0)</f>
        <v>0</v>
      </c>
      <c r="AM45" s="4">
        <f t="shared" si="266"/>
        <v>1</v>
      </c>
      <c r="AN45" s="4">
        <f t="shared" si="266"/>
        <v>0</v>
      </c>
      <c r="AO45" s="4">
        <f t="shared" si="266"/>
        <v>0</v>
      </c>
      <c r="AP45" s="4">
        <f t="shared" si="266"/>
        <v>0</v>
      </c>
      <c r="AQ45" s="4">
        <f t="shared" si="266"/>
        <v>0</v>
      </c>
      <c r="AR45" s="4">
        <f t="shared" si="266"/>
        <v>0</v>
      </c>
      <c r="AS45" s="4">
        <f t="shared" si="266"/>
        <v>0</v>
      </c>
      <c r="AU45" s="1" t="s">
        <v>47</v>
      </c>
      <c r="AV45" s="1">
        <f t="shared" si="7"/>
        <v>1</v>
      </c>
      <c r="AW45" s="1">
        <f t="shared" si="8"/>
        <v>0</v>
      </c>
      <c r="AX45" s="1">
        <f t="shared" si="9"/>
        <v>0</v>
      </c>
      <c r="AY45" s="1" t="s">
        <v>48</v>
      </c>
      <c r="BA45" s="1" t="s">
        <v>185</v>
      </c>
      <c r="BB45" s="4">
        <f t="shared" ref="BB45:BJ45" si="267">IF(ISNUMBER(SEARCH(BB$1,$BA45)), 1, 0)</f>
        <v>0</v>
      </c>
      <c r="BC45" s="4">
        <f t="shared" si="267"/>
        <v>1</v>
      </c>
      <c r="BD45" s="4">
        <f t="shared" si="267"/>
        <v>0</v>
      </c>
      <c r="BE45" s="4">
        <f t="shared" si="267"/>
        <v>1</v>
      </c>
      <c r="BF45" s="4">
        <f t="shared" si="267"/>
        <v>0</v>
      </c>
      <c r="BG45" s="4">
        <f t="shared" si="267"/>
        <v>0</v>
      </c>
      <c r="BH45" s="4">
        <f t="shared" si="267"/>
        <v>0</v>
      </c>
      <c r="BI45" s="4">
        <f t="shared" si="267"/>
        <v>0</v>
      </c>
      <c r="BJ45" s="4">
        <f t="shared" si="267"/>
        <v>1</v>
      </c>
      <c r="BK45" s="4">
        <f t="shared" si="11"/>
        <v>3</v>
      </c>
      <c r="BM45" s="1" t="s">
        <v>166</v>
      </c>
      <c r="BN45" s="1" t="s">
        <v>71</v>
      </c>
      <c r="BO45" s="4">
        <f t="shared" ref="BO45:BU45" si="268">IF(ISNUMBER(SEARCH(BO$1,$BN45)), 1, 0)</f>
        <v>0</v>
      </c>
      <c r="BP45" s="4">
        <f t="shared" si="268"/>
        <v>0</v>
      </c>
      <c r="BQ45" s="4">
        <f t="shared" si="268"/>
        <v>0</v>
      </c>
      <c r="BR45" s="4">
        <f t="shared" si="268"/>
        <v>0</v>
      </c>
      <c r="BS45" s="4">
        <f t="shared" si="268"/>
        <v>0</v>
      </c>
      <c r="BT45" s="4">
        <f t="shared" si="268"/>
        <v>1</v>
      </c>
      <c r="BU45" s="4">
        <f t="shared" si="268"/>
        <v>0</v>
      </c>
      <c r="DC45" s="1" t="s">
        <v>180</v>
      </c>
    </row>
    <row r="46" spans="1:107" ht="15.75" customHeight="1" x14ac:dyDescent="0.25">
      <c r="A46" s="1" t="b">
        <v>1</v>
      </c>
      <c r="B46" s="3">
        <v>46152.914687500001</v>
      </c>
      <c r="C46" s="1" t="s">
        <v>303</v>
      </c>
      <c r="D46" s="1" t="s">
        <v>4</v>
      </c>
      <c r="E46" s="4">
        <f t="shared" ref="E46:K46" si="269">IF(ISNUMBER(SEARCH(E$1,$D46)), SEARCH(E$1,$D46), 0)</f>
        <v>1</v>
      </c>
      <c r="F46" s="4">
        <f t="shared" si="269"/>
        <v>0</v>
      </c>
      <c r="G46" s="4">
        <f t="shared" si="269"/>
        <v>0</v>
      </c>
      <c r="H46" s="4">
        <f t="shared" si="269"/>
        <v>0</v>
      </c>
      <c r="I46" s="4">
        <f t="shared" si="269"/>
        <v>0</v>
      </c>
      <c r="J46" s="4">
        <f t="shared" si="269"/>
        <v>0</v>
      </c>
      <c r="K46" s="4">
        <f t="shared" si="269"/>
        <v>0</v>
      </c>
      <c r="L46" s="4">
        <f t="shared" si="1"/>
        <v>1</v>
      </c>
      <c r="N46" s="1" t="s">
        <v>294</v>
      </c>
      <c r="O46" s="4">
        <f t="shared" ref="O46:T46" si="270">IF(ISNUMBER(SEARCH(O$1,$N46)), 1, 0)</f>
        <v>1</v>
      </c>
      <c r="P46" s="4">
        <f t="shared" si="270"/>
        <v>1</v>
      </c>
      <c r="Q46" s="4">
        <f t="shared" si="270"/>
        <v>0</v>
      </c>
      <c r="R46" s="4">
        <f t="shared" si="270"/>
        <v>0</v>
      </c>
      <c r="S46" s="4">
        <f t="shared" si="270"/>
        <v>0</v>
      </c>
      <c r="T46" s="4">
        <f t="shared" si="270"/>
        <v>0</v>
      </c>
      <c r="V46" s="1" t="s">
        <v>22</v>
      </c>
      <c r="W46" s="1" t="str">
        <f t="shared" si="252"/>
        <v>True</v>
      </c>
      <c r="X46" s="1" t="str">
        <f t="shared" si="252"/>
        <v>False</v>
      </c>
      <c r="Y46" s="1" t="str">
        <f t="shared" si="252"/>
        <v>False</v>
      </c>
      <c r="Z46" s="1" t="str">
        <f t="shared" si="252"/>
        <v>False</v>
      </c>
      <c r="AA46" s="1" t="str">
        <f t="shared" si="252"/>
        <v>False</v>
      </c>
      <c r="AC46" s="4">
        <f t="shared" ref="AC46:AH46" si="271">IF(ISNUMBER(SEARCH(AC$1,$AB46)), 1, 0)</f>
        <v>0</v>
      </c>
      <c r="AD46" s="4">
        <f t="shared" si="271"/>
        <v>0</v>
      </c>
      <c r="AE46" s="4">
        <f t="shared" si="271"/>
        <v>0</v>
      </c>
      <c r="AF46" s="4">
        <f t="shared" si="271"/>
        <v>0</v>
      </c>
      <c r="AG46" s="4">
        <f t="shared" si="271"/>
        <v>0</v>
      </c>
      <c r="AH46" s="4">
        <f t="shared" si="271"/>
        <v>0</v>
      </c>
      <c r="AI46" s="1">
        <f t="shared" si="5"/>
        <v>0</v>
      </c>
      <c r="AK46" s="1" t="s">
        <v>38</v>
      </c>
      <c r="AL46" s="4">
        <f t="shared" ref="AL46:AS46" si="272">IF(ISNUMBER(SEARCH(AL$1,$AK46)), 1, 0)</f>
        <v>0</v>
      </c>
      <c r="AM46" s="4">
        <f t="shared" si="272"/>
        <v>1</v>
      </c>
      <c r="AN46" s="4">
        <f t="shared" si="272"/>
        <v>0</v>
      </c>
      <c r="AO46" s="4">
        <f t="shared" si="272"/>
        <v>0</v>
      </c>
      <c r="AP46" s="4">
        <f t="shared" si="272"/>
        <v>0</v>
      </c>
      <c r="AQ46" s="4">
        <f t="shared" si="272"/>
        <v>0</v>
      </c>
      <c r="AR46" s="4">
        <f t="shared" si="272"/>
        <v>0</v>
      </c>
      <c r="AS46" s="4">
        <f t="shared" si="272"/>
        <v>0</v>
      </c>
      <c r="AU46" s="1" t="s">
        <v>47</v>
      </c>
      <c r="AV46" s="1">
        <f t="shared" si="7"/>
        <v>1</v>
      </c>
      <c r="AW46" s="1">
        <f t="shared" si="8"/>
        <v>0</v>
      </c>
      <c r="AX46" s="1">
        <f t="shared" si="9"/>
        <v>0</v>
      </c>
      <c r="AY46" s="1" t="s">
        <v>47</v>
      </c>
      <c r="AZ46" s="1" t="s">
        <v>47</v>
      </c>
      <c r="BA46" s="1" t="s">
        <v>61</v>
      </c>
      <c r="BB46" s="4">
        <f t="shared" ref="BB46:BJ46" si="273">IF(ISNUMBER(SEARCH(BB$1,$BA46)), 1, 0)</f>
        <v>0</v>
      </c>
      <c r="BC46" s="4">
        <f t="shared" si="273"/>
        <v>0</v>
      </c>
      <c r="BD46" s="4">
        <f t="shared" si="273"/>
        <v>0</v>
      </c>
      <c r="BE46" s="4">
        <f t="shared" si="273"/>
        <v>0</v>
      </c>
      <c r="BF46" s="4">
        <f t="shared" si="273"/>
        <v>0</v>
      </c>
      <c r="BG46" s="4">
        <f t="shared" si="273"/>
        <v>0</v>
      </c>
      <c r="BH46" s="4">
        <f t="shared" si="273"/>
        <v>0</v>
      </c>
      <c r="BI46" s="4">
        <f t="shared" si="273"/>
        <v>0</v>
      </c>
      <c r="BJ46" s="4">
        <f t="shared" si="273"/>
        <v>1</v>
      </c>
      <c r="BK46" s="4">
        <f t="shared" si="11"/>
        <v>1</v>
      </c>
      <c r="BO46" s="4">
        <f t="shared" ref="BO46:BU46" si="274">IF(ISNUMBER(SEARCH(BO$1,$BN46)), 1, 0)</f>
        <v>0</v>
      </c>
      <c r="BP46" s="4">
        <f t="shared" si="274"/>
        <v>0</v>
      </c>
      <c r="BQ46" s="4">
        <f t="shared" si="274"/>
        <v>0</v>
      </c>
      <c r="BR46" s="4">
        <f t="shared" si="274"/>
        <v>0</v>
      </c>
      <c r="BS46" s="4">
        <f t="shared" si="274"/>
        <v>0</v>
      </c>
      <c r="BT46" s="4">
        <f t="shared" si="274"/>
        <v>0</v>
      </c>
      <c r="BU46" s="4">
        <f t="shared" si="274"/>
        <v>0</v>
      </c>
    </row>
    <row r="47" spans="1:107" ht="15.75" customHeight="1" x14ac:dyDescent="0.25">
      <c r="A47" s="1" t="b">
        <v>1</v>
      </c>
      <c r="B47" s="3">
        <v>46165.503668981481</v>
      </c>
      <c r="C47" s="1" t="s">
        <v>621</v>
      </c>
      <c r="D47" s="1" t="s">
        <v>4</v>
      </c>
      <c r="E47" s="4">
        <f t="shared" ref="E47:K47" si="275">IF(ISNUMBER(SEARCH(E$1,$D47)), SEARCH(E$1,$D47), 0)</f>
        <v>1</v>
      </c>
      <c r="F47" s="4">
        <f t="shared" si="275"/>
        <v>0</v>
      </c>
      <c r="G47" s="4">
        <f t="shared" si="275"/>
        <v>0</v>
      </c>
      <c r="H47" s="4">
        <f t="shared" si="275"/>
        <v>0</v>
      </c>
      <c r="I47" s="4">
        <f t="shared" si="275"/>
        <v>0</v>
      </c>
      <c r="J47" s="4">
        <f t="shared" si="275"/>
        <v>0</v>
      </c>
      <c r="K47" s="4">
        <f t="shared" si="275"/>
        <v>0</v>
      </c>
      <c r="L47" s="4">
        <f t="shared" si="1"/>
        <v>1</v>
      </c>
      <c r="N47" s="1" t="s">
        <v>17</v>
      </c>
      <c r="O47" s="4">
        <f t="shared" ref="O47:T47" si="276">IF(ISNUMBER(SEARCH(O$1,$N47)), 1, 0)</f>
        <v>0</v>
      </c>
      <c r="P47" s="4">
        <f t="shared" si="276"/>
        <v>0</v>
      </c>
      <c r="Q47" s="4">
        <f t="shared" si="276"/>
        <v>0</v>
      </c>
      <c r="R47" s="4">
        <f t="shared" si="276"/>
        <v>1</v>
      </c>
      <c r="S47" s="4">
        <f t="shared" si="276"/>
        <v>0</v>
      </c>
      <c r="T47" s="4">
        <f t="shared" si="276"/>
        <v>0</v>
      </c>
      <c r="V47" s="1" t="s">
        <v>23</v>
      </c>
      <c r="W47" s="1" t="str">
        <f t="shared" si="252"/>
        <v>False</v>
      </c>
      <c r="X47" s="1" t="str">
        <f t="shared" si="252"/>
        <v>True</v>
      </c>
      <c r="Y47" s="1" t="str">
        <f t="shared" si="252"/>
        <v>False</v>
      </c>
      <c r="Z47" s="1" t="str">
        <f t="shared" si="252"/>
        <v>False</v>
      </c>
      <c r="AA47" s="1" t="str">
        <f t="shared" si="252"/>
        <v>False</v>
      </c>
      <c r="AB47" s="1" t="s">
        <v>183</v>
      </c>
      <c r="AC47" s="4">
        <f t="shared" ref="AC47:AH47" si="277">IF(ISNUMBER(SEARCH(AC$1,$AB47)), 1, 0)</f>
        <v>0</v>
      </c>
      <c r="AD47" s="4">
        <f t="shared" si="277"/>
        <v>0</v>
      </c>
      <c r="AE47" s="4">
        <f t="shared" si="277"/>
        <v>0</v>
      </c>
      <c r="AF47" s="4">
        <f t="shared" si="277"/>
        <v>0</v>
      </c>
      <c r="AG47" s="4">
        <f t="shared" si="277"/>
        <v>0</v>
      </c>
      <c r="AH47" s="4">
        <f t="shared" si="277"/>
        <v>0</v>
      </c>
      <c r="AI47" s="1">
        <f t="shared" si="5"/>
        <v>0</v>
      </c>
      <c r="AJ47" s="1" t="s">
        <v>402</v>
      </c>
      <c r="AK47" s="1" t="s">
        <v>38</v>
      </c>
      <c r="AL47" s="4">
        <f t="shared" ref="AL47:AS47" si="278">IF(ISNUMBER(SEARCH(AL$1,$AK47)), 1, 0)</f>
        <v>0</v>
      </c>
      <c r="AM47" s="4">
        <f t="shared" si="278"/>
        <v>1</v>
      </c>
      <c r="AN47" s="4">
        <f t="shared" si="278"/>
        <v>0</v>
      </c>
      <c r="AO47" s="4">
        <f t="shared" si="278"/>
        <v>0</v>
      </c>
      <c r="AP47" s="4">
        <f t="shared" si="278"/>
        <v>0</v>
      </c>
      <c r="AQ47" s="4">
        <f t="shared" si="278"/>
        <v>0</v>
      </c>
      <c r="AR47" s="4">
        <f t="shared" si="278"/>
        <v>0</v>
      </c>
      <c r="AS47" s="4">
        <f t="shared" si="278"/>
        <v>0</v>
      </c>
      <c r="AU47" s="1" t="s">
        <v>49</v>
      </c>
      <c r="AV47" s="1">
        <f t="shared" si="7"/>
        <v>0</v>
      </c>
      <c r="AW47" s="1">
        <f t="shared" si="8"/>
        <v>0</v>
      </c>
      <c r="AX47" s="1">
        <f t="shared" si="9"/>
        <v>1</v>
      </c>
      <c r="AY47" s="1" t="s">
        <v>48</v>
      </c>
      <c r="BA47" s="1" t="s">
        <v>61</v>
      </c>
      <c r="BB47" s="4">
        <f t="shared" ref="BB47:BJ47" si="279">IF(ISNUMBER(SEARCH(BB$1,$BA47)), 1, 0)</f>
        <v>0</v>
      </c>
      <c r="BC47" s="4">
        <f t="shared" si="279"/>
        <v>0</v>
      </c>
      <c r="BD47" s="4">
        <f t="shared" si="279"/>
        <v>0</v>
      </c>
      <c r="BE47" s="4">
        <f t="shared" si="279"/>
        <v>0</v>
      </c>
      <c r="BF47" s="4">
        <f t="shared" si="279"/>
        <v>0</v>
      </c>
      <c r="BG47" s="4">
        <f t="shared" si="279"/>
        <v>0</v>
      </c>
      <c r="BH47" s="4">
        <f t="shared" si="279"/>
        <v>0</v>
      </c>
      <c r="BI47" s="4">
        <f t="shared" si="279"/>
        <v>0</v>
      </c>
      <c r="BJ47" s="4">
        <f t="shared" si="279"/>
        <v>1</v>
      </c>
      <c r="BK47" s="4">
        <f t="shared" si="11"/>
        <v>1</v>
      </c>
      <c r="BM47" s="1" t="s">
        <v>232</v>
      </c>
      <c r="BN47" s="1" t="s">
        <v>70</v>
      </c>
      <c r="BO47" s="4">
        <f t="shared" ref="BO47:BU47" si="280">IF(ISNUMBER(SEARCH(BO$1,$BN47)), 1, 0)</f>
        <v>0</v>
      </c>
      <c r="BP47" s="4">
        <f t="shared" si="280"/>
        <v>0</v>
      </c>
      <c r="BQ47" s="4">
        <f t="shared" si="280"/>
        <v>0</v>
      </c>
      <c r="BR47" s="4">
        <f t="shared" si="280"/>
        <v>0</v>
      </c>
      <c r="BS47" s="4">
        <f t="shared" si="280"/>
        <v>1</v>
      </c>
      <c r="BT47" s="4">
        <f t="shared" si="280"/>
        <v>0</v>
      </c>
      <c r="BU47" s="4">
        <f t="shared" si="280"/>
        <v>0</v>
      </c>
      <c r="DC47" s="1" t="s">
        <v>180</v>
      </c>
    </row>
    <row r="48" spans="1:107" ht="15.75" customHeight="1" x14ac:dyDescent="0.25">
      <c r="A48" s="1" t="b">
        <v>1</v>
      </c>
      <c r="B48" s="3">
        <v>46167.119490740741</v>
      </c>
      <c r="C48" s="1" t="s">
        <v>674</v>
      </c>
      <c r="D48" s="1" t="s">
        <v>4</v>
      </c>
      <c r="E48" s="4">
        <f t="shared" ref="E48:K48" si="281">IF(ISNUMBER(SEARCH(E$1,$D48)), SEARCH(E$1,$D48), 0)</f>
        <v>1</v>
      </c>
      <c r="F48" s="4">
        <f t="shared" si="281"/>
        <v>0</v>
      </c>
      <c r="G48" s="4">
        <f t="shared" si="281"/>
        <v>0</v>
      </c>
      <c r="H48" s="4">
        <f t="shared" si="281"/>
        <v>0</v>
      </c>
      <c r="I48" s="4">
        <f t="shared" si="281"/>
        <v>0</v>
      </c>
      <c r="J48" s="4">
        <f t="shared" si="281"/>
        <v>0</v>
      </c>
      <c r="K48" s="4">
        <f t="shared" si="281"/>
        <v>0</v>
      </c>
      <c r="L48" s="4">
        <f t="shared" si="1"/>
        <v>1</v>
      </c>
      <c r="N48" s="1" t="s">
        <v>14</v>
      </c>
      <c r="O48" s="4">
        <f t="shared" ref="O48:T48" si="282">IF(ISNUMBER(SEARCH(O$1,$N48)), 1, 0)</f>
        <v>1</v>
      </c>
      <c r="P48" s="4">
        <f t="shared" si="282"/>
        <v>0</v>
      </c>
      <c r="Q48" s="4">
        <f t="shared" si="282"/>
        <v>0</v>
      </c>
      <c r="R48" s="4">
        <f t="shared" si="282"/>
        <v>0</v>
      </c>
      <c r="S48" s="4">
        <f t="shared" si="282"/>
        <v>0</v>
      </c>
      <c r="T48" s="4">
        <f t="shared" si="282"/>
        <v>0</v>
      </c>
      <c r="W48" s="1" t="str">
        <f t="shared" si="252"/>
        <v>False</v>
      </c>
      <c r="X48" s="1" t="str">
        <f t="shared" si="252"/>
        <v>False</v>
      </c>
      <c r="Y48" s="1" t="str">
        <f t="shared" si="252"/>
        <v>False</v>
      </c>
      <c r="Z48" s="1" t="str">
        <f t="shared" si="252"/>
        <v>False</v>
      </c>
      <c r="AA48" s="1" t="str">
        <f t="shared" si="252"/>
        <v>False</v>
      </c>
      <c r="AB48" s="1" t="s">
        <v>31</v>
      </c>
      <c r="AC48" s="4">
        <f t="shared" ref="AC48:AH48" si="283">IF(ISNUMBER(SEARCH(AC$1,$AB48)), 1, 0)</f>
        <v>0</v>
      </c>
      <c r="AD48" s="4">
        <f t="shared" si="283"/>
        <v>0</v>
      </c>
      <c r="AE48" s="4">
        <f t="shared" si="283"/>
        <v>0</v>
      </c>
      <c r="AF48" s="4">
        <f t="shared" si="283"/>
        <v>1</v>
      </c>
      <c r="AG48" s="4">
        <f t="shared" si="283"/>
        <v>0</v>
      </c>
      <c r="AH48" s="4">
        <f t="shared" si="283"/>
        <v>0</v>
      </c>
      <c r="AI48" s="1">
        <f t="shared" si="5"/>
        <v>1</v>
      </c>
      <c r="AK48" s="1" t="s">
        <v>38</v>
      </c>
      <c r="AL48" s="4">
        <f t="shared" ref="AL48:AS48" si="284">IF(ISNUMBER(SEARCH(AL$1,$AK48)), 1, 0)</f>
        <v>0</v>
      </c>
      <c r="AM48" s="4">
        <f t="shared" si="284"/>
        <v>1</v>
      </c>
      <c r="AN48" s="4">
        <f t="shared" si="284"/>
        <v>0</v>
      </c>
      <c r="AO48" s="4">
        <f t="shared" si="284"/>
        <v>0</v>
      </c>
      <c r="AP48" s="4">
        <f t="shared" si="284"/>
        <v>0</v>
      </c>
      <c r="AQ48" s="4">
        <f t="shared" si="284"/>
        <v>0</v>
      </c>
      <c r="AR48" s="4">
        <f t="shared" si="284"/>
        <v>0</v>
      </c>
      <c r="AS48" s="4">
        <f t="shared" si="284"/>
        <v>0</v>
      </c>
      <c r="AU48" s="1" t="s">
        <v>47</v>
      </c>
      <c r="AV48" s="1">
        <f t="shared" si="7"/>
        <v>1</v>
      </c>
      <c r="AW48" s="1">
        <f t="shared" si="8"/>
        <v>0</v>
      </c>
      <c r="AX48" s="1">
        <f t="shared" si="9"/>
        <v>0</v>
      </c>
      <c r="AY48" s="1" t="s">
        <v>48</v>
      </c>
      <c r="BA48" s="1" t="s">
        <v>61</v>
      </c>
      <c r="BB48" s="4">
        <f t="shared" ref="BB48:BJ48" si="285">IF(ISNUMBER(SEARCH(BB$1,$BA48)), 1, 0)</f>
        <v>0</v>
      </c>
      <c r="BC48" s="4">
        <f t="shared" si="285"/>
        <v>0</v>
      </c>
      <c r="BD48" s="4">
        <f t="shared" si="285"/>
        <v>0</v>
      </c>
      <c r="BE48" s="4">
        <f t="shared" si="285"/>
        <v>0</v>
      </c>
      <c r="BF48" s="4">
        <f t="shared" si="285"/>
        <v>0</v>
      </c>
      <c r="BG48" s="4">
        <f t="shared" si="285"/>
        <v>0</v>
      </c>
      <c r="BH48" s="4">
        <f t="shared" si="285"/>
        <v>0</v>
      </c>
      <c r="BI48" s="4">
        <f t="shared" si="285"/>
        <v>0</v>
      </c>
      <c r="BJ48" s="4">
        <f t="shared" si="285"/>
        <v>1</v>
      </c>
      <c r="BK48" s="4">
        <f t="shared" si="11"/>
        <v>1</v>
      </c>
      <c r="BM48" s="1" t="s">
        <v>232</v>
      </c>
      <c r="BN48" s="1" t="s">
        <v>72</v>
      </c>
      <c r="BO48" s="4">
        <f t="shared" ref="BO48:BU48" si="286">IF(ISNUMBER(SEARCH(BO$1,$BN48)), 1, 0)</f>
        <v>0</v>
      </c>
      <c r="BP48" s="4">
        <f t="shared" si="286"/>
        <v>0</v>
      </c>
      <c r="BQ48" s="4">
        <f t="shared" si="286"/>
        <v>0</v>
      </c>
      <c r="BR48" s="4">
        <f t="shared" si="286"/>
        <v>0</v>
      </c>
      <c r="BS48" s="4">
        <f t="shared" si="286"/>
        <v>0</v>
      </c>
      <c r="BT48" s="4">
        <f t="shared" si="286"/>
        <v>0</v>
      </c>
      <c r="BU48" s="4">
        <f t="shared" si="286"/>
        <v>1</v>
      </c>
      <c r="DC48" s="1" t="s">
        <v>180</v>
      </c>
    </row>
    <row r="49" spans="1:107" ht="15.75" customHeight="1" x14ac:dyDescent="0.25">
      <c r="A49" s="1" t="b">
        <v>1</v>
      </c>
      <c r="B49" s="3">
        <v>46168.539039351854</v>
      </c>
      <c r="C49" s="1" t="s">
        <v>709</v>
      </c>
      <c r="D49" s="1" t="s">
        <v>4</v>
      </c>
      <c r="E49" s="4">
        <f t="shared" ref="E49:K49" si="287">IF(ISNUMBER(SEARCH(E$1,$D49)), SEARCH(E$1,$D49), 0)</f>
        <v>1</v>
      </c>
      <c r="F49" s="4">
        <f t="shared" si="287"/>
        <v>0</v>
      </c>
      <c r="G49" s="4">
        <f t="shared" si="287"/>
        <v>0</v>
      </c>
      <c r="H49" s="4">
        <f t="shared" si="287"/>
        <v>0</v>
      </c>
      <c r="I49" s="4">
        <f t="shared" si="287"/>
        <v>0</v>
      </c>
      <c r="J49" s="4">
        <f t="shared" si="287"/>
        <v>0</v>
      </c>
      <c r="K49" s="4">
        <f t="shared" si="287"/>
        <v>0</v>
      </c>
      <c r="L49" s="4">
        <f t="shared" si="1"/>
        <v>1</v>
      </c>
      <c r="N49" s="1" t="s">
        <v>294</v>
      </c>
      <c r="O49" s="4">
        <f t="shared" ref="O49:T49" si="288">IF(ISNUMBER(SEARCH(O$1,$N49)), 1, 0)</f>
        <v>1</v>
      </c>
      <c r="P49" s="4">
        <f t="shared" si="288"/>
        <v>1</v>
      </c>
      <c r="Q49" s="4">
        <f t="shared" si="288"/>
        <v>0</v>
      </c>
      <c r="R49" s="4">
        <f t="shared" si="288"/>
        <v>0</v>
      </c>
      <c r="S49" s="4">
        <f t="shared" si="288"/>
        <v>0</v>
      </c>
      <c r="T49" s="4">
        <f t="shared" si="288"/>
        <v>0</v>
      </c>
      <c r="W49" s="1" t="str">
        <f t="shared" si="252"/>
        <v>False</v>
      </c>
      <c r="X49" s="1" t="str">
        <f t="shared" si="252"/>
        <v>False</v>
      </c>
      <c r="Y49" s="1" t="str">
        <f t="shared" si="252"/>
        <v>False</v>
      </c>
      <c r="Z49" s="1" t="str">
        <f t="shared" si="252"/>
        <v>False</v>
      </c>
      <c r="AA49" s="1" t="str">
        <f t="shared" si="252"/>
        <v>False</v>
      </c>
      <c r="AB49" s="1" t="s">
        <v>710</v>
      </c>
      <c r="AC49" s="4">
        <f t="shared" ref="AC49:AH49" si="289">IF(ISNUMBER(SEARCH(AC$1,$AB49)), 1, 0)</f>
        <v>0</v>
      </c>
      <c r="AD49" s="4">
        <f t="shared" si="289"/>
        <v>1</v>
      </c>
      <c r="AE49" s="4">
        <f t="shared" si="289"/>
        <v>0</v>
      </c>
      <c r="AF49" s="4">
        <f t="shared" si="289"/>
        <v>0</v>
      </c>
      <c r="AG49" s="4">
        <f t="shared" si="289"/>
        <v>0</v>
      </c>
      <c r="AH49" s="4">
        <f t="shared" si="289"/>
        <v>0</v>
      </c>
      <c r="AI49" s="1">
        <f t="shared" si="5"/>
        <v>1</v>
      </c>
      <c r="AJ49" s="1" t="s">
        <v>711</v>
      </c>
      <c r="AK49" s="1" t="s">
        <v>288</v>
      </c>
      <c r="AL49" s="4">
        <f t="shared" ref="AL49:AS49" si="290">IF(ISNUMBER(SEARCH(AL$1,$AK49)), 1, 0)</f>
        <v>0</v>
      </c>
      <c r="AM49" s="4">
        <f t="shared" si="290"/>
        <v>1</v>
      </c>
      <c r="AN49" s="4">
        <f t="shared" si="290"/>
        <v>0</v>
      </c>
      <c r="AO49" s="4">
        <f t="shared" si="290"/>
        <v>1</v>
      </c>
      <c r="AP49" s="4">
        <f t="shared" si="290"/>
        <v>0</v>
      </c>
      <c r="AQ49" s="4">
        <f t="shared" si="290"/>
        <v>0</v>
      </c>
      <c r="AR49" s="4">
        <f t="shared" si="290"/>
        <v>0</v>
      </c>
      <c r="AS49" s="4">
        <f t="shared" si="290"/>
        <v>0</v>
      </c>
      <c r="AU49" s="1" t="s">
        <v>47</v>
      </c>
      <c r="AV49" s="1">
        <f t="shared" si="7"/>
        <v>1</v>
      </c>
      <c r="AW49" s="1">
        <f t="shared" si="8"/>
        <v>0</v>
      </c>
      <c r="AX49" s="1">
        <f t="shared" si="9"/>
        <v>0</v>
      </c>
      <c r="AY49" s="1" t="s">
        <v>48</v>
      </c>
      <c r="BA49" s="1" t="s">
        <v>624</v>
      </c>
      <c r="BB49" s="4">
        <f t="shared" ref="BB49:BJ49" si="291">IF(ISNUMBER(SEARCH(BB$1,$BA49)), 1, 0)</f>
        <v>0</v>
      </c>
      <c r="BC49" s="4">
        <f t="shared" si="291"/>
        <v>0</v>
      </c>
      <c r="BD49" s="4">
        <f t="shared" si="291"/>
        <v>0</v>
      </c>
      <c r="BE49" s="4">
        <f t="shared" si="291"/>
        <v>1</v>
      </c>
      <c r="BF49" s="4">
        <f t="shared" si="291"/>
        <v>0</v>
      </c>
      <c r="BG49" s="4">
        <f t="shared" si="291"/>
        <v>1</v>
      </c>
      <c r="BH49" s="4">
        <f t="shared" si="291"/>
        <v>0</v>
      </c>
      <c r="BI49" s="4">
        <f t="shared" si="291"/>
        <v>0</v>
      </c>
      <c r="BJ49" s="4">
        <f t="shared" si="291"/>
        <v>1</v>
      </c>
      <c r="BK49" s="4">
        <f t="shared" si="11"/>
        <v>3</v>
      </c>
      <c r="BM49" s="1" t="s">
        <v>232</v>
      </c>
      <c r="BN49" s="1" t="s">
        <v>712</v>
      </c>
      <c r="BO49" s="4">
        <f t="shared" ref="BO49:BU49" si="292">IF(ISNUMBER(SEARCH(BO$1,$BN49)), 1, 0)</f>
        <v>0</v>
      </c>
      <c r="BP49" s="4">
        <f t="shared" si="292"/>
        <v>1</v>
      </c>
      <c r="BQ49" s="4">
        <f t="shared" si="292"/>
        <v>0</v>
      </c>
      <c r="BR49" s="4">
        <f t="shared" si="292"/>
        <v>0</v>
      </c>
      <c r="BS49" s="4">
        <f t="shared" si="292"/>
        <v>0</v>
      </c>
      <c r="BT49" s="4">
        <f t="shared" si="292"/>
        <v>0</v>
      </c>
      <c r="BU49" s="4">
        <f t="shared" si="292"/>
        <v>0</v>
      </c>
      <c r="BV49" s="1" t="s">
        <v>713</v>
      </c>
      <c r="DC49" s="1" t="s">
        <v>238</v>
      </c>
    </row>
    <row r="50" spans="1:107" ht="15.75" customHeight="1" x14ac:dyDescent="0.25">
      <c r="A50" s="1" t="b">
        <v>1</v>
      </c>
      <c r="B50" s="3">
        <v>46169.466898148145</v>
      </c>
      <c r="C50" s="1" t="s">
        <v>743</v>
      </c>
      <c r="D50" s="1" t="s">
        <v>4</v>
      </c>
      <c r="E50" s="4">
        <f t="shared" ref="E50:K50" si="293">IF(ISNUMBER(SEARCH(E$1,$D50)), SEARCH(E$1,$D50), 0)</f>
        <v>1</v>
      </c>
      <c r="F50" s="4">
        <f t="shared" si="293"/>
        <v>0</v>
      </c>
      <c r="G50" s="4">
        <f t="shared" si="293"/>
        <v>0</v>
      </c>
      <c r="H50" s="4">
        <f t="shared" si="293"/>
        <v>0</v>
      </c>
      <c r="I50" s="4">
        <f t="shared" si="293"/>
        <v>0</v>
      </c>
      <c r="J50" s="4">
        <f t="shared" si="293"/>
        <v>0</v>
      </c>
      <c r="K50" s="4">
        <f t="shared" si="293"/>
        <v>0</v>
      </c>
      <c r="L50" s="4">
        <f t="shared" si="1"/>
        <v>1</v>
      </c>
      <c r="N50" s="1" t="s">
        <v>469</v>
      </c>
      <c r="O50" s="4">
        <f t="shared" ref="O50:T50" si="294">IF(ISNUMBER(SEARCH(O$1,$N50)), 1, 0)</f>
        <v>1</v>
      </c>
      <c r="P50" s="4">
        <f t="shared" si="294"/>
        <v>0</v>
      </c>
      <c r="Q50" s="4">
        <f t="shared" si="294"/>
        <v>0</v>
      </c>
      <c r="R50" s="4">
        <f t="shared" si="294"/>
        <v>1</v>
      </c>
      <c r="S50" s="4">
        <f t="shared" si="294"/>
        <v>0</v>
      </c>
      <c r="T50" s="4">
        <f t="shared" si="294"/>
        <v>0</v>
      </c>
      <c r="V50" s="1" t="s">
        <v>24</v>
      </c>
      <c r="W50" s="1" t="str">
        <f t="shared" si="252"/>
        <v>False</v>
      </c>
      <c r="X50" s="1" t="str">
        <f t="shared" si="252"/>
        <v>False</v>
      </c>
      <c r="Y50" s="1" t="str">
        <f t="shared" si="252"/>
        <v>True</v>
      </c>
      <c r="Z50" s="1" t="str">
        <f t="shared" si="252"/>
        <v>False</v>
      </c>
      <c r="AA50" s="1" t="str">
        <f t="shared" si="252"/>
        <v>False</v>
      </c>
      <c r="AB50" s="1" t="s">
        <v>28</v>
      </c>
      <c r="AC50" s="4">
        <f t="shared" ref="AC50:AH50" si="295">IF(ISNUMBER(SEARCH(AC$1,$AB50)), 1, 0)</f>
        <v>1</v>
      </c>
      <c r="AD50" s="4">
        <f t="shared" si="295"/>
        <v>0</v>
      </c>
      <c r="AE50" s="4">
        <f t="shared" si="295"/>
        <v>0</v>
      </c>
      <c r="AF50" s="4">
        <f t="shared" si="295"/>
        <v>0</v>
      </c>
      <c r="AG50" s="4">
        <f t="shared" si="295"/>
        <v>0</v>
      </c>
      <c r="AH50" s="4">
        <f t="shared" si="295"/>
        <v>0</v>
      </c>
      <c r="AI50" s="1">
        <f t="shared" si="5"/>
        <v>1</v>
      </c>
      <c r="AK50" s="1" t="s">
        <v>346</v>
      </c>
      <c r="AL50" s="4">
        <f t="shared" ref="AL50:AS50" si="296">IF(ISNUMBER(SEARCH(AL$1,$AK50)), 1, 0)</f>
        <v>0</v>
      </c>
      <c r="AM50" s="4">
        <f t="shared" si="296"/>
        <v>1</v>
      </c>
      <c r="AN50" s="4">
        <f t="shared" si="296"/>
        <v>1</v>
      </c>
      <c r="AO50" s="4">
        <f t="shared" si="296"/>
        <v>1</v>
      </c>
      <c r="AP50" s="4">
        <f t="shared" si="296"/>
        <v>0</v>
      </c>
      <c r="AQ50" s="4">
        <f t="shared" si="296"/>
        <v>0</v>
      </c>
      <c r="AR50" s="4">
        <f t="shared" si="296"/>
        <v>0</v>
      </c>
      <c r="AS50" s="4">
        <f t="shared" si="296"/>
        <v>0</v>
      </c>
      <c r="AU50" s="1" t="s">
        <v>47</v>
      </c>
      <c r="AV50" s="1">
        <f t="shared" si="7"/>
        <v>1</v>
      </c>
      <c r="AW50" s="1">
        <f t="shared" si="8"/>
        <v>0</v>
      </c>
      <c r="AX50" s="1">
        <f t="shared" si="9"/>
        <v>0</v>
      </c>
      <c r="AY50" s="1" t="s">
        <v>48</v>
      </c>
      <c r="BA50" s="1" t="s">
        <v>457</v>
      </c>
      <c r="BB50" s="4">
        <f t="shared" ref="BB50:BJ50" si="297">IF(ISNUMBER(SEARCH(BB$1,$BA50)), 1, 0)</f>
        <v>0</v>
      </c>
      <c r="BC50" s="4">
        <f t="shared" si="297"/>
        <v>0</v>
      </c>
      <c r="BD50" s="4">
        <f t="shared" si="297"/>
        <v>0</v>
      </c>
      <c r="BE50" s="4">
        <f t="shared" si="297"/>
        <v>0</v>
      </c>
      <c r="BF50" s="4">
        <f t="shared" si="297"/>
        <v>1</v>
      </c>
      <c r="BG50" s="4">
        <f t="shared" si="297"/>
        <v>1</v>
      </c>
      <c r="BH50" s="4">
        <f t="shared" si="297"/>
        <v>0</v>
      </c>
      <c r="BI50" s="4">
        <f t="shared" si="297"/>
        <v>0</v>
      </c>
      <c r="BJ50" s="4">
        <f t="shared" si="297"/>
        <v>1</v>
      </c>
      <c r="BK50" s="4">
        <f t="shared" si="11"/>
        <v>3</v>
      </c>
      <c r="BM50" s="1" t="s">
        <v>232</v>
      </c>
      <c r="BN50" s="1" t="s">
        <v>744</v>
      </c>
      <c r="BO50" s="4">
        <f t="shared" ref="BO50:BU50" si="298">IF(ISNUMBER(SEARCH(BO$1,$BN50)), 1, 0)</f>
        <v>0</v>
      </c>
      <c r="BP50" s="4">
        <f t="shared" si="298"/>
        <v>0</v>
      </c>
      <c r="BQ50" s="4">
        <f t="shared" si="298"/>
        <v>0</v>
      </c>
      <c r="BR50" s="4">
        <f t="shared" si="298"/>
        <v>1</v>
      </c>
      <c r="BS50" s="4">
        <f t="shared" si="298"/>
        <v>0</v>
      </c>
      <c r="BT50" s="4">
        <f t="shared" si="298"/>
        <v>0</v>
      </c>
      <c r="BU50" s="4">
        <f t="shared" si="298"/>
        <v>1</v>
      </c>
      <c r="DC50" s="1" t="s">
        <v>180</v>
      </c>
    </row>
    <row r="51" spans="1:107" ht="15.75" customHeight="1" x14ac:dyDescent="0.25">
      <c r="A51" s="1" t="b">
        <v>1</v>
      </c>
      <c r="B51" s="3">
        <v>46169.784131944441</v>
      </c>
      <c r="C51" s="1" t="s">
        <v>752</v>
      </c>
      <c r="D51" s="1" t="s">
        <v>4</v>
      </c>
      <c r="E51" s="4">
        <f t="shared" ref="E51:K51" si="299">IF(ISNUMBER(SEARCH(E$1,$D51)), SEARCH(E$1,$D51), 0)</f>
        <v>1</v>
      </c>
      <c r="F51" s="4">
        <f t="shared" si="299"/>
        <v>0</v>
      </c>
      <c r="G51" s="4">
        <f t="shared" si="299"/>
        <v>0</v>
      </c>
      <c r="H51" s="4">
        <f t="shared" si="299"/>
        <v>0</v>
      </c>
      <c r="I51" s="4">
        <f t="shared" si="299"/>
        <v>0</v>
      </c>
      <c r="J51" s="4">
        <f t="shared" si="299"/>
        <v>0</v>
      </c>
      <c r="K51" s="4">
        <f t="shared" si="299"/>
        <v>0</v>
      </c>
      <c r="L51" s="4">
        <f t="shared" si="1"/>
        <v>1</v>
      </c>
      <c r="N51" s="1" t="s">
        <v>328</v>
      </c>
      <c r="O51" s="4">
        <f t="shared" ref="O51:T51" si="300">IF(ISNUMBER(SEARCH(O$1,$N51)), 1, 0)</f>
        <v>1</v>
      </c>
      <c r="P51" s="4">
        <f t="shared" si="300"/>
        <v>1</v>
      </c>
      <c r="Q51" s="4">
        <f t="shared" si="300"/>
        <v>1</v>
      </c>
      <c r="R51" s="4">
        <f t="shared" si="300"/>
        <v>0</v>
      </c>
      <c r="S51" s="4">
        <f t="shared" si="300"/>
        <v>0</v>
      </c>
      <c r="T51" s="4">
        <f t="shared" si="300"/>
        <v>0</v>
      </c>
      <c r="W51" s="1" t="str">
        <f t="shared" si="252"/>
        <v>False</v>
      </c>
      <c r="X51" s="1" t="str">
        <f t="shared" si="252"/>
        <v>False</v>
      </c>
      <c r="Y51" s="1" t="str">
        <f t="shared" si="252"/>
        <v>False</v>
      </c>
      <c r="Z51" s="1" t="str">
        <f t="shared" si="252"/>
        <v>False</v>
      </c>
      <c r="AA51" s="1" t="str">
        <f t="shared" si="252"/>
        <v>False</v>
      </c>
      <c r="AB51" s="1" t="s">
        <v>28</v>
      </c>
      <c r="AC51" s="4">
        <f t="shared" ref="AC51:AH51" si="301">IF(ISNUMBER(SEARCH(AC$1,$AB51)), 1, 0)</f>
        <v>1</v>
      </c>
      <c r="AD51" s="4">
        <f t="shared" si="301"/>
        <v>0</v>
      </c>
      <c r="AE51" s="4">
        <f t="shared" si="301"/>
        <v>0</v>
      </c>
      <c r="AF51" s="4">
        <f t="shared" si="301"/>
        <v>0</v>
      </c>
      <c r="AG51" s="4">
        <f t="shared" si="301"/>
        <v>0</v>
      </c>
      <c r="AH51" s="4">
        <f t="shared" si="301"/>
        <v>0</v>
      </c>
      <c r="AI51" s="1">
        <f t="shared" si="5"/>
        <v>1</v>
      </c>
      <c r="AK51" s="1" t="s">
        <v>38</v>
      </c>
      <c r="AL51" s="4">
        <f t="shared" ref="AL51:AS51" si="302">IF(ISNUMBER(SEARCH(AL$1,$AK51)), 1, 0)</f>
        <v>0</v>
      </c>
      <c r="AM51" s="4">
        <f t="shared" si="302"/>
        <v>1</v>
      </c>
      <c r="AN51" s="4">
        <f t="shared" si="302"/>
        <v>0</v>
      </c>
      <c r="AO51" s="4">
        <f t="shared" si="302"/>
        <v>0</v>
      </c>
      <c r="AP51" s="4">
        <f t="shared" si="302"/>
        <v>0</v>
      </c>
      <c r="AQ51" s="4">
        <f t="shared" si="302"/>
        <v>0</v>
      </c>
      <c r="AR51" s="4">
        <f t="shared" si="302"/>
        <v>0</v>
      </c>
      <c r="AS51" s="4">
        <f t="shared" si="302"/>
        <v>0</v>
      </c>
      <c r="AU51" s="1" t="s">
        <v>49</v>
      </c>
      <c r="AV51" s="1">
        <f t="shared" si="7"/>
        <v>0</v>
      </c>
      <c r="AW51" s="1">
        <f t="shared" si="8"/>
        <v>0</v>
      </c>
      <c r="AX51" s="1">
        <f t="shared" si="9"/>
        <v>1</v>
      </c>
      <c r="AY51" s="1" t="s">
        <v>48</v>
      </c>
      <c r="BA51" s="1" t="s">
        <v>61</v>
      </c>
      <c r="BB51" s="4">
        <f t="shared" ref="BB51:BJ51" si="303">IF(ISNUMBER(SEARCH(BB$1,$BA51)), 1, 0)</f>
        <v>0</v>
      </c>
      <c r="BC51" s="4">
        <f t="shared" si="303"/>
        <v>0</v>
      </c>
      <c r="BD51" s="4">
        <f t="shared" si="303"/>
        <v>0</v>
      </c>
      <c r="BE51" s="4">
        <f t="shared" si="303"/>
        <v>0</v>
      </c>
      <c r="BF51" s="4">
        <f t="shared" si="303"/>
        <v>0</v>
      </c>
      <c r="BG51" s="4">
        <f t="shared" si="303"/>
        <v>0</v>
      </c>
      <c r="BH51" s="4">
        <f t="shared" si="303"/>
        <v>0</v>
      </c>
      <c r="BI51" s="4">
        <f t="shared" si="303"/>
        <v>0</v>
      </c>
      <c r="BJ51" s="4">
        <f t="shared" si="303"/>
        <v>1</v>
      </c>
      <c r="BK51" s="4">
        <f t="shared" si="11"/>
        <v>1</v>
      </c>
      <c r="BM51" s="1" t="s">
        <v>232</v>
      </c>
      <c r="BN51" s="1" t="s">
        <v>475</v>
      </c>
      <c r="BO51" s="4">
        <f t="shared" ref="BO51:BU51" si="304">IF(ISNUMBER(SEARCH(BO$1,$BN51)), 1, 0)</f>
        <v>0</v>
      </c>
      <c r="BP51" s="4">
        <f t="shared" si="304"/>
        <v>0</v>
      </c>
      <c r="BQ51" s="4">
        <f t="shared" si="304"/>
        <v>0</v>
      </c>
      <c r="BR51" s="4">
        <f t="shared" si="304"/>
        <v>1</v>
      </c>
      <c r="BS51" s="4">
        <f t="shared" si="304"/>
        <v>1</v>
      </c>
      <c r="BT51" s="4">
        <f t="shared" si="304"/>
        <v>1</v>
      </c>
      <c r="BU51" s="4">
        <f t="shared" si="304"/>
        <v>1</v>
      </c>
      <c r="DC51" s="1" t="s">
        <v>180</v>
      </c>
    </row>
    <row r="52" spans="1:107" ht="15.75" customHeight="1" x14ac:dyDescent="0.25">
      <c r="A52" s="1" t="b">
        <v>1</v>
      </c>
      <c r="B52" s="3">
        <v>46172.71056712963</v>
      </c>
      <c r="C52" s="1" t="s">
        <v>786</v>
      </c>
      <c r="D52" s="1" t="s">
        <v>4</v>
      </c>
      <c r="E52" s="4">
        <f t="shared" ref="E52:K52" si="305">IF(ISNUMBER(SEARCH(E$1,$D52)), SEARCH(E$1,$D52), 0)</f>
        <v>1</v>
      </c>
      <c r="F52" s="4">
        <f t="shared" si="305"/>
        <v>0</v>
      </c>
      <c r="G52" s="4">
        <f t="shared" si="305"/>
        <v>0</v>
      </c>
      <c r="H52" s="4">
        <f t="shared" si="305"/>
        <v>0</v>
      </c>
      <c r="I52" s="4">
        <f t="shared" si="305"/>
        <v>0</v>
      </c>
      <c r="J52" s="4">
        <f t="shared" si="305"/>
        <v>0</v>
      </c>
      <c r="K52" s="4">
        <f t="shared" si="305"/>
        <v>0</v>
      </c>
      <c r="L52" s="4">
        <f t="shared" si="1"/>
        <v>1</v>
      </c>
      <c r="N52" s="1" t="s">
        <v>272</v>
      </c>
      <c r="O52" s="4">
        <f t="shared" ref="O52:T52" si="306">IF(ISNUMBER(SEARCH(O$1,$N52)), 1, 0)</f>
        <v>1</v>
      </c>
      <c r="P52" s="4">
        <f t="shared" si="306"/>
        <v>1</v>
      </c>
      <c r="Q52" s="4">
        <f t="shared" si="306"/>
        <v>1</v>
      </c>
      <c r="R52" s="4">
        <f t="shared" si="306"/>
        <v>1</v>
      </c>
      <c r="S52" s="4">
        <f t="shared" si="306"/>
        <v>1</v>
      </c>
      <c r="T52" s="4">
        <f t="shared" si="306"/>
        <v>0</v>
      </c>
      <c r="W52" s="1" t="str">
        <f t="shared" si="252"/>
        <v>False</v>
      </c>
      <c r="X52" s="1" t="str">
        <f t="shared" si="252"/>
        <v>False</v>
      </c>
      <c r="Y52" s="1" t="str">
        <f t="shared" si="252"/>
        <v>False</v>
      </c>
      <c r="Z52" s="1" t="str">
        <f t="shared" si="252"/>
        <v>False</v>
      </c>
      <c r="AA52" s="1" t="str">
        <f t="shared" si="252"/>
        <v>False</v>
      </c>
      <c r="AB52" s="1" t="s">
        <v>28</v>
      </c>
      <c r="AC52" s="4">
        <f t="shared" ref="AC52:AH52" si="307">IF(ISNUMBER(SEARCH(AC$1,$AB52)), 1, 0)</f>
        <v>1</v>
      </c>
      <c r="AD52" s="4">
        <f t="shared" si="307"/>
        <v>0</v>
      </c>
      <c r="AE52" s="4">
        <f t="shared" si="307"/>
        <v>0</v>
      </c>
      <c r="AF52" s="4">
        <f t="shared" si="307"/>
        <v>0</v>
      </c>
      <c r="AG52" s="4">
        <f t="shared" si="307"/>
        <v>0</v>
      </c>
      <c r="AH52" s="4">
        <f t="shared" si="307"/>
        <v>0</v>
      </c>
      <c r="AI52" s="1">
        <f t="shared" si="5"/>
        <v>1</v>
      </c>
      <c r="AK52" s="1" t="s">
        <v>38</v>
      </c>
      <c r="AL52" s="4">
        <f t="shared" ref="AL52:AS52" si="308">IF(ISNUMBER(SEARCH(AL$1,$AK52)), 1, 0)</f>
        <v>0</v>
      </c>
      <c r="AM52" s="4">
        <f t="shared" si="308"/>
        <v>1</v>
      </c>
      <c r="AN52" s="4">
        <f t="shared" si="308"/>
        <v>0</v>
      </c>
      <c r="AO52" s="4">
        <f t="shared" si="308"/>
        <v>0</v>
      </c>
      <c r="AP52" s="4">
        <f t="shared" si="308"/>
        <v>0</v>
      </c>
      <c r="AQ52" s="4">
        <f t="shared" si="308"/>
        <v>0</v>
      </c>
      <c r="AR52" s="4">
        <f t="shared" si="308"/>
        <v>0</v>
      </c>
      <c r="AS52" s="4">
        <f t="shared" si="308"/>
        <v>0</v>
      </c>
      <c r="AU52" s="1" t="s">
        <v>47</v>
      </c>
      <c r="AV52" s="1">
        <f t="shared" si="7"/>
        <v>1</v>
      </c>
      <c r="AW52" s="1">
        <f t="shared" si="8"/>
        <v>0</v>
      </c>
      <c r="AX52" s="1">
        <f t="shared" si="9"/>
        <v>0</v>
      </c>
      <c r="AY52" s="1" t="s">
        <v>48</v>
      </c>
      <c r="BA52" s="1" t="s">
        <v>231</v>
      </c>
      <c r="BB52" s="4">
        <f t="shared" ref="BB52:BJ52" si="309">IF(ISNUMBER(SEARCH(BB$1,$BA52)), 1, 0)</f>
        <v>1</v>
      </c>
      <c r="BC52" s="4">
        <f t="shared" si="309"/>
        <v>1</v>
      </c>
      <c r="BD52" s="4">
        <f t="shared" si="309"/>
        <v>1</v>
      </c>
      <c r="BE52" s="4">
        <f t="shared" si="309"/>
        <v>1</v>
      </c>
      <c r="BF52" s="4">
        <f t="shared" si="309"/>
        <v>1</v>
      </c>
      <c r="BG52" s="4">
        <f t="shared" si="309"/>
        <v>1</v>
      </c>
      <c r="BH52" s="4">
        <f t="shared" si="309"/>
        <v>0</v>
      </c>
      <c r="BI52" s="4">
        <f t="shared" si="309"/>
        <v>0</v>
      </c>
      <c r="BJ52" s="4">
        <f t="shared" si="309"/>
        <v>1</v>
      </c>
      <c r="BK52" s="4">
        <f t="shared" si="11"/>
        <v>7</v>
      </c>
      <c r="BM52" s="1" t="s">
        <v>166</v>
      </c>
      <c r="BN52" s="1" t="s">
        <v>787</v>
      </c>
      <c r="BO52" s="4">
        <f t="shared" ref="BO52:BU52" si="310">IF(ISNUMBER(SEARCH(BO$1,$BN52)), 1, 0)</f>
        <v>1</v>
      </c>
      <c r="BP52" s="4">
        <f t="shared" si="310"/>
        <v>1</v>
      </c>
      <c r="BQ52" s="4">
        <f t="shared" si="310"/>
        <v>1</v>
      </c>
      <c r="BR52" s="4">
        <f t="shared" si="310"/>
        <v>0</v>
      </c>
      <c r="BS52" s="4">
        <f t="shared" si="310"/>
        <v>1</v>
      </c>
      <c r="BT52" s="4">
        <f t="shared" si="310"/>
        <v>1</v>
      </c>
      <c r="BU52" s="4">
        <f t="shared" si="310"/>
        <v>0</v>
      </c>
      <c r="DC52" s="1" t="s">
        <v>180</v>
      </c>
    </row>
    <row r="53" spans="1:107" ht="15.75" customHeight="1" x14ac:dyDescent="0.25">
      <c r="A53" s="1"/>
      <c r="B53" s="3"/>
      <c r="C53" s="1"/>
      <c r="D53" s="1"/>
      <c r="N53" s="1"/>
      <c r="O53" s="4">
        <f>SUM(O$2:O52)</f>
        <v>45</v>
      </c>
      <c r="P53" s="4">
        <f>SUM(P$2:P52)</f>
        <v>35</v>
      </c>
      <c r="Q53" s="4">
        <f>SUM(Q$2:Q52)</f>
        <v>29</v>
      </c>
      <c r="R53" s="4">
        <f>SUM(R$2:R52)</f>
        <v>27</v>
      </c>
      <c r="S53" s="4">
        <f>SUM(S$2:S52)</f>
        <v>11</v>
      </c>
      <c r="T53" s="4">
        <f>SUM(T$2:T52)</f>
        <v>6</v>
      </c>
      <c r="V53" s="1"/>
      <c r="W53" s="1"/>
      <c r="X53" s="1"/>
      <c r="Y53" s="1"/>
      <c r="Z53" s="1"/>
      <c r="AA53" s="1"/>
      <c r="AB53" s="1"/>
      <c r="AC53" s="4">
        <f>SUM(AC$2:AC52)</f>
        <v>22</v>
      </c>
      <c r="AD53" s="4">
        <f>SUM(AD$2:AD52)</f>
        <v>6</v>
      </c>
      <c r="AE53" s="4">
        <f>SUM(AE$2:AE52)</f>
        <v>2</v>
      </c>
      <c r="AF53" s="4">
        <f>SUM(AF$2:AF52)</f>
        <v>11</v>
      </c>
      <c r="AG53" s="4">
        <f>SUM(AG$2:AG52)</f>
        <v>4</v>
      </c>
      <c r="AH53" s="4">
        <f>SUM(AH$2:AH52)</f>
        <v>24</v>
      </c>
      <c r="AI53" s="4"/>
      <c r="AJ53" s="1"/>
      <c r="AK53" s="1"/>
      <c r="AL53" s="4">
        <f>SUM(AL$2:AL52)</f>
        <v>18</v>
      </c>
      <c r="AM53" s="4">
        <f>SUM(AM$2:AM52)</f>
        <v>38</v>
      </c>
      <c r="AN53" s="4">
        <f>SUM(AN$2:AN52)</f>
        <v>18</v>
      </c>
      <c r="AO53" s="4">
        <f>SUM(AO$2:AO52)</f>
        <v>33</v>
      </c>
      <c r="AP53" s="4">
        <f>SUM(AP$2:AP52)</f>
        <v>10</v>
      </c>
      <c r="AQ53" s="4">
        <f>SUM(AQ$2:AQ52)</f>
        <v>31</v>
      </c>
      <c r="AR53" s="4">
        <f>SUM(AR$2:AR52)</f>
        <v>6</v>
      </c>
      <c r="AS53" s="4">
        <f>SUM(AS$2:AS52)</f>
        <v>5</v>
      </c>
      <c r="AU53" s="1"/>
      <c r="AV53" s="4">
        <f>SUM(AV$2:AV52)</f>
        <v>35</v>
      </c>
      <c r="AW53" s="4">
        <f>SUM(AW$2:AW52)</f>
        <v>10</v>
      </c>
      <c r="AX53" s="4">
        <f>SUM(AX$2:AX52)</f>
        <v>5</v>
      </c>
      <c r="AY53" s="1"/>
      <c r="AZ53" s="1"/>
      <c r="BA53" s="1"/>
      <c r="BB53" s="4">
        <f>SUM(BB$2:BB52)</f>
        <v>4</v>
      </c>
      <c r="BC53" s="4">
        <f>SUM(BC$2:BC52)</f>
        <v>15</v>
      </c>
      <c r="BD53" s="4">
        <f>SUM(BD$2:BD52)</f>
        <v>13</v>
      </c>
      <c r="BE53" s="4">
        <f>SUM(BE$2:BE52)</f>
        <v>19</v>
      </c>
      <c r="BF53" s="4">
        <f>SUM(BF$2:BF52)</f>
        <v>21</v>
      </c>
      <c r="BG53" s="4">
        <f>SUM(BG$2:BG52)</f>
        <v>18</v>
      </c>
      <c r="BH53" s="4">
        <f>SUM(BH$2:BH52)</f>
        <v>0</v>
      </c>
      <c r="BI53" s="4">
        <f>SUM(BI$2:BI52)</f>
        <v>2</v>
      </c>
      <c r="BJ53" s="4">
        <f>SUM(BJ$2:BJ52)</f>
        <v>43</v>
      </c>
      <c r="BO53" s="4">
        <f>SUM(BO$2:BO52)</f>
        <v>11</v>
      </c>
      <c r="BP53" s="4">
        <f>SUM(BP$2:BP52)</f>
        <v>12</v>
      </c>
      <c r="BQ53" s="4">
        <f>SUM(BQ$2:BQ52)</f>
        <v>5</v>
      </c>
      <c r="BR53" s="4">
        <f>SUM(BR$2:BR52)</f>
        <v>11</v>
      </c>
      <c r="BS53" s="4">
        <f>SUM(BS$2:BS52)</f>
        <v>7</v>
      </c>
      <c r="BT53" s="4">
        <f>SUM(BT$2:BT52)</f>
        <v>13</v>
      </c>
      <c r="BU53" s="4">
        <f>SUM(BU$2:BU52)</f>
        <v>20</v>
      </c>
      <c r="BW53" s="1"/>
      <c r="CX53" s="1"/>
      <c r="CZ53" s="1"/>
      <c r="DB53" s="1"/>
      <c r="DC53" s="1"/>
    </row>
    <row r="54" spans="1:107" ht="15.75" customHeight="1" x14ac:dyDescent="0.25">
      <c r="A54" s="1"/>
      <c r="B54" s="3"/>
      <c r="C54" s="1"/>
      <c r="D54" s="1"/>
      <c r="N54" s="1"/>
      <c r="O54" s="4">
        <f t="shared" ref="O54:T54" si="311">_xlfn.PERCENTOF(O53,COUNT(O3:O52))</f>
        <v>0.9</v>
      </c>
      <c r="P54" s="4">
        <f t="shared" si="311"/>
        <v>0.7</v>
      </c>
      <c r="Q54" s="4">
        <f t="shared" si="311"/>
        <v>0.57999999999999996</v>
      </c>
      <c r="R54" s="4">
        <f t="shared" si="311"/>
        <v>0.54</v>
      </c>
      <c r="S54" s="4">
        <f t="shared" si="311"/>
        <v>0.22</v>
      </c>
      <c r="T54" s="4">
        <f t="shared" si="311"/>
        <v>0.12</v>
      </c>
      <c r="U54" s="1"/>
      <c r="V54" s="1"/>
      <c r="W54" s="1"/>
      <c r="X54" s="1"/>
      <c r="Y54" s="1"/>
      <c r="Z54" s="1"/>
      <c r="AA54" s="1"/>
      <c r="AB54" s="1"/>
      <c r="AC54" s="4">
        <f t="shared" ref="AC54:AH54" si="312">_xlfn.PERCENTOF(AC53,COUNT(AC3:AC52))</f>
        <v>0.44</v>
      </c>
      <c r="AD54" s="4">
        <f t="shared" si="312"/>
        <v>0.12</v>
      </c>
      <c r="AE54" s="4">
        <f t="shared" si="312"/>
        <v>0.04</v>
      </c>
      <c r="AF54" s="4">
        <f t="shared" si="312"/>
        <v>0.22</v>
      </c>
      <c r="AG54" s="4">
        <f t="shared" si="312"/>
        <v>0.08</v>
      </c>
      <c r="AH54" s="4">
        <f t="shared" si="312"/>
        <v>0.48</v>
      </c>
      <c r="AI54" s="4"/>
      <c r="AJ54" s="1"/>
      <c r="AK54" s="1"/>
      <c r="AL54" s="4">
        <f t="shared" ref="AL54:AS54" si="313">_xlfn.PERCENTOF(AL53,COUNT(AL3:AL52))</f>
        <v>0.36</v>
      </c>
      <c r="AM54" s="4">
        <f t="shared" si="313"/>
        <v>0.76</v>
      </c>
      <c r="AN54" s="4">
        <f t="shared" si="313"/>
        <v>0.36</v>
      </c>
      <c r="AO54" s="4">
        <f t="shared" si="313"/>
        <v>0.66</v>
      </c>
      <c r="AP54" s="4">
        <f t="shared" si="313"/>
        <v>0.2</v>
      </c>
      <c r="AQ54" s="4">
        <f t="shared" si="313"/>
        <v>0.62</v>
      </c>
      <c r="AR54" s="4">
        <f t="shared" si="313"/>
        <v>0.12</v>
      </c>
      <c r="AS54" s="4">
        <f t="shared" si="313"/>
        <v>0.1</v>
      </c>
      <c r="AT54" s="1"/>
      <c r="AU54" s="1"/>
      <c r="AV54" s="4">
        <f>_xlfn.PERCENTOF(AV53,COUNT(AV3:AV52))</f>
        <v>0.7</v>
      </c>
      <c r="AW54" s="4">
        <f>_xlfn.PERCENTOF(AW53,COUNT(AW3:AW52))</f>
        <v>0.2</v>
      </c>
      <c r="AX54" s="4">
        <f>_xlfn.PERCENTOF(AX53,COUNT(AX3:AX52))</f>
        <v>0.1</v>
      </c>
      <c r="AY54" s="1"/>
      <c r="BA54" s="1"/>
      <c r="BB54" s="4">
        <f t="shared" ref="BB54:BJ54" si="314">_xlfn.PERCENTOF(BB53,COUNT(BB3:BB52))</f>
        <v>0.08</v>
      </c>
      <c r="BC54" s="4">
        <f t="shared" si="314"/>
        <v>0.3</v>
      </c>
      <c r="BD54" s="4">
        <f t="shared" si="314"/>
        <v>0.26</v>
      </c>
      <c r="BE54" s="4">
        <f t="shared" si="314"/>
        <v>0.38</v>
      </c>
      <c r="BF54" s="4">
        <f t="shared" si="314"/>
        <v>0.42</v>
      </c>
      <c r="BG54" s="4">
        <f t="shared" si="314"/>
        <v>0.36</v>
      </c>
      <c r="BH54" s="4">
        <f t="shared" si="314"/>
        <v>0</v>
      </c>
      <c r="BI54" s="4">
        <f t="shared" si="314"/>
        <v>0.04</v>
      </c>
      <c r="BJ54" s="4">
        <f t="shared" si="314"/>
        <v>0.86</v>
      </c>
      <c r="BM54" s="1"/>
      <c r="BN54" s="1"/>
      <c r="BO54" s="4">
        <f t="shared" ref="BO54:BU54" si="315">_xlfn.PERCENTOF(BO53,COUNT(BO3:BO52))</f>
        <v>0.22</v>
      </c>
      <c r="BP54" s="4">
        <f t="shared" si="315"/>
        <v>0.24</v>
      </c>
      <c r="BQ54" s="4">
        <f t="shared" si="315"/>
        <v>0.1</v>
      </c>
      <c r="BR54" s="4">
        <f t="shared" si="315"/>
        <v>0.22</v>
      </c>
      <c r="BS54" s="4">
        <f t="shared" si="315"/>
        <v>0.14000000000000001</v>
      </c>
      <c r="BT54" s="4">
        <f t="shared" si="315"/>
        <v>0.26</v>
      </c>
      <c r="BU54" s="4">
        <f t="shared" si="315"/>
        <v>0.4</v>
      </c>
      <c r="CX54" s="1"/>
      <c r="CZ54" s="1"/>
      <c r="DC54" s="1"/>
    </row>
    <row r="55" spans="1:107" ht="15.75" customHeight="1" x14ac:dyDescent="0.25">
      <c r="A55" s="1"/>
      <c r="B55" s="3"/>
      <c r="C55" s="1"/>
      <c r="D55" s="1"/>
      <c r="N55" s="1"/>
      <c r="W55" s="1"/>
      <c r="X55" s="1"/>
      <c r="Y55" s="1"/>
      <c r="Z55" s="1"/>
      <c r="AA55" s="1"/>
      <c r="AB55" s="1"/>
      <c r="AI55" s="1"/>
      <c r="AK55" s="1"/>
      <c r="AU55" s="1"/>
      <c r="AV55" s="1"/>
      <c r="AW55" s="1"/>
      <c r="AX55" s="1"/>
      <c r="AY55" s="1"/>
      <c r="BA55" s="1"/>
      <c r="BM55" s="1"/>
      <c r="BN55" s="1"/>
      <c r="CX55" s="1"/>
      <c r="CZ55" s="1"/>
      <c r="DC55" s="1"/>
    </row>
    <row r="56" spans="1:107" ht="15.75" customHeight="1" x14ac:dyDescent="0.25">
      <c r="A56" s="1"/>
      <c r="B56" s="3"/>
      <c r="C56" s="1"/>
      <c r="D56" s="1"/>
      <c r="N56" s="1"/>
      <c r="O56" s="1" t="s">
        <v>14</v>
      </c>
      <c r="P56" s="1" t="s">
        <v>15</v>
      </c>
      <c r="Q56" s="1" t="s">
        <v>16</v>
      </c>
      <c r="R56" s="1" t="s">
        <v>17</v>
      </c>
      <c r="S56" s="1" t="s">
        <v>18</v>
      </c>
      <c r="T56" s="1" t="s">
        <v>19</v>
      </c>
      <c r="W56" s="1"/>
      <c r="X56" s="1"/>
      <c r="Y56" s="1"/>
      <c r="Z56" s="1"/>
      <c r="AA56" s="1"/>
      <c r="AB56" s="1"/>
      <c r="AI56" s="1"/>
      <c r="AK56" s="1"/>
      <c r="AU56" s="1"/>
      <c r="AV56" s="1"/>
      <c r="AW56" s="1"/>
      <c r="AX56" s="1"/>
      <c r="AY56" s="1"/>
      <c r="BA56" s="1"/>
      <c r="BM56" s="1"/>
      <c r="BN56" s="1"/>
      <c r="CX56" s="1"/>
      <c r="CZ56" s="1"/>
      <c r="DC56" s="1"/>
    </row>
    <row r="57" spans="1:107" ht="15.75" customHeight="1" x14ac:dyDescent="0.25">
      <c r="A57" s="1"/>
      <c r="B57" s="3"/>
      <c r="C57" s="1"/>
      <c r="D57" s="1"/>
      <c r="N57" s="1" t="s">
        <v>807</v>
      </c>
      <c r="O57" s="4">
        <v>45</v>
      </c>
      <c r="P57" s="4">
        <v>35</v>
      </c>
      <c r="Q57" s="4">
        <v>29</v>
      </c>
      <c r="R57" s="4">
        <v>27</v>
      </c>
      <c r="S57" s="4">
        <v>11</v>
      </c>
      <c r="T57" s="4">
        <v>6</v>
      </c>
      <c r="V57" s="1"/>
      <c r="W57" s="1"/>
      <c r="X57" s="1"/>
      <c r="Y57" s="1"/>
      <c r="Z57" s="1"/>
      <c r="AA57" s="1"/>
      <c r="AB57" s="1"/>
      <c r="AI57" s="1"/>
      <c r="AK57" s="1"/>
      <c r="AU57" s="1"/>
      <c r="AV57" s="1"/>
      <c r="AW57" s="1"/>
      <c r="AX57" s="1"/>
      <c r="AY57" s="1"/>
      <c r="BA57" s="1"/>
      <c r="BM57" s="1"/>
      <c r="BN57" s="1"/>
      <c r="CX57" s="1"/>
      <c r="CZ57" s="1"/>
      <c r="DB57" s="1"/>
      <c r="DC57" s="1"/>
    </row>
    <row r="58" spans="1:107" ht="15.75" customHeight="1" x14ac:dyDescent="0.25">
      <c r="A58" s="1"/>
      <c r="B58" s="3"/>
      <c r="C58" s="1"/>
      <c r="D58" s="1"/>
      <c r="N58" s="1" t="s">
        <v>806</v>
      </c>
      <c r="O58" s="4">
        <v>0.9</v>
      </c>
      <c r="P58" s="4">
        <v>0.7</v>
      </c>
      <c r="Q58" s="4">
        <v>0.57999999999999996</v>
      </c>
      <c r="R58" s="4">
        <v>0.54</v>
      </c>
      <c r="S58" s="4">
        <v>0.22</v>
      </c>
      <c r="T58" s="4">
        <v>0.12</v>
      </c>
      <c r="W58" s="1"/>
      <c r="X58" s="1"/>
      <c r="Y58" s="1"/>
      <c r="Z58" s="1"/>
      <c r="AA58" s="1"/>
      <c r="AB58" s="1"/>
      <c r="AI58" s="1"/>
      <c r="AK58" s="1"/>
      <c r="AU58" s="1"/>
      <c r="AV58" s="1"/>
      <c r="AW58" s="1"/>
      <c r="AX58" s="1"/>
      <c r="AY58" s="1"/>
      <c r="BA58" s="1"/>
      <c r="BM58" s="1"/>
      <c r="BN58" s="1"/>
      <c r="BW58" s="1"/>
      <c r="BZ58" s="1"/>
      <c r="CA58" s="1"/>
      <c r="CX58" s="1"/>
      <c r="CZ58" s="1"/>
      <c r="DC58" s="1"/>
    </row>
    <row r="59" spans="1:107" ht="15.75" customHeight="1" x14ac:dyDescent="0.25">
      <c r="A59" s="1"/>
      <c r="B59" s="3"/>
      <c r="C59" s="1"/>
      <c r="D59" s="1"/>
      <c r="M59" s="1"/>
      <c r="N59" s="1"/>
      <c r="V59" s="1"/>
      <c r="W59" s="1"/>
      <c r="X59" s="1"/>
      <c r="Y59" s="1"/>
      <c r="Z59" s="1"/>
      <c r="AA59" s="1"/>
      <c r="AB59" s="1"/>
      <c r="AI59" s="1"/>
      <c r="AK59" s="1"/>
      <c r="AU59" s="1"/>
      <c r="AV59" s="1"/>
      <c r="AW59" s="1"/>
      <c r="AX59" s="1"/>
      <c r="AY59" s="1"/>
      <c r="BA59" s="1"/>
      <c r="BM59" s="1"/>
      <c r="BN59" s="1"/>
      <c r="BW59" s="1"/>
      <c r="BZ59" s="1"/>
      <c r="CX59" s="1"/>
      <c r="CZ59" s="1"/>
      <c r="DB59" s="1"/>
      <c r="DC59" s="1"/>
    </row>
    <row r="60" spans="1:107" ht="15.75" customHeight="1" x14ac:dyDescent="0.25">
      <c r="A60" s="1"/>
      <c r="B60" s="3"/>
      <c r="C60" s="1"/>
      <c r="D60" s="1"/>
      <c r="N60" s="1"/>
      <c r="V60" s="1"/>
      <c r="W60" s="1"/>
      <c r="X60" s="1"/>
      <c r="Y60" s="1"/>
      <c r="Z60" s="1"/>
      <c r="AA60" s="1"/>
      <c r="AB60" s="1"/>
      <c r="AI60" s="1"/>
      <c r="AK60" s="1"/>
      <c r="AU60" s="1"/>
      <c r="AV60" s="1"/>
      <c r="AW60" s="1"/>
      <c r="AX60" s="1"/>
      <c r="AY60" s="1"/>
      <c r="BA60" s="1"/>
      <c r="BM60" s="1"/>
      <c r="BN60" s="1"/>
    </row>
    <row r="61" spans="1:107" ht="15.75" customHeight="1" x14ac:dyDescent="0.25">
      <c r="A61" s="1"/>
      <c r="B61" s="3"/>
      <c r="C61" s="1"/>
      <c r="D61" s="1"/>
      <c r="N61" s="1"/>
      <c r="V61" s="1"/>
      <c r="W61" s="1"/>
      <c r="X61" s="1"/>
      <c r="Y61" s="1"/>
      <c r="Z61" s="1"/>
      <c r="AA61" s="1"/>
      <c r="AB61" s="1"/>
      <c r="AI61" s="1"/>
      <c r="AK61" s="1"/>
      <c r="AU61" s="1"/>
      <c r="AV61" s="1"/>
      <c r="AW61" s="1"/>
      <c r="AX61" s="1"/>
      <c r="AY61" s="1"/>
      <c r="BA61" s="1"/>
      <c r="BM61" s="1"/>
      <c r="BN61" s="1"/>
      <c r="BV61" s="1"/>
      <c r="CX61" s="1"/>
      <c r="CZ61" s="1"/>
      <c r="DB61" s="1"/>
      <c r="DC61" s="1"/>
    </row>
    <row r="62" spans="1:107" ht="15.75" customHeight="1" x14ac:dyDescent="0.25">
      <c r="A62" s="1"/>
      <c r="B62" s="3"/>
      <c r="C62" s="1"/>
      <c r="D62" s="1"/>
      <c r="N62" s="1"/>
      <c r="W62" s="1"/>
      <c r="X62" s="1"/>
      <c r="Y62" s="1"/>
      <c r="Z62" s="1"/>
      <c r="AA62" s="1"/>
      <c r="AB62" s="1"/>
      <c r="AI62" s="1"/>
      <c r="AK62" s="1"/>
      <c r="AU62" s="1"/>
      <c r="AV62" s="1"/>
      <c r="AW62" s="1"/>
      <c r="AX62" s="1"/>
      <c r="AY62" s="1"/>
      <c r="BA62" s="1"/>
      <c r="BM62" s="1"/>
      <c r="BN62" s="1"/>
      <c r="BW62" s="1"/>
      <c r="BY62" s="1"/>
      <c r="BZ62" s="1"/>
      <c r="CX62" s="1"/>
      <c r="CZ62" s="1"/>
      <c r="DC62" s="1"/>
    </row>
    <row r="63" spans="1:107" ht="15.75" customHeight="1" x14ac:dyDescent="0.25">
      <c r="A63" s="1"/>
      <c r="B63" s="3"/>
      <c r="C63" s="1"/>
      <c r="D63" s="1"/>
      <c r="N63" s="1"/>
      <c r="V63" s="1"/>
      <c r="W63" s="1"/>
      <c r="X63" s="1"/>
      <c r="Y63" s="1"/>
      <c r="Z63" s="1"/>
      <c r="AA63" s="1"/>
      <c r="AB63" s="1"/>
      <c r="AI63" s="1"/>
      <c r="AK63" s="1"/>
      <c r="AU63" s="1"/>
      <c r="AV63" s="1"/>
      <c r="AW63" s="1"/>
      <c r="AX63" s="1"/>
      <c r="AY63" s="1"/>
      <c r="BA63" s="1"/>
      <c r="BM63" s="1"/>
      <c r="BN63" s="1"/>
      <c r="BV63" s="1"/>
      <c r="BW63" s="1"/>
      <c r="BY63" s="1"/>
      <c r="CX63" s="1"/>
      <c r="CY63" s="1"/>
      <c r="CZ63" s="1"/>
      <c r="DB63" s="1"/>
      <c r="DC63" s="1"/>
    </row>
    <row r="64" spans="1:107" ht="15.75" customHeight="1" x14ac:dyDescent="0.25">
      <c r="A64" s="1"/>
      <c r="B64" s="3"/>
      <c r="C64" s="1"/>
      <c r="D64" s="1"/>
      <c r="N64" s="1"/>
      <c r="W64" s="1"/>
      <c r="X64" s="1"/>
      <c r="Y64" s="1"/>
      <c r="Z64" s="1"/>
      <c r="AA64" s="1"/>
      <c r="AB64" s="1"/>
      <c r="AI64" s="1"/>
      <c r="AK64" s="1"/>
      <c r="AU64" s="1"/>
      <c r="AV64" s="1"/>
      <c r="AW64" s="1"/>
      <c r="AX64" s="1"/>
      <c r="AY64" s="1"/>
      <c r="BA64" s="1"/>
      <c r="BM64" s="1"/>
      <c r="BN64" s="1"/>
      <c r="BW64" s="1"/>
      <c r="CX64" s="1"/>
      <c r="CZ64" s="1"/>
      <c r="DC64" s="1"/>
    </row>
    <row r="65" spans="1:107" ht="15.75" customHeight="1" x14ac:dyDescent="0.25">
      <c r="A65" s="1"/>
      <c r="B65" s="3"/>
      <c r="C65" s="1"/>
      <c r="D65" s="1"/>
      <c r="N65" s="1"/>
      <c r="V65" s="1"/>
      <c r="W65" s="1"/>
      <c r="X65" s="1"/>
      <c r="Y65" s="1"/>
      <c r="Z65" s="1"/>
      <c r="AA65" s="1"/>
      <c r="AB65" s="1"/>
      <c r="AI65" s="1"/>
      <c r="AK65" s="1"/>
      <c r="AU65" s="1"/>
      <c r="AV65" s="1"/>
      <c r="AW65" s="1"/>
      <c r="AX65" s="1"/>
      <c r="AY65" s="1"/>
      <c r="BA65" s="1"/>
      <c r="BM65" s="1"/>
      <c r="BN65" s="1"/>
    </row>
    <row r="66" spans="1:107" ht="15.75" customHeight="1" x14ac:dyDescent="0.25">
      <c r="A66" s="1"/>
      <c r="B66" s="3"/>
      <c r="C66" s="1"/>
      <c r="D66" s="1"/>
      <c r="N66" s="1"/>
      <c r="V66" s="1"/>
      <c r="W66" s="1"/>
      <c r="X66" s="1"/>
      <c r="Y66" s="1"/>
      <c r="Z66" s="1"/>
      <c r="AA66" s="1"/>
      <c r="AB66" s="1"/>
      <c r="AI66" s="1"/>
      <c r="AK66" s="1"/>
      <c r="AU66" s="1"/>
      <c r="AV66" s="1"/>
      <c r="AW66" s="1"/>
      <c r="AX66" s="1"/>
      <c r="AY66" s="1"/>
      <c r="BA66" s="1"/>
      <c r="BM66" s="1"/>
      <c r="BN66" s="1"/>
      <c r="CX66" s="1"/>
      <c r="DB66" s="1"/>
      <c r="DC66" s="1"/>
    </row>
    <row r="67" spans="1:107" ht="15.75" customHeight="1" x14ac:dyDescent="0.25">
      <c r="A67" s="1"/>
      <c r="B67" s="3"/>
      <c r="C67" s="1"/>
      <c r="D67" s="1"/>
      <c r="N67" s="1"/>
      <c r="V67" s="1"/>
      <c r="W67" s="1"/>
      <c r="X67" s="1"/>
      <c r="Y67" s="1"/>
      <c r="Z67" s="1"/>
      <c r="AA67" s="1"/>
      <c r="AB67" s="1"/>
      <c r="AI67" s="1"/>
      <c r="AJ67" s="1"/>
      <c r="AK67" s="1"/>
      <c r="AU67" s="1"/>
      <c r="AV67" s="1"/>
      <c r="AW67" s="1"/>
      <c r="AX67" s="1"/>
      <c r="AY67" s="1"/>
      <c r="BA67" s="1"/>
      <c r="BL67" s="1"/>
      <c r="BM67" s="1"/>
      <c r="CX67" s="1"/>
      <c r="CZ67" s="1"/>
      <c r="DA67" s="1"/>
      <c r="DB67" s="1"/>
      <c r="DC67" s="1"/>
    </row>
    <row r="68" spans="1:107" ht="15.75" customHeight="1" x14ac:dyDescent="0.25">
      <c r="A68" s="1"/>
      <c r="B68" s="3"/>
      <c r="C68" s="1"/>
      <c r="D68" s="1"/>
      <c r="N68" s="1"/>
      <c r="V68" s="1"/>
      <c r="W68" s="1"/>
      <c r="X68" s="1"/>
      <c r="Y68" s="1"/>
      <c r="Z68" s="1"/>
      <c r="AA68" s="1"/>
      <c r="AB68" s="1"/>
      <c r="AI68" s="1"/>
      <c r="AK68" s="1"/>
      <c r="AU68" s="1"/>
      <c r="AV68" s="1"/>
      <c r="AW68" s="1"/>
      <c r="AX68" s="1"/>
      <c r="AY68" s="1"/>
      <c r="BA68" s="1"/>
      <c r="BM68" s="1"/>
      <c r="BN68" s="1"/>
      <c r="BV68" s="1"/>
      <c r="CX68" s="1"/>
      <c r="CZ68" s="1"/>
      <c r="DB68" s="1"/>
    </row>
    <row r="69" spans="1:107" ht="15.75" customHeight="1" x14ac:dyDescent="0.25">
      <c r="A69" s="1"/>
      <c r="B69" s="3"/>
      <c r="C69" s="1"/>
      <c r="D69" s="1"/>
      <c r="N69" s="1"/>
      <c r="V69" s="1"/>
      <c r="W69" s="1"/>
      <c r="X69" s="1"/>
      <c r="Y69" s="1"/>
      <c r="Z69" s="1"/>
      <c r="AA69" s="1"/>
      <c r="AB69" s="1"/>
      <c r="AI69" s="1"/>
      <c r="AK69" s="1"/>
      <c r="AU69" s="1"/>
      <c r="AV69" s="1"/>
      <c r="AW69" s="1"/>
      <c r="AX69" s="1"/>
      <c r="AY69" s="1"/>
      <c r="BA69" s="1"/>
      <c r="BM69" s="1"/>
      <c r="BN69" s="1"/>
      <c r="CX69" s="1"/>
      <c r="CZ69" s="1"/>
      <c r="DB69" s="1"/>
      <c r="DC69" s="1"/>
    </row>
    <row r="70" spans="1:107" ht="15.75" customHeight="1" x14ac:dyDescent="0.25">
      <c r="A70" s="1"/>
      <c r="B70" s="3"/>
      <c r="C70" s="1"/>
      <c r="D70" s="1"/>
      <c r="N70" s="1"/>
      <c r="V70" s="1"/>
      <c r="W70" s="1"/>
      <c r="X70" s="1"/>
      <c r="Y70" s="1"/>
      <c r="Z70" s="1"/>
      <c r="AA70" s="1"/>
      <c r="AB70" s="1"/>
      <c r="AI70" s="1"/>
      <c r="AK70" s="1"/>
      <c r="AU70" s="1"/>
      <c r="AV70" s="1"/>
      <c r="AW70" s="1"/>
      <c r="AX70" s="1"/>
      <c r="AY70" s="1"/>
      <c r="BA70" s="1"/>
      <c r="BM70" s="1"/>
      <c r="BN70" s="1"/>
      <c r="CX70" s="1"/>
      <c r="CZ70" s="1"/>
      <c r="DB70" s="1"/>
      <c r="DC70" s="1"/>
    </row>
    <row r="71" spans="1:107" ht="15.75" customHeight="1" x14ac:dyDescent="0.25">
      <c r="A71" s="1"/>
      <c r="B71" s="3"/>
      <c r="C71" s="1"/>
      <c r="D71" s="1"/>
      <c r="N71" s="1"/>
      <c r="W71" s="1"/>
      <c r="X71" s="1"/>
      <c r="Y71" s="1"/>
      <c r="Z71" s="1"/>
      <c r="AA71" s="1"/>
      <c r="AB71" s="1"/>
      <c r="AI71" s="1"/>
      <c r="AK71" s="1"/>
      <c r="AU71" s="1"/>
      <c r="AV71" s="1"/>
      <c r="AW71" s="1"/>
      <c r="AX71" s="1"/>
      <c r="AY71" s="1"/>
      <c r="BA71" s="1"/>
      <c r="BM71" s="1"/>
      <c r="BN71" s="1"/>
      <c r="BW71" s="1"/>
      <c r="BZ71" s="1"/>
      <c r="CX71" s="1"/>
      <c r="CZ71" s="1"/>
      <c r="DB71" s="1"/>
      <c r="DC71" s="1"/>
    </row>
    <row r="72" spans="1:107" ht="15.75" customHeight="1" x14ac:dyDescent="0.25">
      <c r="A72" s="1"/>
      <c r="B72" s="3"/>
      <c r="C72" s="1"/>
      <c r="D72" s="1"/>
      <c r="N72" s="1"/>
      <c r="W72" s="1"/>
      <c r="X72" s="1"/>
      <c r="Y72" s="1"/>
      <c r="Z72" s="1"/>
      <c r="AA72" s="1"/>
      <c r="AB72" s="1"/>
      <c r="AI72" s="1"/>
      <c r="AK72" s="1"/>
      <c r="AU72" s="1"/>
      <c r="AV72" s="1"/>
      <c r="AW72" s="1"/>
      <c r="AX72" s="1"/>
      <c r="AY72" s="1"/>
      <c r="AZ72" s="1"/>
      <c r="BA72" s="1"/>
      <c r="BW72" s="1"/>
      <c r="CX72" s="1"/>
      <c r="CZ72" s="1"/>
      <c r="DB72" s="1"/>
      <c r="DC72" s="1"/>
    </row>
    <row r="73" spans="1:107" ht="15.75" customHeight="1" x14ac:dyDescent="0.25">
      <c r="A73" s="1"/>
      <c r="B73" s="3"/>
      <c r="C73" s="1"/>
      <c r="D73" s="1"/>
      <c r="N73" s="1"/>
      <c r="W73" s="1"/>
      <c r="X73" s="1"/>
      <c r="Y73" s="1"/>
      <c r="Z73" s="1"/>
      <c r="AA73" s="1"/>
      <c r="AB73" s="1"/>
      <c r="AI73" s="1"/>
      <c r="AJ73" s="1"/>
      <c r="AK73" s="1"/>
      <c r="AT73" s="1"/>
      <c r="AU73" s="1"/>
      <c r="AV73" s="1"/>
      <c r="AW73" s="1"/>
      <c r="AX73" s="1"/>
      <c r="AY73" s="1"/>
      <c r="BA73" s="1"/>
      <c r="BM73" s="1"/>
      <c r="BN73" s="1"/>
      <c r="BV73" s="1"/>
      <c r="BW73" s="1"/>
      <c r="BZ73" s="1"/>
      <c r="CX73" s="1"/>
      <c r="DC73" s="1"/>
    </row>
    <row r="74" spans="1:107" ht="15.75" customHeight="1" x14ac:dyDescent="0.25">
      <c r="A74" s="1"/>
      <c r="B74" s="3"/>
      <c r="C74" s="1"/>
      <c r="D74" s="1"/>
      <c r="N74" s="1"/>
      <c r="V74" s="1"/>
      <c r="W74" s="1"/>
      <c r="X74" s="1"/>
      <c r="Y74" s="1"/>
      <c r="Z74" s="1"/>
      <c r="AA74" s="1"/>
      <c r="AB74" s="1"/>
      <c r="AI74" s="1"/>
      <c r="AK74" s="1"/>
      <c r="AU74" s="1"/>
      <c r="AV74" s="1"/>
      <c r="AW74" s="1"/>
      <c r="AX74" s="1"/>
      <c r="AY74" s="1"/>
      <c r="BA74" s="1"/>
      <c r="BM74" s="1"/>
      <c r="BN74" s="1"/>
      <c r="BW74" s="1"/>
      <c r="CX74" s="1"/>
      <c r="CZ74" s="1"/>
      <c r="DC74" s="1"/>
    </row>
    <row r="75" spans="1:107" ht="15.75" customHeight="1" x14ac:dyDescent="0.25">
      <c r="A75" s="1"/>
      <c r="B75" s="3"/>
      <c r="C75" s="1"/>
      <c r="D75" s="1"/>
      <c r="N75" s="1"/>
      <c r="W75" s="1"/>
      <c r="X75" s="1"/>
      <c r="Y75" s="1"/>
      <c r="Z75" s="1"/>
      <c r="AA75" s="1"/>
      <c r="AB75" s="1"/>
      <c r="AI75" s="1"/>
      <c r="AJ75" s="1"/>
      <c r="AK75" s="1"/>
      <c r="AU75" s="1"/>
      <c r="AV75" s="1"/>
      <c r="AW75" s="1"/>
      <c r="AX75" s="1"/>
      <c r="AY75" s="1"/>
      <c r="BA75" s="1"/>
      <c r="BM75" s="1"/>
      <c r="BN75" s="1"/>
      <c r="CX75" s="1"/>
      <c r="CZ75" s="1"/>
      <c r="DC75" s="1"/>
    </row>
    <row r="76" spans="1:107" ht="15.75" customHeight="1" x14ac:dyDescent="0.25">
      <c r="A76" s="1"/>
      <c r="B76" s="3"/>
      <c r="C76" s="1"/>
      <c r="D76" s="1"/>
      <c r="N76" s="1"/>
      <c r="V76" s="1"/>
      <c r="W76" s="1"/>
      <c r="X76" s="1"/>
      <c r="Y76" s="1"/>
      <c r="Z76" s="1"/>
      <c r="AA76" s="1"/>
      <c r="AI76" s="1"/>
      <c r="AK76" s="1"/>
      <c r="AU76" s="1"/>
      <c r="AV76" s="1"/>
      <c r="AW76" s="1"/>
      <c r="AX76" s="1"/>
      <c r="AY76" s="1"/>
      <c r="BA76" s="1"/>
      <c r="BM76" s="1"/>
      <c r="BN76" s="1"/>
      <c r="CX76" s="1"/>
      <c r="CZ76" s="1"/>
      <c r="DA76" s="1"/>
      <c r="DB76" s="1"/>
      <c r="DC76" s="1"/>
    </row>
    <row r="77" spans="1:107" ht="15.75" customHeight="1" x14ac:dyDescent="0.25">
      <c r="A77" s="1"/>
      <c r="B77" s="3"/>
      <c r="C77" s="1"/>
      <c r="D77" s="1"/>
      <c r="N77" s="1"/>
      <c r="W77" s="1"/>
      <c r="X77" s="1"/>
      <c r="Y77" s="1"/>
      <c r="Z77" s="1"/>
      <c r="AA77" s="1"/>
      <c r="AB77" s="1"/>
      <c r="AI77" s="1"/>
      <c r="AK77" s="1"/>
      <c r="AU77" s="1"/>
      <c r="AV77" s="1"/>
      <c r="AW77" s="1"/>
      <c r="AX77" s="1"/>
      <c r="AY77" s="1"/>
      <c r="AZ77" s="1"/>
      <c r="CX77" s="1"/>
      <c r="CZ77" s="1"/>
      <c r="DC77" s="1"/>
    </row>
    <row r="78" spans="1:107" ht="15.75" customHeight="1" x14ac:dyDescent="0.25">
      <c r="A78" s="1"/>
      <c r="B78" s="3"/>
      <c r="C78" s="1"/>
      <c r="D78" s="1"/>
      <c r="N78" s="1"/>
      <c r="W78" s="1"/>
      <c r="X78" s="1"/>
      <c r="Y78" s="1"/>
      <c r="Z78" s="1"/>
      <c r="AA78" s="1"/>
      <c r="AB78" s="1"/>
      <c r="AI78" s="1"/>
      <c r="AK78" s="1"/>
      <c r="AU78" s="1"/>
      <c r="AV78" s="1"/>
      <c r="AW78" s="1"/>
      <c r="AX78" s="1"/>
      <c r="AY78" s="1"/>
      <c r="BA78" s="1"/>
      <c r="BM78" s="1"/>
      <c r="BN78" s="1"/>
      <c r="CX78" s="1"/>
      <c r="CZ78" s="1"/>
      <c r="DC78" s="1"/>
    </row>
    <row r="79" spans="1:107" ht="15.75" customHeight="1" x14ac:dyDescent="0.25">
      <c r="A79" s="1"/>
      <c r="B79" s="3"/>
      <c r="C79" s="1"/>
      <c r="D79" s="1"/>
      <c r="N79" s="1"/>
      <c r="W79" s="1"/>
      <c r="X79" s="1"/>
      <c r="Y79" s="1"/>
      <c r="Z79" s="1"/>
      <c r="AA79" s="1"/>
      <c r="AB79" s="1"/>
      <c r="AI79" s="1"/>
      <c r="AK79" s="1"/>
      <c r="AU79" s="1"/>
      <c r="AV79" s="1"/>
      <c r="AW79" s="1"/>
      <c r="AX79" s="1"/>
      <c r="AY79" s="1"/>
      <c r="BA79" s="1"/>
      <c r="BM79" s="1"/>
      <c r="BN79" s="1"/>
      <c r="CX79" s="1"/>
      <c r="CZ79" s="1"/>
      <c r="DC79" s="1"/>
    </row>
    <row r="80" spans="1:107" ht="15.75" customHeight="1" x14ac:dyDescent="0.25">
      <c r="A80" s="1"/>
      <c r="B80" s="3"/>
      <c r="C80" s="1"/>
      <c r="D80" s="1"/>
      <c r="N80" s="1"/>
      <c r="W80" s="1"/>
      <c r="X80" s="1"/>
      <c r="Y80" s="1"/>
      <c r="Z80" s="1"/>
      <c r="AA80" s="1"/>
      <c r="AI80" s="1"/>
      <c r="AV80" s="1"/>
      <c r="AW80" s="1"/>
      <c r="AX80" s="1"/>
    </row>
    <row r="81" spans="1:107" ht="15.75" customHeight="1" x14ac:dyDescent="0.25">
      <c r="A81" s="1"/>
      <c r="B81" s="3"/>
      <c r="C81" s="1"/>
      <c r="D81" s="1"/>
      <c r="N81" s="1"/>
      <c r="V81" s="1"/>
      <c r="W81" s="1"/>
      <c r="X81" s="1"/>
      <c r="Y81" s="1"/>
      <c r="Z81" s="1"/>
      <c r="AA81" s="1"/>
      <c r="AB81" s="1"/>
      <c r="AI81" s="1"/>
      <c r="AJ81" s="1"/>
      <c r="AK81" s="1"/>
      <c r="AU81" s="1"/>
      <c r="AV81" s="1"/>
      <c r="AW81" s="1"/>
      <c r="AX81" s="1"/>
      <c r="AY81" s="1"/>
      <c r="AZ81" s="1"/>
      <c r="BA81" s="1"/>
      <c r="BW81" s="1"/>
      <c r="BY81" s="1"/>
      <c r="BZ81" s="1"/>
      <c r="CB81" s="1"/>
      <c r="CF81" s="1"/>
      <c r="CG81" s="1"/>
      <c r="DC81" s="1"/>
    </row>
    <row r="82" spans="1:107" ht="15.75" customHeight="1" x14ac:dyDescent="0.25">
      <c r="A82" s="1"/>
      <c r="B82" s="3"/>
      <c r="C82" s="1"/>
      <c r="D82" s="1"/>
      <c r="M82" s="1"/>
      <c r="N82" s="1"/>
      <c r="V82" s="1"/>
      <c r="W82" s="1"/>
      <c r="X82" s="1"/>
      <c r="Y82" s="1"/>
      <c r="Z82" s="1"/>
      <c r="AA82" s="1"/>
      <c r="AB82" s="1"/>
      <c r="AI82" s="1"/>
      <c r="AJ82" s="1"/>
      <c r="AK82" s="1"/>
      <c r="AU82" s="1"/>
      <c r="AV82" s="1"/>
      <c r="AW82" s="1"/>
      <c r="AX82" s="1"/>
      <c r="AY82" s="1"/>
      <c r="BA82" s="1"/>
      <c r="BM82" s="1"/>
      <c r="BN82" s="1"/>
      <c r="BV82" s="1"/>
      <c r="BW82" s="1"/>
      <c r="BY82" s="1"/>
      <c r="BZ82" s="1"/>
      <c r="CH82" s="1"/>
      <c r="CI82" s="1"/>
      <c r="CJ82" s="1"/>
      <c r="CL82" s="1"/>
      <c r="DC82" s="1"/>
    </row>
    <row r="83" spans="1:107" ht="15.75" customHeight="1" x14ac:dyDescent="0.25">
      <c r="A83" s="1"/>
      <c r="B83" s="3"/>
      <c r="C83" s="1"/>
      <c r="D83" s="1"/>
      <c r="N83" s="1"/>
      <c r="W83" s="1"/>
      <c r="X83" s="1"/>
      <c r="Y83" s="1"/>
      <c r="Z83" s="1"/>
      <c r="AA83" s="1"/>
      <c r="AB83" s="1"/>
      <c r="AI83" s="1"/>
      <c r="AK83" s="1"/>
      <c r="AU83" s="1"/>
      <c r="AV83" s="1"/>
      <c r="AW83" s="1"/>
      <c r="AX83" s="1"/>
      <c r="AY83" s="1"/>
      <c r="BA83" s="1"/>
      <c r="BL83" s="1"/>
      <c r="BM83" s="1"/>
      <c r="BN83" s="1"/>
      <c r="CH83" s="1"/>
      <c r="CI83" s="1"/>
      <c r="CJ83" s="1"/>
      <c r="CL83" s="1"/>
      <c r="DC83" s="1"/>
    </row>
    <row r="84" spans="1:107" ht="15.75" customHeight="1" x14ac:dyDescent="0.25">
      <c r="A84" s="1"/>
      <c r="B84" s="3"/>
      <c r="C84" s="1"/>
      <c r="D84" s="1"/>
      <c r="N84" s="1"/>
      <c r="V84" s="1"/>
      <c r="W84" s="1"/>
      <c r="X84" s="1"/>
      <c r="Y84" s="1"/>
      <c r="Z84" s="1"/>
      <c r="AA84" s="1"/>
      <c r="AB84" s="1"/>
      <c r="AI84" s="1"/>
      <c r="AK84" s="1"/>
      <c r="AU84" s="1"/>
      <c r="AV84" s="1"/>
      <c r="AW84" s="1"/>
      <c r="AX84" s="1"/>
      <c r="AY84" s="1"/>
      <c r="BA84" s="1"/>
      <c r="BM84" s="1"/>
      <c r="BN84" s="1"/>
      <c r="CH84" s="1"/>
      <c r="CI84" s="1"/>
      <c r="CJ84" s="1"/>
      <c r="CK84" s="1"/>
      <c r="CL84" s="1"/>
    </row>
    <row r="85" spans="1:107" ht="15.75" customHeight="1" x14ac:dyDescent="0.25">
      <c r="A85" s="1"/>
      <c r="B85" s="3"/>
      <c r="C85" s="1"/>
      <c r="D85" s="1"/>
      <c r="N85" s="1"/>
      <c r="V85" s="1"/>
      <c r="W85" s="1"/>
      <c r="X85" s="1"/>
      <c r="Y85" s="1"/>
      <c r="Z85" s="1"/>
      <c r="AA85" s="1"/>
      <c r="AB85" s="1"/>
      <c r="AI85" s="1"/>
      <c r="AJ85" s="1"/>
      <c r="AK85" s="1"/>
      <c r="AU85" s="1"/>
      <c r="AV85" s="1"/>
      <c r="AW85" s="1"/>
      <c r="AX85" s="1"/>
      <c r="AY85" s="1"/>
      <c r="AZ85" s="1"/>
      <c r="BA85" s="1"/>
      <c r="DC85" s="1"/>
    </row>
    <row r="86" spans="1:107" ht="15.75" customHeight="1" x14ac:dyDescent="0.25">
      <c r="A86" s="1"/>
      <c r="B86" s="3"/>
      <c r="C86" s="1"/>
      <c r="D86" s="1"/>
      <c r="N86" s="1"/>
      <c r="V86" s="1"/>
      <c r="W86" s="1"/>
      <c r="X86" s="1"/>
      <c r="Y86" s="1"/>
      <c r="Z86" s="1"/>
      <c r="AA86" s="1"/>
      <c r="AB86" s="1"/>
      <c r="AI86" s="1"/>
      <c r="AK86" s="1"/>
      <c r="AU86" s="1"/>
      <c r="AV86" s="1"/>
      <c r="AW86" s="1"/>
      <c r="AX86" s="1"/>
      <c r="AY86" s="1"/>
      <c r="BA86" s="1"/>
      <c r="BM86" s="1"/>
      <c r="BN86" s="1"/>
      <c r="CH86" s="1"/>
      <c r="CJ86" s="1"/>
      <c r="CL86" s="1"/>
      <c r="DC86" s="1"/>
    </row>
    <row r="87" spans="1:107" ht="15.75" customHeight="1" x14ac:dyDescent="0.25">
      <c r="A87" s="1"/>
      <c r="B87" s="3"/>
      <c r="C87" s="1"/>
      <c r="D87" s="1"/>
      <c r="N87" s="1"/>
      <c r="W87" s="1"/>
      <c r="X87" s="1"/>
      <c r="Y87" s="1"/>
      <c r="Z87" s="1"/>
      <c r="AA87" s="1"/>
      <c r="AI87" s="1"/>
      <c r="AV87" s="1"/>
      <c r="AW87" s="1"/>
      <c r="AX87" s="1"/>
    </row>
    <row r="88" spans="1:107" ht="15.75" customHeight="1" x14ac:dyDescent="0.25">
      <c r="A88" s="1"/>
      <c r="B88" s="3"/>
      <c r="C88" s="1"/>
      <c r="D88" s="1"/>
      <c r="N88" s="1"/>
      <c r="W88" s="1"/>
      <c r="X88" s="1"/>
      <c r="Y88" s="1"/>
      <c r="Z88" s="1"/>
      <c r="AA88" s="1"/>
      <c r="AI88" s="1"/>
      <c r="AV88" s="1"/>
      <c r="AW88" s="1"/>
      <c r="AX88" s="1"/>
    </row>
    <row r="89" spans="1:107" ht="15.75" customHeight="1" x14ac:dyDescent="0.25">
      <c r="A89" s="1"/>
      <c r="B89" s="3"/>
      <c r="C89" s="1"/>
      <c r="D89" s="1"/>
      <c r="N89" s="1"/>
      <c r="V89" s="1"/>
      <c r="W89" s="1"/>
      <c r="X89" s="1"/>
      <c r="Y89" s="1"/>
      <c r="Z89" s="1"/>
      <c r="AA89" s="1"/>
      <c r="AB89" s="1"/>
      <c r="AI89" s="1"/>
      <c r="AK89" s="1"/>
      <c r="AU89" s="1"/>
      <c r="AV89" s="1"/>
      <c r="AW89" s="1"/>
      <c r="AX89" s="1"/>
      <c r="AY89" s="1"/>
      <c r="BA89" s="1"/>
      <c r="BM89" s="1"/>
      <c r="BN89" s="1"/>
      <c r="BY89" s="1"/>
      <c r="BZ89" s="1"/>
      <c r="CM89" s="1"/>
      <c r="CQ89" s="1"/>
      <c r="DC89" s="1"/>
    </row>
    <row r="90" spans="1:107" ht="15.75" customHeight="1" x14ac:dyDescent="0.25">
      <c r="A90" s="1"/>
      <c r="B90" s="3"/>
      <c r="C90" s="1"/>
      <c r="D90" s="1"/>
      <c r="N90" s="1"/>
      <c r="U90" s="1"/>
      <c r="W90" s="1"/>
      <c r="X90" s="1"/>
      <c r="Y90" s="1"/>
      <c r="Z90" s="1"/>
      <c r="AA90" s="1"/>
      <c r="AB90" s="1"/>
      <c r="AI90" s="1"/>
      <c r="AJ90" s="1"/>
      <c r="AK90" s="1"/>
      <c r="AU90" s="1"/>
      <c r="AV90" s="1"/>
      <c r="AW90" s="1"/>
      <c r="AX90" s="1"/>
      <c r="AY90" s="1"/>
      <c r="BA90" s="1"/>
      <c r="BM90" s="1"/>
      <c r="BN90" s="1"/>
      <c r="BV90" s="1"/>
      <c r="BW90" s="1"/>
      <c r="BY90" s="1"/>
      <c r="BZ90" s="1"/>
      <c r="CA90" s="1"/>
      <c r="CH90" s="1"/>
      <c r="CI90" s="1"/>
      <c r="CJ90" s="1"/>
      <c r="CK90" s="1"/>
      <c r="CL90" s="1"/>
      <c r="CR90" s="1"/>
      <c r="CT90" s="1"/>
      <c r="DC90" s="1"/>
    </row>
    <row r="91" spans="1:107" ht="15.75" customHeight="1" x14ac:dyDescent="0.25">
      <c r="A91" s="1"/>
      <c r="B91" s="3"/>
      <c r="C91" s="1"/>
      <c r="D91" s="1"/>
      <c r="N91" s="1"/>
      <c r="V91" s="1"/>
      <c r="W91" s="1"/>
      <c r="X91" s="1"/>
      <c r="Y91" s="1"/>
      <c r="Z91" s="1"/>
      <c r="AA91" s="1"/>
      <c r="AB91" s="1"/>
      <c r="AI91" s="1"/>
      <c r="AJ91" s="1"/>
      <c r="AK91" s="1"/>
      <c r="AU91" s="1"/>
      <c r="AV91" s="1"/>
      <c r="AW91" s="1"/>
      <c r="AX91" s="1"/>
      <c r="AY91" s="1"/>
      <c r="AZ91" s="1"/>
      <c r="BA91" s="1"/>
    </row>
    <row r="92" spans="1:107" ht="15.75" customHeight="1" x14ac:dyDescent="0.25">
      <c r="A92" s="1"/>
      <c r="B92" s="3"/>
      <c r="C92" s="1"/>
      <c r="D92" s="1"/>
      <c r="N92" s="1"/>
      <c r="W92" s="1"/>
      <c r="X92" s="1"/>
      <c r="Y92" s="1"/>
      <c r="Z92" s="1"/>
      <c r="AA92" s="1"/>
      <c r="AB92" s="1"/>
      <c r="AI92" s="1"/>
      <c r="AK92" s="1"/>
      <c r="AU92" s="1"/>
      <c r="AV92" s="1"/>
      <c r="AW92" s="1"/>
      <c r="AX92" s="1"/>
      <c r="AY92" s="1"/>
      <c r="BA92" s="1"/>
      <c r="BM92" s="1"/>
      <c r="BN92" s="1"/>
      <c r="CH92" s="1"/>
      <c r="CJ92" s="1"/>
      <c r="CL92" s="1"/>
      <c r="CR92" s="1"/>
      <c r="DC92" s="1"/>
    </row>
    <row r="93" spans="1:107" ht="15.75" customHeight="1" x14ac:dyDescent="0.25">
      <c r="A93" s="1"/>
      <c r="B93" s="3"/>
      <c r="C93" s="1"/>
      <c r="D93" s="1"/>
      <c r="N93" s="1"/>
      <c r="V93" s="1"/>
      <c r="W93" s="1"/>
      <c r="X93" s="1"/>
      <c r="Y93" s="1"/>
      <c r="Z93" s="1"/>
      <c r="AA93" s="1"/>
      <c r="AB93" s="1"/>
      <c r="AI93" s="1"/>
      <c r="AK93" s="1"/>
      <c r="AU93" s="1"/>
      <c r="AV93" s="1"/>
      <c r="AW93" s="1"/>
      <c r="AX93" s="1"/>
      <c r="AY93" s="1"/>
      <c r="BA93" s="1"/>
      <c r="BM93" s="1"/>
      <c r="BN93" s="1"/>
      <c r="BW93" s="1"/>
      <c r="BY93" s="1"/>
      <c r="BZ93" s="1"/>
      <c r="CM93" s="1"/>
      <c r="CQ93" s="1"/>
      <c r="CR93" s="1"/>
      <c r="CT93" s="1"/>
      <c r="DC93" s="1"/>
    </row>
    <row r="94" spans="1:107" ht="15.75" customHeight="1" x14ac:dyDescent="0.25">
      <c r="A94" s="1"/>
      <c r="B94" s="3"/>
      <c r="C94" s="1"/>
      <c r="D94" s="1"/>
      <c r="N94" s="1"/>
      <c r="V94" s="1"/>
      <c r="W94" s="1"/>
      <c r="X94" s="1"/>
      <c r="Y94" s="1"/>
      <c r="Z94" s="1"/>
      <c r="AA94" s="1"/>
      <c r="AB94" s="1"/>
      <c r="AI94" s="1"/>
      <c r="AK94" s="1"/>
      <c r="AU94" s="1"/>
      <c r="AV94" s="1"/>
      <c r="AW94" s="1"/>
      <c r="AX94" s="1"/>
      <c r="AY94" s="1"/>
      <c r="AZ94" s="1"/>
      <c r="BA94" s="1"/>
    </row>
    <row r="95" spans="1:107" ht="15.75" customHeight="1" x14ac:dyDescent="0.25">
      <c r="A95" s="1"/>
      <c r="B95" s="3"/>
      <c r="C95" s="1"/>
      <c r="D95" s="1"/>
      <c r="N95" s="1"/>
      <c r="V95" s="1"/>
      <c r="W95" s="1"/>
      <c r="X95" s="1"/>
      <c r="Y95" s="1"/>
      <c r="Z95" s="1"/>
      <c r="AA95" s="1"/>
      <c r="AB95" s="1"/>
      <c r="AI95" s="1"/>
      <c r="AK95" s="1"/>
      <c r="AU95" s="1"/>
      <c r="AV95" s="1"/>
      <c r="AW95" s="1"/>
      <c r="AX95" s="1"/>
      <c r="AY95" s="1"/>
      <c r="BA95" s="1"/>
      <c r="BM95" s="1"/>
      <c r="BN95" s="1"/>
      <c r="CM95" s="1"/>
      <c r="CU95" s="1"/>
      <c r="DC95" s="1"/>
    </row>
    <row r="96" spans="1:107" ht="15.75" customHeight="1" x14ac:dyDescent="0.25">
      <c r="A96" s="1"/>
      <c r="B96" s="3"/>
      <c r="C96" s="1"/>
      <c r="D96" s="1"/>
      <c r="N96" s="1"/>
      <c r="W96" s="1"/>
      <c r="X96" s="1"/>
      <c r="Y96" s="1"/>
      <c r="Z96" s="1"/>
      <c r="AA96" s="1"/>
      <c r="AI96" s="1"/>
      <c r="AV96" s="1"/>
      <c r="AW96" s="1"/>
      <c r="AX96" s="1"/>
    </row>
    <row r="97" spans="1:107" ht="15.75" customHeight="1" x14ac:dyDescent="0.25">
      <c r="A97" s="1"/>
      <c r="B97" s="3"/>
      <c r="C97" s="1"/>
      <c r="D97" s="1"/>
      <c r="N97" s="1"/>
      <c r="V97" s="1"/>
      <c r="W97" s="1"/>
      <c r="X97" s="1"/>
      <c r="Y97" s="1"/>
      <c r="Z97" s="1"/>
      <c r="AA97" s="1"/>
      <c r="AB97" s="1"/>
      <c r="AI97" s="1"/>
      <c r="AK97" s="1"/>
      <c r="AU97" s="1"/>
      <c r="AV97" s="1"/>
      <c r="AW97" s="1"/>
      <c r="AX97" s="1"/>
      <c r="AY97" s="1"/>
      <c r="BA97" s="1"/>
      <c r="BM97" s="1"/>
      <c r="BN97" s="1"/>
      <c r="BW97" s="1"/>
      <c r="CB97" s="1"/>
      <c r="CF97" s="1"/>
      <c r="CG97" s="1"/>
      <c r="CU97" s="1"/>
    </row>
    <row r="98" spans="1:107" ht="15.75" customHeight="1" x14ac:dyDescent="0.25">
      <c r="A98" s="1"/>
      <c r="B98" s="3"/>
      <c r="C98" s="1"/>
      <c r="D98" s="1"/>
      <c r="N98" s="1"/>
      <c r="V98" s="1"/>
      <c r="W98" s="1"/>
      <c r="X98" s="1"/>
      <c r="Y98" s="1"/>
      <c r="Z98" s="1"/>
      <c r="AA98" s="1"/>
      <c r="AB98" s="1"/>
      <c r="AI98" s="1"/>
      <c r="AK98" s="1"/>
      <c r="AU98" s="1"/>
      <c r="AV98" s="1"/>
      <c r="AW98" s="1"/>
      <c r="AX98" s="1"/>
      <c r="AY98" s="1"/>
      <c r="BA98" s="1"/>
      <c r="BM98" s="1"/>
      <c r="BN98" s="1"/>
      <c r="CU98" s="1"/>
      <c r="CW98" s="1"/>
      <c r="CX98" s="1"/>
      <c r="CZ98" s="1"/>
      <c r="DB98" s="1"/>
      <c r="DC98" s="1"/>
    </row>
    <row r="99" spans="1:107" ht="15.75" customHeight="1" x14ac:dyDescent="0.25">
      <c r="A99" s="1"/>
      <c r="B99" s="3"/>
      <c r="C99" s="1"/>
      <c r="D99" s="1"/>
      <c r="N99" s="1"/>
      <c r="V99" s="1"/>
      <c r="W99" s="1"/>
      <c r="X99" s="1"/>
      <c r="Y99" s="1"/>
      <c r="Z99" s="1"/>
      <c r="AA99" s="1"/>
      <c r="AB99" s="1"/>
      <c r="AI99" s="1"/>
      <c r="AK99" s="1"/>
      <c r="AU99" s="1"/>
      <c r="AV99" s="1"/>
      <c r="AW99" s="1"/>
      <c r="AX99" s="1"/>
      <c r="AY99" s="1"/>
      <c r="BA99" s="1"/>
      <c r="BM99" s="1"/>
      <c r="BN99" s="1"/>
      <c r="CU99" s="1"/>
      <c r="CX99" s="1"/>
      <c r="CZ99" s="1"/>
      <c r="DC99" s="1"/>
    </row>
    <row r="100" spans="1:107" ht="15.75" customHeight="1" x14ac:dyDescent="0.25">
      <c r="A100" s="1"/>
      <c r="B100" s="3"/>
      <c r="C100" s="1"/>
      <c r="D100" s="1"/>
      <c r="N100" s="1"/>
      <c r="W100" s="1"/>
      <c r="X100" s="1"/>
      <c r="Y100" s="1"/>
      <c r="Z100" s="1"/>
      <c r="AA100" s="1"/>
      <c r="AB100" s="1"/>
      <c r="AI100" s="1"/>
      <c r="AJ100" s="1"/>
      <c r="AK100" s="1"/>
      <c r="AU100" s="1"/>
      <c r="AV100" s="1"/>
      <c r="AW100" s="1"/>
      <c r="AX100" s="1"/>
      <c r="AY100" s="1"/>
      <c r="BA100" s="1"/>
      <c r="BL100" s="1"/>
      <c r="BM100" s="1"/>
      <c r="BN100" s="1"/>
      <c r="BV100" s="1"/>
    </row>
    <row r="101" spans="1:107" ht="15.75" customHeight="1" x14ac:dyDescent="0.25">
      <c r="A101" s="1"/>
      <c r="B101" s="3"/>
      <c r="C101" s="1"/>
      <c r="D101" s="1"/>
      <c r="N101" s="1"/>
      <c r="U101" s="1"/>
      <c r="W101" s="1"/>
      <c r="X101" s="1"/>
      <c r="Y101" s="1"/>
      <c r="Z101" s="1"/>
      <c r="AA101" s="1"/>
      <c r="AB101" s="1"/>
      <c r="AI101" s="1"/>
      <c r="AJ101" s="1"/>
      <c r="AK101" s="1"/>
      <c r="AU101" s="1"/>
      <c r="AV101" s="1"/>
      <c r="AW101" s="1"/>
      <c r="AX101" s="1"/>
      <c r="AY101" s="1"/>
      <c r="BA101" s="1"/>
      <c r="BM101" s="1"/>
      <c r="BN101" s="1"/>
      <c r="BV101" s="1"/>
      <c r="CM101" s="1"/>
      <c r="CN101" s="1"/>
      <c r="CO101" s="1"/>
      <c r="CX101" s="1"/>
      <c r="CY101" s="1"/>
      <c r="CZ101" s="1"/>
      <c r="DA101" s="1"/>
      <c r="DB101" s="1"/>
      <c r="DC101" s="1"/>
    </row>
    <row r="102" spans="1:107" ht="15.75" customHeight="1" x14ac:dyDescent="0.25">
      <c r="A102" s="1"/>
      <c r="B102" s="3"/>
      <c r="C102" s="1"/>
      <c r="D102" s="1"/>
      <c r="N102" s="1"/>
      <c r="W102" s="1"/>
      <c r="X102" s="1"/>
      <c r="Y102" s="1"/>
      <c r="Z102" s="1"/>
      <c r="AA102" s="1"/>
      <c r="AB102" s="1"/>
      <c r="AI102" s="1"/>
      <c r="AK102" s="1"/>
      <c r="AU102" s="1"/>
      <c r="AV102" s="1"/>
      <c r="AW102" s="1"/>
      <c r="AX102" s="1"/>
      <c r="AY102" s="1"/>
      <c r="BA102" s="1"/>
      <c r="BM102" s="1"/>
      <c r="BN102" s="1"/>
    </row>
    <row r="103" spans="1:107" ht="15.75" customHeight="1" x14ac:dyDescent="0.25">
      <c r="A103" s="1"/>
      <c r="B103" s="3"/>
      <c r="C103" s="1"/>
      <c r="D103" s="1"/>
      <c r="N103" s="1"/>
      <c r="V103" s="1"/>
      <c r="W103" s="1"/>
      <c r="X103" s="1"/>
      <c r="Y103" s="1"/>
      <c r="Z103" s="1"/>
      <c r="AA103" s="1"/>
      <c r="AB103" s="1"/>
      <c r="AI103" s="1"/>
      <c r="AK103" s="1"/>
      <c r="AU103" s="1"/>
      <c r="AV103" s="1"/>
      <c r="AW103" s="1"/>
      <c r="AX103" s="1"/>
      <c r="AY103" s="1"/>
      <c r="BA103" s="1"/>
      <c r="BM103" s="1"/>
      <c r="BN103" s="1"/>
      <c r="BW103" s="1"/>
      <c r="BZ103" s="1"/>
      <c r="CM103" s="1"/>
      <c r="CQ103" s="1"/>
      <c r="CX103" s="1"/>
      <c r="CZ103" s="1"/>
      <c r="DC103" s="1"/>
    </row>
    <row r="104" spans="1:107" ht="15.75" customHeight="1" x14ac:dyDescent="0.25">
      <c r="A104" s="1"/>
      <c r="B104" s="3"/>
      <c r="C104" s="1"/>
      <c r="D104" s="1"/>
      <c r="N104" s="1"/>
      <c r="V104" s="1"/>
      <c r="W104" s="1"/>
      <c r="X104" s="1"/>
      <c r="Y104" s="1"/>
      <c r="Z104" s="1"/>
      <c r="AA104" s="1"/>
      <c r="AB104" s="1"/>
      <c r="AI104" s="1"/>
      <c r="AK104" s="1"/>
      <c r="AU104" s="1"/>
      <c r="AV104" s="1"/>
      <c r="AW104" s="1"/>
      <c r="AX104" s="1"/>
      <c r="AY104" s="1"/>
      <c r="BA104" s="1"/>
      <c r="BM104" s="1"/>
      <c r="BN104" s="1"/>
      <c r="BV104" s="1"/>
      <c r="CH104" s="1"/>
      <c r="CI104" s="1"/>
      <c r="CJ104" s="1"/>
      <c r="CK104" s="1"/>
      <c r="CL104" s="1"/>
      <c r="CX104" s="1"/>
      <c r="CZ104" s="1"/>
      <c r="DC104" s="1"/>
    </row>
    <row r="105" spans="1:107" ht="15.75" customHeight="1" x14ac:dyDescent="0.25">
      <c r="A105" s="1"/>
      <c r="B105" s="3"/>
      <c r="C105" s="1"/>
      <c r="D105" s="1"/>
      <c r="N105" s="1"/>
      <c r="V105" s="1"/>
      <c r="W105" s="1"/>
      <c r="X105" s="1"/>
      <c r="Y105" s="1"/>
      <c r="Z105" s="1"/>
      <c r="AA105" s="1"/>
      <c r="AB105" s="1"/>
      <c r="AI105" s="1"/>
      <c r="AK105" s="1"/>
      <c r="AU105" s="1"/>
      <c r="AV105" s="1"/>
      <c r="AW105" s="1"/>
      <c r="AX105" s="1"/>
      <c r="AY105" s="1"/>
      <c r="BA105" s="1"/>
      <c r="BM105" s="1"/>
      <c r="BN105" s="1"/>
    </row>
    <row r="106" spans="1:107" ht="15.75" customHeight="1" x14ac:dyDescent="0.25">
      <c r="A106" s="1"/>
      <c r="B106" s="3"/>
      <c r="C106" s="1"/>
      <c r="D106" s="1"/>
      <c r="N106" s="1"/>
      <c r="V106" s="1"/>
      <c r="W106" s="1"/>
      <c r="X106" s="1"/>
      <c r="Y106" s="1"/>
      <c r="Z106" s="1"/>
      <c r="AA106" s="1"/>
      <c r="AB106" s="1"/>
      <c r="AI106" s="1"/>
      <c r="AK106" s="1"/>
      <c r="AU106" s="1"/>
      <c r="AV106" s="1"/>
      <c r="AW106" s="1"/>
      <c r="AX106" s="1"/>
      <c r="AY106" s="1"/>
      <c r="BA106" s="1"/>
      <c r="BM106" s="1"/>
      <c r="BN106" s="1"/>
      <c r="CH106" s="1"/>
      <c r="CI106" s="1"/>
      <c r="CJ106" s="1"/>
      <c r="CL106" s="1"/>
      <c r="CX106" s="1"/>
      <c r="CZ106" s="1"/>
      <c r="DB106" s="1"/>
    </row>
    <row r="107" spans="1:107" ht="15.75" customHeight="1" x14ac:dyDescent="0.25">
      <c r="A107" s="1"/>
      <c r="B107" s="3"/>
      <c r="C107" s="1"/>
      <c r="D107" s="1"/>
      <c r="N107" s="1"/>
      <c r="V107" s="1"/>
      <c r="W107" s="1"/>
      <c r="X107" s="1"/>
      <c r="Y107" s="1"/>
      <c r="Z107" s="1"/>
      <c r="AA107" s="1"/>
      <c r="AB107" s="1"/>
      <c r="AI107" s="1"/>
      <c r="AK107" s="1"/>
      <c r="AU107" s="1"/>
      <c r="AV107" s="1"/>
      <c r="AW107" s="1"/>
      <c r="AX107" s="1"/>
      <c r="AY107" s="1"/>
      <c r="BA107" s="1"/>
      <c r="BM107" s="1"/>
      <c r="BN107" s="1"/>
      <c r="BW107" s="1"/>
      <c r="BZ107" s="1"/>
      <c r="CM107" s="1"/>
      <c r="CQ107" s="1"/>
      <c r="CX107" s="1"/>
      <c r="CZ107" s="1"/>
      <c r="DC107" s="1"/>
    </row>
    <row r="108" spans="1:107" ht="15.75" customHeight="1" x14ac:dyDescent="0.25">
      <c r="A108" s="1"/>
      <c r="B108" s="3"/>
      <c r="C108" s="1"/>
      <c r="D108" s="1"/>
      <c r="N108" s="1"/>
      <c r="W108" s="1"/>
      <c r="X108" s="1"/>
      <c r="Y108" s="1"/>
      <c r="Z108" s="1"/>
      <c r="AA108" s="1"/>
      <c r="AB108" s="1"/>
      <c r="AI108" s="1"/>
      <c r="AK108" s="1"/>
      <c r="AU108" s="1"/>
      <c r="AV108" s="1"/>
      <c r="AW108" s="1"/>
      <c r="AX108" s="1"/>
      <c r="AY108" s="1"/>
      <c r="BA108" s="1"/>
      <c r="BM108" s="1"/>
      <c r="BN108" s="1"/>
      <c r="CH108" s="1"/>
      <c r="CJ108" s="1"/>
      <c r="CL108" s="1"/>
      <c r="CX108" s="1"/>
      <c r="CZ108" s="1"/>
      <c r="DC108" s="1"/>
    </row>
    <row r="109" spans="1:107" ht="15.75" customHeight="1" x14ac:dyDescent="0.25">
      <c r="A109" s="1"/>
      <c r="B109" s="3"/>
      <c r="C109" s="1"/>
      <c r="D109" s="1"/>
      <c r="N109" s="1"/>
      <c r="W109" s="1"/>
      <c r="X109" s="1"/>
      <c r="Y109" s="1"/>
      <c r="Z109" s="1"/>
      <c r="AA109" s="1"/>
      <c r="AB109" s="1"/>
      <c r="AI109" s="1"/>
      <c r="AK109" s="1"/>
      <c r="AT109" s="1"/>
      <c r="AU109" s="1"/>
      <c r="AV109" s="1"/>
      <c r="AW109" s="1"/>
      <c r="AX109" s="1"/>
      <c r="AY109" s="1"/>
      <c r="BA109" s="1"/>
      <c r="BL109" s="1"/>
      <c r="BM109" s="1"/>
      <c r="BN109" s="1"/>
      <c r="BV109" s="1"/>
    </row>
    <row r="110" spans="1:107" ht="15.75" customHeight="1" x14ac:dyDescent="0.25">
      <c r="A110" s="1"/>
      <c r="B110" s="3"/>
      <c r="C110" s="1"/>
      <c r="D110" s="1"/>
      <c r="N110" s="1"/>
      <c r="V110" s="1"/>
      <c r="W110" s="1"/>
      <c r="X110" s="1"/>
      <c r="Y110" s="1"/>
      <c r="Z110" s="1"/>
      <c r="AA110" s="1"/>
      <c r="AB110" s="1"/>
      <c r="AI110" s="1"/>
      <c r="AJ110" s="1"/>
      <c r="AK110" s="1"/>
      <c r="AU110" s="1"/>
      <c r="AV110" s="1"/>
      <c r="AW110" s="1"/>
      <c r="AX110" s="1"/>
      <c r="AY110" s="1"/>
      <c r="BA110" s="1"/>
      <c r="BM110" s="1"/>
      <c r="BN110" s="1"/>
      <c r="CH110" s="1"/>
      <c r="CI110" s="1"/>
      <c r="CJ110" s="1"/>
      <c r="CL110" s="1"/>
      <c r="CX110" s="1"/>
      <c r="CZ110" s="1"/>
      <c r="DB110" s="1"/>
      <c r="DC110" s="1"/>
    </row>
    <row r="111" spans="1:107" ht="15.75" customHeight="1" x14ac:dyDescent="0.25">
      <c r="A111" s="1"/>
      <c r="B111" s="3"/>
      <c r="C111" s="1"/>
      <c r="D111" s="1"/>
      <c r="N111" s="1"/>
      <c r="W111" s="1"/>
      <c r="X111" s="1"/>
      <c r="Y111" s="1"/>
      <c r="Z111" s="1"/>
      <c r="AA111" s="1"/>
      <c r="AB111" s="1"/>
      <c r="AI111" s="1"/>
      <c r="AK111" s="1"/>
      <c r="AU111" s="1"/>
      <c r="AV111" s="1"/>
      <c r="AW111" s="1"/>
      <c r="AX111" s="1"/>
      <c r="AY111" s="1"/>
      <c r="BA111" s="1"/>
      <c r="BM111" s="1"/>
      <c r="BN111" s="1"/>
      <c r="BW111" s="1"/>
      <c r="BZ111" s="1"/>
      <c r="CH111" s="1"/>
      <c r="CJ111" s="1"/>
      <c r="CL111" s="1"/>
      <c r="CM111" s="1"/>
      <c r="CX111" s="1"/>
      <c r="CZ111" s="1"/>
      <c r="DC111" s="1"/>
    </row>
    <row r="112" spans="1:107" ht="15.75" customHeight="1" x14ac:dyDescent="0.25">
      <c r="A112" s="1"/>
      <c r="B112" s="3"/>
      <c r="C112" s="1"/>
      <c r="D112" s="1"/>
      <c r="N112" s="1"/>
      <c r="V112" s="1"/>
      <c r="W112" s="1"/>
      <c r="X112" s="1"/>
      <c r="Y112" s="1"/>
      <c r="Z112" s="1"/>
      <c r="AA112" s="1"/>
      <c r="AB112" s="1"/>
      <c r="AI112" s="1"/>
      <c r="AJ112" s="1"/>
      <c r="AK112" s="1"/>
      <c r="AU112" s="1"/>
      <c r="AV112" s="1"/>
      <c r="AW112" s="1"/>
      <c r="AX112" s="1"/>
      <c r="AY112" s="1"/>
      <c r="BA112" s="1"/>
      <c r="BM112" s="1"/>
      <c r="BN112" s="1"/>
      <c r="BV112" s="1"/>
      <c r="CH112" s="1"/>
      <c r="CI112" s="1"/>
      <c r="CL112" s="1"/>
      <c r="CX112" s="1"/>
      <c r="CZ112" s="1"/>
      <c r="DB112" s="1"/>
      <c r="DC112" s="1"/>
    </row>
    <row r="113" spans="1:107" ht="15.75" customHeight="1" x14ac:dyDescent="0.25">
      <c r="A113" s="1"/>
      <c r="B113" s="3"/>
      <c r="C113" s="1"/>
      <c r="D113" s="1"/>
      <c r="N113" s="1"/>
      <c r="V113" s="1"/>
      <c r="W113" s="1"/>
      <c r="X113" s="1"/>
      <c r="Y113" s="1"/>
      <c r="Z113" s="1"/>
      <c r="AA113" s="1"/>
      <c r="AB113" s="1"/>
      <c r="AI113" s="1"/>
      <c r="AK113" s="1"/>
      <c r="AU113" s="1"/>
      <c r="AV113" s="1"/>
      <c r="AW113" s="1"/>
      <c r="AX113" s="1"/>
      <c r="AY113" s="1"/>
      <c r="BA113" s="1"/>
      <c r="BM113" s="1"/>
      <c r="BN113" s="1"/>
      <c r="BW113" s="1"/>
      <c r="CB113" s="1"/>
      <c r="CF113" s="1"/>
      <c r="CG113" s="1"/>
      <c r="CH113" s="1"/>
      <c r="CL113" s="1"/>
      <c r="CX113" s="1"/>
      <c r="CZ113" s="1"/>
      <c r="DB113" s="1"/>
      <c r="DC113" s="1"/>
    </row>
    <row r="114" spans="1:107" ht="15.75" customHeight="1" x14ac:dyDescent="0.25">
      <c r="A114" s="1"/>
      <c r="B114" s="3"/>
      <c r="C114" s="1"/>
      <c r="D114" s="1"/>
      <c r="N114" s="1"/>
      <c r="V114" s="1"/>
      <c r="W114" s="1"/>
      <c r="X114" s="1"/>
      <c r="Y114" s="1"/>
      <c r="Z114" s="1"/>
      <c r="AA114" s="1"/>
      <c r="AB114" s="1"/>
      <c r="AI114" s="1"/>
      <c r="AJ114" s="1"/>
      <c r="AK114" s="1"/>
      <c r="AU114" s="1"/>
      <c r="AV114" s="1"/>
      <c r="AW114" s="1"/>
      <c r="AX114" s="1"/>
      <c r="AY114" s="1"/>
      <c r="BA114" s="1"/>
      <c r="BM114" s="1"/>
      <c r="BN114" s="1"/>
      <c r="BW114" s="1"/>
      <c r="BZ114" s="1"/>
      <c r="CR114" s="1"/>
      <c r="CT114" s="1"/>
      <c r="CU114" s="1"/>
      <c r="CW114" s="1"/>
      <c r="CX114" s="1"/>
      <c r="CZ114" s="1"/>
      <c r="DB114" s="1"/>
      <c r="DC114" s="1"/>
    </row>
    <row r="115" spans="1:107" ht="15.75" customHeight="1" x14ac:dyDescent="0.25">
      <c r="A115" s="1"/>
      <c r="B115" s="3"/>
      <c r="C115" s="1"/>
      <c r="D115" s="1"/>
      <c r="N115" s="1"/>
      <c r="V115" s="1"/>
      <c r="W115" s="1"/>
      <c r="X115" s="1"/>
      <c r="Y115" s="1"/>
      <c r="Z115" s="1"/>
      <c r="AA115" s="1"/>
      <c r="AB115" s="1"/>
      <c r="AI115" s="1"/>
      <c r="AJ115" s="1"/>
      <c r="AK115" s="1"/>
      <c r="AU115" s="1"/>
      <c r="AV115" s="1"/>
      <c r="AW115" s="1"/>
      <c r="AX115" s="1"/>
      <c r="AY115" s="1"/>
      <c r="BA115" s="1"/>
      <c r="BM115" s="1"/>
      <c r="BN115" s="1"/>
      <c r="BV115" s="1"/>
      <c r="BY115" s="1"/>
    </row>
    <row r="116" spans="1:107" ht="15.75" customHeight="1" x14ac:dyDescent="0.25">
      <c r="A116" s="1"/>
      <c r="B116" s="3"/>
      <c r="C116" s="1"/>
      <c r="D116" s="1"/>
      <c r="N116" s="1"/>
      <c r="W116" s="1"/>
      <c r="X116" s="1"/>
      <c r="Y116" s="1"/>
      <c r="Z116" s="1"/>
      <c r="AA116" s="1"/>
      <c r="AB116" s="1"/>
      <c r="AI116" s="1"/>
      <c r="AK116" s="1"/>
      <c r="AU116" s="1"/>
      <c r="AV116" s="1"/>
      <c r="AW116" s="1"/>
      <c r="AX116" s="1"/>
      <c r="AY116" s="1"/>
      <c r="BA116" s="1"/>
      <c r="BZ116" s="1"/>
      <c r="CB116" s="1"/>
      <c r="CC116" s="1"/>
      <c r="CD116" s="1"/>
      <c r="CF116" s="1"/>
      <c r="CG116" s="1"/>
      <c r="CH116" s="1"/>
      <c r="CJ116" s="1"/>
      <c r="CL116" s="1"/>
      <c r="CM116" s="1"/>
      <c r="CN116" s="1"/>
      <c r="CU116" s="1"/>
      <c r="DC116" s="1"/>
    </row>
    <row r="117" spans="1:107" ht="15.75" customHeight="1" x14ac:dyDescent="0.25">
      <c r="A117" s="1"/>
      <c r="B117" s="3"/>
      <c r="C117" s="1"/>
      <c r="D117" s="1"/>
      <c r="N117" s="1"/>
      <c r="V117" s="1"/>
      <c r="W117" s="1"/>
      <c r="X117" s="1"/>
      <c r="Y117" s="1"/>
      <c r="Z117" s="1"/>
      <c r="AA117" s="1"/>
      <c r="AB117" s="1"/>
      <c r="AI117" s="1"/>
      <c r="AJ117" s="1"/>
      <c r="AK117" s="1"/>
      <c r="AU117" s="1"/>
      <c r="AV117" s="1"/>
      <c r="AW117" s="1"/>
      <c r="AX117" s="1"/>
      <c r="AY117" s="1"/>
      <c r="AZ117" s="1"/>
      <c r="BA117" s="1"/>
      <c r="BY117" s="1"/>
      <c r="BZ117" s="1"/>
      <c r="CA117" s="1"/>
      <c r="CB117" s="1"/>
      <c r="CC117" s="1"/>
      <c r="CD117" s="1"/>
      <c r="CF117" s="1"/>
      <c r="CG117" s="1"/>
      <c r="CI117" s="1"/>
      <c r="CJ117" s="1"/>
      <c r="CR117" s="1"/>
      <c r="CT117" s="1"/>
      <c r="CU117" s="1"/>
      <c r="CW117" s="1"/>
    </row>
    <row r="118" spans="1:107" ht="15.75" customHeight="1" x14ac:dyDescent="0.25">
      <c r="A118" s="1"/>
      <c r="B118" s="3"/>
      <c r="C118" s="1"/>
      <c r="D118" s="1"/>
      <c r="W118" s="1"/>
      <c r="X118" s="1"/>
      <c r="Y118" s="1"/>
      <c r="Z118" s="1"/>
      <c r="AA118" s="1"/>
      <c r="AB118" s="1"/>
      <c r="AI118" s="1"/>
      <c r="AV118" s="1"/>
      <c r="AW118" s="1"/>
      <c r="AX118" s="1"/>
      <c r="CB118" s="1"/>
      <c r="CC118" s="1"/>
      <c r="CD118" s="1"/>
      <c r="CF118" s="1"/>
      <c r="CG118" s="1"/>
      <c r="CH118" s="1"/>
      <c r="CJ118" s="1"/>
      <c r="CL118" s="1"/>
      <c r="CM118" s="1"/>
      <c r="CN118" s="1"/>
      <c r="CR118" s="1"/>
      <c r="CU118" s="1"/>
      <c r="CX118" s="1"/>
      <c r="CZ118" s="1"/>
      <c r="DC118" s="1"/>
    </row>
    <row r="119" spans="1:107" ht="15.75" customHeight="1" x14ac:dyDescent="0.25">
      <c r="A119" s="1"/>
      <c r="B119" s="3"/>
      <c r="C119" s="1"/>
      <c r="D119" s="1"/>
      <c r="N119" s="1"/>
      <c r="W119" s="1"/>
      <c r="X119" s="1"/>
      <c r="Y119" s="1"/>
      <c r="Z119" s="1"/>
      <c r="AA119" s="1"/>
      <c r="AB119" s="1"/>
      <c r="AI119" s="1"/>
      <c r="AV119" s="1"/>
      <c r="AW119" s="1"/>
      <c r="AX119" s="1"/>
      <c r="CB119" s="1"/>
      <c r="CC119" s="1"/>
    </row>
    <row r="120" spans="1:107" ht="15.75" customHeight="1" x14ac:dyDescent="0.25">
      <c r="A120" s="1"/>
      <c r="B120" s="3"/>
      <c r="C120" s="1"/>
      <c r="D120" s="1"/>
      <c r="M120" s="1"/>
      <c r="N120" s="1"/>
      <c r="V120" s="1"/>
      <c r="W120" s="1"/>
      <c r="X120" s="1"/>
      <c r="Y120" s="1"/>
      <c r="Z120" s="1"/>
      <c r="AA120" s="1"/>
      <c r="AB120" s="1"/>
      <c r="AI120" s="1"/>
      <c r="AK120" s="1"/>
      <c r="AU120" s="1"/>
      <c r="AV120" s="1"/>
      <c r="AW120" s="1"/>
      <c r="AX120" s="1"/>
      <c r="AY120" s="1"/>
      <c r="BA120" s="1"/>
      <c r="BM120" s="1"/>
      <c r="BN120" s="1"/>
      <c r="DC120" s="1"/>
    </row>
    <row r="121" spans="1:107" ht="15.75" customHeight="1" x14ac:dyDescent="0.25">
      <c r="A121" s="1"/>
      <c r="B121" s="3"/>
      <c r="C121" s="1"/>
      <c r="D121" s="1"/>
      <c r="N121" s="1"/>
      <c r="V121" s="1"/>
      <c r="W121" s="1"/>
      <c r="X121" s="1"/>
      <c r="Y121" s="1"/>
      <c r="Z121" s="1"/>
      <c r="AA121" s="1"/>
      <c r="AB121" s="1"/>
      <c r="AI121" s="1"/>
      <c r="AK121" s="1"/>
      <c r="AU121" s="1"/>
      <c r="AV121" s="1"/>
      <c r="AW121" s="1"/>
      <c r="AX121" s="1"/>
      <c r="AY121" s="1"/>
      <c r="BA121" s="1"/>
      <c r="BM121" s="1"/>
      <c r="BN121" s="1"/>
      <c r="BW121" s="1"/>
      <c r="BZ121" s="1"/>
      <c r="CX121" s="1"/>
      <c r="CZ121" s="1"/>
      <c r="DA121" s="1"/>
      <c r="DB121" s="1"/>
      <c r="DC121" s="1"/>
    </row>
    <row r="122" spans="1:107" ht="15.75" customHeight="1" x14ac:dyDescent="0.25">
      <c r="A122" s="1"/>
      <c r="B122" s="3"/>
      <c r="C122" s="1"/>
      <c r="D122" s="1"/>
      <c r="N122" s="1"/>
      <c r="V122" s="1"/>
      <c r="W122" s="1"/>
      <c r="X122" s="1"/>
      <c r="Y122" s="1"/>
      <c r="Z122" s="1"/>
      <c r="AA122" s="1"/>
      <c r="AB122" s="1"/>
      <c r="AI122" s="1"/>
      <c r="AK122" s="1"/>
      <c r="AU122" s="1"/>
      <c r="AV122" s="1"/>
      <c r="AW122" s="1"/>
      <c r="AX122" s="1"/>
      <c r="AY122" s="1"/>
      <c r="BA122" s="1"/>
      <c r="BM122" s="1"/>
      <c r="BN122" s="1"/>
      <c r="BW122" s="1"/>
      <c r="BZ122" s="1"/>
      <c r="CX122" s="1"/>
      <c r="CZ122" s="1"/>
      <c r="DC122" s="1"/>
    </row>
    <row r="123" spans="1:107" ht="15.75" customHeight="1" x14ac:dyDescent="0.25">
      <c r="A123" s="1"/>
      <c r="B123" s="3"/>
      <c r="C123" s="1"/>
      <c r="D123" s="1"/>
      <c r="N123" s="1"/>
      <c r="U123" s="1"/>
      <c r="V123" s="1"/>
      <c r="W123" s="1"/>
      <c r="X123" s="1"/>
      <c r="Y123" s="1"/>
      <c r="Z123" s="1"/>
      <c r="AA123" s="1"/>
      <c r="AB123" s="1"/>
      <c r="AI123" s="1"/>
      <c r="AK123" s="1"/>
      <c r="AT123" s="1"/>
      <c r="AU123" s="1"/>
      <c r="AV123" s="1"/>
      <c r="AW123" s="1"/>
      <c r="AX123" s="1"/>
      <c r="AY123" s="1"/>
      <c r="BA123" s="1"/>
      <c r="BM123" s="1"/>
      <c r="BN123" s="1"/>
      <c r="CX123" s="1"/>
      <c r="CZ123" s="1"/>
      <c r="DB123" s="1"/>
      <c r="DC123" s="1"/>
    </row>
    <row r="124" spans="1:107" ht="15.75" customHeight="1" x14ac:dyDescent="0.25">
      <c r="A124" s="1"/>
      <c r="B124" s="3"/>
      <c r="C124" s="1"/>
      <c r="D124" s="1"/>
      <c r="N124" s="1"/>
      <c r="W124" s="1"/>
      <c r="X124" s="1"/>
      <c r="Y124" s="1"/>
      <c r="Z124" s="1"/>
      <c r="AA124" s="1"/>
      <c r="AB124" s="1"/>
      <c r="AI124" s="1"/>
      <c r="AJ124" s="1"/>
      <c r="AK124" s="1"/>
      <c r="AU124" s="1"/>
      <c r="AV124" s="1"/>
      <c r="AW124" s="1"/>
      <c r="AX124" s="1"/>
      <c r="AY124" s="1"/>
      <c r="BA124" s="1"/>
      <c r="BM124" s="1"/>
      <c r="BN124" s="1"/>
      <c r="CX124" s="1"/>
      <c r="CZ124" s="1"/>
      <c r="DC124" s="1"/>
    </row>
    <row r="125" spans="1:107" ht="15.75" customHeight="1" x14ac:dyDescent="0.25">
      <c r="A125" s="1"/>
      <c r="B125" s="3"/>
      <c r="C125" s="1"/>
      <c r="D125" s="1"/>
      <c r="N125" s="1"/>
      <c r="V125" s="1"/>
      <c r="W125" s="1"/>
      <c r="X125" s="1"/>
      <c r="Y125" s="1"/>
      <c r="Z125" s="1"/>
      <c r="AA125" s="1"/>
      <c r="AB125" s="1"/>
      <c r="AI125" s="1"/>
      <c r="AK125" s="1"/>
      <c r="AU125" s="1"/>
      <c r="AV125" s="1"/>
      <c r="AW125" s="1"/>
      <c r="AX125" s="1"/>
      <c r="AY125" s="1"/>
      <c r="BA125" s="1"/>
      <c r="BM125" s="1"/>
      <c r="BN125" s="1"/>
      <c r="CX125" s="1"/>
      <c r="CZ125" s="1"/>
      <c r="DC125" s="1"/>
    </row>
    <row r="126" spans="1:107" ht="15.75" customHeight="1" x14ac:dyDescent="0.25">
      <c r="A126" s="1"/>
      <c r="B126" s="3"/>
      <c r="C126" s="1"/>
      <c r="D126" s="1"/>
      <c r="N126" s="1"/>
      <c r="V126" s="1"/>
      <c r="W126" s="1"/>
      <c r="X126" s="1"/>
      <c r="Y126" s="1"/>
      <c r="Z126" s="1"/>
      <c r="AA126" s="1"/>
      <c r="AB126" s="1"/>
      <c r="AI126" s="1"/>
      <c r="AK126" s="1"/>
      <c r="AU126" s="1"/>
      <c r="AV126" s="1"/>
      <c r="AW126" s="1"/>
      <c r="AX126" s="1"/>
      <c r="AY126" s="1"/>
      <c r="BA126" s="1"/>
      <c r="BM126" s="1"/>
      <c r="BN126" s="1"/>
      <c r="BV126" s="1"/>
      <c r="BW126" s="1"/>
      <c r="CX126" s="1"/>
      <c r="CY126" s="1"/>
      <c r="CZ126" s="1"/>
      <c r="DB126" s="1"/>
      <c r="DC126" s="1"/>
    </row>
    <row r="127" spans="1:107" ht="15.75" customHeight="1" x14ac:dyDescent="0.25">
      <c r="A127" s="1"/>
      <c r="B127" s="3"/>
      <c r="C127" s="1"/>
      <c r="D127" s="1"/>
      <c r="N127" s="1"/>
      <c r="W127" s="1"/>
      <c r="X127" s="1"/>
      <c r="Y127" s="1"/>
      <c r="Z127" s="1"/>
      <c r="AA127" s="1"/>
      <c r="AI127" s="1"/>
      <c r="AV127" s="1"/>
      <c r="AW127" s="1"/>
      <c r="AX127" s="1"/>
    </row>
    <row r="128" spans="1:107" ht="15.75" customHeight="1" x14ac:dyDescent="0.25">
      <c r="A128" s="1"/>
      <c r="B128" s="3"/>
      <c r="C128" s="1"/>
      <c r="D128" s="1"/>
      <c r="N128" s="1"/>
      <c r="W128" s="1"/>
      <c r="X128" s="1"/>
      <c r="Y128" s="1"/>
      <c r="Z128" s="1"/>
      <c r="AA128" s="1"/>
      <c r="AB128" s="1"/>
      <c r="AI128" s="1"/>
      <c r="AK128" s="1"/>
      <c r="AU128" s="1"/>
      <c r="AV128" s="1"/>
      <c r="AW128" s="1"/>
      <c r="AX128" s="1"/>
      <c r="AY128" s="1"/>
      <c r="BA128" s="1"/>
      <c r="BM128" s="1"/>
      <c r="BN128" s="1"/>
      <c r="CH128" s="1"/>
      <c r="CI128" s="1"/>
      <c r="CJ128" s="1"/>
      <c r="CK128" s="1"/>
      <c r="CL128" s="1"/>
      <c r="DC128" s="1"/>
    </row>
    <row r="129" spans="1:107" ht="15.75" customHeight="1" x14ac:dyDescent="0.25">
      <c r="A129" s="1"/>
      <c r="B129" s="3"/>
      <c r="C129" s="1"/>
      <c r="D129" s="1"/>
      <c r="N129" s="1"/>
      <c r="W129" s="1"/>
      <c r="X129" s="1"/>
      <c r="Y129" s="1"/>
      <c r="Z129" s="1"/>
      <c r="AA129" s="1"/>
      <c r="AB129" s="1"/>
      <c r="AI129" s="1"/>
      <c r="AK129" s="1"/>
      <c r="AU129" s="1"/>
      <c r="AV129" s="1"/>
      <c r="AW129" s="1"/>
      <c r="AX129" s="1"/>
      <c r="AY129" s="1"/>
      <c r="AZ129" s="1"/>
      <c r="BA129" s="1"/>
      <c r="CR129" s="1"/>
      <c r="CT129" s="1"/>
      <c r="DC129" s="1"/>
    </row>
    <row r="130" spans="1:107" ht="15.75" customHeight="1" x14ac:dyDescent="0.25">
      <c r="A130" s="1"/>
      <c r="B130" s="3"/>
      <c r="C130" s="1"/>
      <c r="D130" s="1"/>
      <c r="N130" s="1"/>
      <c r="V130" s="1"/>
      <c r="W130" s="1"/>
      <c r="X130" s="1"/>
      <c r="Y130" s="1"/>
      <c r="Z130" s="1"/>
      <c r="AA130" s="1"/>
      <c r="AB130" s="1"/>
      <c r="AI130" s="1"/>
      <c r="AK130" s="1"/>
      <c r="AU130" s="1"/>
      <c r="AV130" s="1"/>
      <c r="AW130" s="1"/>
      <c r="AX130" s="1"/>
      <c r="AY130" s="1"/>
      <c r="BA130" s="1"/>
      <c r="BM130" s="1"/>
      <c r="BN130" s="1"/>
      <c r="CH130" s="1"/>
      <c r="CI130" s="1"/>
      <c r="CJ130" s="1"/>
      <c r="CL130" s="1"/>
      <c r="DC130" s="1"/>
    </row>
    <row r="131" spans="1:107" ht="15.75" customHeight="1" x14ac:dyDescent="0.25">
      <c r="A131" s="1"/>
      <c r="B131" s="3"/>
      <c r="C131" s="1"/>
      <c r="D131" s="1"/>
      <c r="N131" s="1"/>
      <c r="V131" s="1"/>
      <c r="W131" s="1"/>
      <c r="X131" s="1"/>
      <c r="Y131" s="1"/>
      <c r="Z131" s="1"/>
      <c r="AA131" s="1"/>
      <c r="AB131" s="1"/>
      <c r="AI131" s="1"/>
      <c r="AK131" s="1"/>
      <c r="AU131" s="1"/>
      <c r="AV131" s="1"/>
      <c r="AW131" s="1"/>
      <c r="AX131" s="1"/>
      <c r="AY131" s="1"/>
      <c r="BA131" s="1"/>
      <c r="BM131" s="1"/>
      <c r="BN131" s="1"/>
      <c r="BW131" s="1"/>
      <c r="CM131" s="1"/>
      <c r="CQ131" s="1"/>
      <c r="DC131" s="1"/>
    </row>
    <row r="132" spans="1:107" ht="15.75" customHeight="1" x14ac:dyDescent="0.25">
      <c r="A132" s="1"/>
      <c r="B132" s="3"/>
      <c r="C132" s="1"/>
      <c r="D132" s="1"/>
      <c r="N132" s="1"/>
      <c r="V132" s="1"/>
      <c r="W132" s="1"/>
      <c r="X132" s="1"/>
      <c r="Y132" s="1"/>
      <c r="Z132" s="1"/>
      <c r="AA132" s="1"/>
      <c r="AB132" s="1"/>
      <c r="AI132" s="1"/>
      <c r="AK132" s="1"/>
      <c r="AU132" s="1"/>
      <c r="AV132" s="1"/>
      <c r="AW132" s="1"/>
      <c r="AX132" s="1"/>
      <c r="AY132" s="1"/>
      <c r="AZ132" s="1"/>
      <c r="BA132" s="1"/>
      <c r="CB132" s="1"/>
      <c r="CF132" s="1"/>
      <c r="CG132" s="1"/>
      <c r="CH132" s="1"/>
      <c r="CI132" s="1"/>
      <c r="CJ132" s="1"/>
      <c r="CL132" s="1"/>
      <c r="DC132" s="1"/>
    </row>
    <row r="133" spans="1:107" ht="15.75" customHeight="1" x14ac:dyDescent="0.25">
      <c r="A133" s="1"/>
      <c r="B133" s="3"/>
      <c r="C133" s="1"/>
      <c r="D133" s="1"/>
      <c r="N133" s="1"/>
      <c r="W133" s="1"/>
      <c r="X133" s="1"/>
      <c r="Y133" s="1"/>
      <c r="Z133" s="1"/>
      <c r="AA133" s="1"/>
      <c r="AB133" s="1"/>
      <c r="AI133" s="1"/>
      <c r="AK133" s="1"/>
      <c r="AU133" s="1"/>
      <c r="AV133" s="1"/>
      <c r="AW133" s="1"/>
      <c r="AX133" s="1"/>
      <c r="AY133" s="1"/>
      <c r="BA133" s="1"/>
      <c r="BM133" s="1"/>
      <c r="BN133" s="1"/>
    </row>
    <row r="134" spans="1:107" ht="15.75" customHeight="1" x14ac:dyDescent="0.25">
      <c r="A134" s="1"/>
      <c r="B134" s="3"/>
      <c r="C134" s="1"/>
      <c r="D134" s="1"/>
      <c r="N134" s="1"/>
      <c r="W134" s="1"/>
      <c r="X134" s="1"/>
      <c r="Y134" s="1"/>
      <c r="Z134" s="1"/>
      <c r="AA134" s="1"/>
      <c r="AB134" s="1"/>
      <c r="AI134" s="1"/>
      <c r="AK134" s="1"/>
      <c r="AU134" s="1"/>
      <c r="AV134" s="1"/>
      <c r="AW134" s="1"/>
      <c r="AX134" s="1"/>
      <c r="AY134" s="1"/>
      <c r="AZ134" s="1"/>
      <c r="BA134" s="1"/>
    </row>
    <row r="135" spans="1:107" ht="15.75" customHeight="1" x14ac:dyDescent="0.25">
      <c r="A135" s="1"/>
      <c r="B135" s="3"/>
      <c r="C135" s="1"/>
      <c r="D135" s="1"/>
      <c r="N135" s="1"/>
      <c r="V135" s="1"/>
      <c r="W135" s="1"/>
      <c r="X135" s="1"/>
      <c r="Y135" s="1"/>
      <c r="Z135" s="1"/>
      <c r="AA135" s="1"/>
      <c r="AB135" s="1"/>
      <c r="AI135" s="1"/>
      <c r="AK135" s="1"/>
      <c r="AU135" s="1"/>
      <c r="AV135" s="1"/>
      <c r="AW135" s="1"/>
      <c r="AX135" s="1"/>
      <c r="AY135" s="1"/>
      <c r="BA135" s="1"/>
      <c r="BM135" s="1"/>
      <c r="BN135" s="1"/>
      <c r="BW135" s="1"/>
      <c r="BZ135" s="1"/>
      <c r="CR135" s="1"/>
      <c r="CT135" s="1"/>
      <c r="CU135" s="1"/>
      <c r="CX135" s="1"/>
      <c r="CY135" s="1"/>
      <c r="CZ135" s="1"/>
      <c r="DC135" s="1"/>
    </row>
    <row r="136" spans="1:107" ht="15.75" customHeight="1" x14ac:dyDescent="0.25">
      <c r="A136" s="1"/>
      <c r="B136" s="3"/>
      <c r="C136" s="1"/>
      <c r="D136" s="1"/>
      <c r="N136" s="1"/>
      <c r="O136" s="1"/>
      <c r="P136" s="1"/>
      <c r="Q136" s="1"/>
      <c r="R136" s="1"/>
      <c r="S136" s="1"/>
      <c r="T136" s="1"/>
      <c r="W136" s="1"/>
      <c r="X136" s="1"/>
      <c r="Y136" s="1"/>
      <c r="Z136" s="1"/>
      <c r="AA136" s="1"/>
      <c r="AI136" s="1"/>
      <c r="AV136" s="1"/>
      <c r="AW136" s="1"/>
      <c r="AX136" s="1"/>
    </row>
    <row r="137" spans="1:107" ht="15.75" customHeight="1" x14ac:dyDescent="0.25">
      <c r="A137" s="1"/>
      <c r="B137" s="3"/>
      <c r="C137" s="1"/>
      <c r="D137" s="1"/>
      <c r="N137" s="1"/>
      <c r="O137" s="1"/>
      <c r="P137" s="1"/>
      <c r="Q137" s="1"/>
      <c r="R137" s="1"/>
      <c r="S137" s="1"/>
      <c r="T137" s="1"/>
      <c r="W137" s="1"/>
      <c r="X137" s="1"/>
      <c r="Y137" s="1"/>
      <c r="Z137" s="1"/>
      <c r="AA137" s="1"/>
      <c r="AI137" s="1"/>
      <c r="AV137" s="1"/>
      <c r="AW137" s="1"/>
      <c r="AX137" s="1"/>
    </row>
    <row r="138" spans="1:107" ht="15.75" customHeight="1" x14ac:dyDescent="0.25">
      <c r="A138" s="1"/>
      <c r="B138" s="3"/>
      <c r="C138" s="1"/>
      <c r="D138" s="1"/>
      <c r="N138" s="1"/>
      <c r="O138" s="1"/>
      <c r="P138" s="1"/>
      <c r="Q138" s="1"/>
      <c r="R138" s="1"/>
      <c r="S138" s="1"/>
      <c r="T138" s="1"/>
      <c r="W138" s="1"/>
      <c r="X138" s="1"/>
      <c r="Y138" s="1"/>
      <c r="Z138" s="1"/>
      <c r="AA138" s="1"/>
      <c r="AI138" s="1"/>
      <c r="AV138" s="1"/>
      <c r="AW138" s="1"/>
      <c r="AX138" s="1"/>
    </row>
    <row r="139" spans="1:107" ht="15.75" customHeight="1" x14ac:dyDescent="0.25">
      <c r="A139" s="1"/>
      <c r="B139" s="3"/>
      <c r="C139" s="1"/>
      <c r="D139" s="1"/>
      <c r="N139" s="1"/>
      <c r="O139" s="1"/>
      <c r="P139" s="1"/>
      <c r="Q139" s="1"/>
      <c r="R139" s="1"/>
      <c r="S139" s="1"/>
      <c r="T139" s="1"/>
      <c r="W139" s="1"/>
      <c r="X139" s="1"/>
      <c r="Y139" s="1"/>
      <c r="Z139" s="1"/>
      <c r="AA139" s="1"/>
      <c r="AI139" s="1"/>
      <c r="AV139" s="1"/>
      <c r="AW139" s="1"/>
      <c r="AX139" s="1"/>
    </row>
    <row r="140" spans="1:107" ht="15.75" customHeight="1" x14ac:dyDescent="0.25">
      <c r="A140" s="1"/>
      <c r="B140" s="3"/>
      <c r="C140" s="1"/>
      <c r="D140" s="1"/>
      <c r="N140" s="1"/>
      <c r="O140" s="1"/>
      <c r="P140" s="1"/>
      <c r="Q140" s="1"/>
      <c r="R140" s="1"/>
      <c r="S140" s="1"/>
      <c r="T140" s="1"/>
      <c r="W140" s="1"/>
      <c r="X140" s="1"/>
      <c r="Y140" s="1"/>
      <c r="Z140" s="1"/>
      <c r="AA140" s="1"/>
      <c r="AI140" s="1"/>
      <c r="AV140" s="1"/>
      <c r="AW140" s="1"/>
      <c r="AX140" s="1"/>
    </row>
    <row r="141" spans="1:107" ht="15.75" customHeight="1" x14ac:dyDescent="0.25">
      <c r="A141" s="1"/>
      <c r="B141" s="3"/>
      <c r="C141" s="1"/>
      <c r="D141" s="1"/>
      <c r="N141" s="1"/>
      <c r="O141" s="1"/>
      <c r="P141" s="1"/>
      <c r="Q141" s="1"/>
      <c r="R141" s="1"/>
      <c r="S141" s="1"/>
      <c r="T141" s="1"/>
      <c r="W141" s="1"/>
      <c r="X141" s="1"/>
      <c r="Y141" s="1"/>
      <c r="Z141" s="1"/>
      <c r="AA141" s="1"/>
      <c r="AI141" s="1"/>
      <c r="AV141" s="1"/>
      <c r="AW141" s="1"/>
      <c r="AX141" s="1"/>
    </row>
    <row r="142" spans="1:107" ht="15.75" customHeight="1" x14ac:dyDescent="0.25">
      <c r="A142" s="1"/>
      <c r="B142" s="3"/>
      <c r="C142" s="1"/>
      <c r="D142" s="1"/>
      <c r="N142" s="1"/>
      <c r="O142" s="1"/>
      <c r="P142" s="1"/>
      <c r="Q142" s="1"/>
      <c r="R142" s="1"/>
      <c r="S142" s="1"/>
      <c r="T142" s="1"/>
      <c r="W142" s="1"/>
      <c r="X142" s="1"/>
      <c r="Y142" s="1"/>
      <c r="Z142" s="1"/>
      <c r="AA142" s="1"/>
      <c r="AI142" s="1"/>
      <c r="AV142" s="1"/>
      <c r="AW142" s="1"/>
      <c r="AX142" s="1"/>
    </row>
    <row r="143" spans="1:107" ht="15.75" customHeight="1" x14ac:dyDescent="0.25">
      <c r="A143" s="1"/>
      <c r="B143" s="3"/>
      <c r="C143" s="1"/>
      <c r="D143" s="1"/>
      <c r="M143" s="1"/>
      <c r="N143" s="1"/>
      <c r="O143" s="1"/>
      <c r="P143" s="1"/>
      <c r="Q143" s="1"/>
      <c r="R143" s="1"/>
      <c r="S143" s="1"/>
      <c r="T143" s="1"/>
      <c r="U143" s="1"/>
      <c r="W143" s="1"/>
      <c r="X143" s="1"/>
      <c r="Y143" s="1"/>
      <c r="Z143" s="1"/>
      <c r="AA143" s="1"/>
      <c r="AB143" s="1"/>
      <c r="AI143" s="1"/>
      <c r="AJ143" s="1"/>
      <c r="AV143" s="1"/>
      <c r="AW143" s="1"/>
      <c r="AX143" s="1"/>
      <c r="BA143" s="1"/>
      <c r="BL143" s="1"/>
      <c r="DC143" s="1"/>
    </row>
    <row r="144" spans="1:107" ht="15.75" customHeight="1" x14ac:dyDescent="0.25">
      <c r="A144" s="1"/>
      <c r="B144" s="3"/>
      <c r="C144" s="1"/>
      <c r="D144" s="1"/>
      <c r="N144" s="1"/>
      <c r="O144" s="1"/>
      <c r="P144" s="1"/>
      <c r="Q144" s="1"/>
      <c r="R144" s="1"/>
      <c r="S144" s="1"/>
      <c r="T144" s="1"/>
      <c r="V144" s="1"/>
      <c r="W144" s="1"/>
      <c r="X144" s="1"/>
      <c r="Y144" s="1"/>
      <c r="Z144" s="1"/>
      <c r="AA144" s="1"/>
      <c r="AI144" s="1"/>
      <c r="AK144" s="1"/>
      <c r="AU144" s="1"/>
      <c r="AV144" s="1"/>
      <c r="AW144" s="1"/>
      <c r="AX144" s="1"/>
      <c r="AY144" s="1"/>
      <c r="BM144" s="1"/>
      <c r="CH144" s="1"/>
      <c r="CJ144" s="1"/>
      <c r="CL144" s="1"/>
    </row>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3:A144">
    <cfRule type="cellIs" dxfId="11" priority="1" operator="equal">
      <formula>"FALSE"</formula>
    </cfRule>
    <cfRule type="expression" dxfId="10" priority="2">
      <formula>D1:D146="Game Enthusiast or Collector"</formula>
    </cfRule>
  </conditionalFormatting>
  <conditionalFormatting sqref="W3:AA144">
    <cfRule type="cellIs" dxfId="9" priority="3" operator="equal">
      <formula>"False"</formula>
    </cfRule>
    <cfRule type="cellIs" dxfId="8" priority="4" operator="equal">
      <formula>"True"</formula>
    </cfRule>
  </conditionalFormatting>
  <pageMargins left="0.7" right="0.7" top="0.75" bottom="0.75" header="0" footer="0"/>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C1000"/>
  <sheetViews>
    <sheetView workbookViewId="0">
      <selection activeCell="C3" sqref="C3"/>
    </sheetView>
  </sheetViews>
  <sheetFormatPr defaultColWidth="12.6640625" defaultRowHeight="15" customHeight="1" x14ac:dyDescent="0.25"/>
  <cols>
    <col min="1" max="107" width="8.6640625" customWidth="1"/>
  </cols>
  <sheetData>
    <row r="1" spans="1:107" ht="12.75" customHeight="1" x14ac:dyDescent="0.2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ht="12.75" customHeight="1" x14ac:dyDescent="0.25">
      <c r="A2" s="1" t="s">
        <v>0</v>
      </c>
      <c r="B2" s="1" t="s">
        <v>107</v>
      </c>
      <c r="C2" s="1" t="s">
        <v>108</v>
      </c>
      <c r="D2" s="1" t="s">
        <v>109</v>
      </c>
      <c r="E2" s="1"/>
      <c r="F2" s="1"/>
      <c r="G2" s="1"/>
      <c r="H2" s="1"/>
      <c r="I2" s="1"/>
      <c r="J2" s="1"/>
      <c r="K2" s="1"/>
      <c r="L2" s="1"/>
      <c r="M2" s="1" t="s">
        <v>110</v>
      </c>
      <c r="N2" s="1" t="s">
        <v>111</v>
      </c>
      <c r="O2" s="1"/>
      <c r="P2" s="1"/>
      <c r="Q2" s="1"/>
      <c r="R2" s="1"/>
      <c r="S2" s="1"/>
      <c r="T2" s="1"/>
      <c r="U2" s="1" t="s">
        <v>112</v>
      </c>
      <c r="V2" s="1" t="s">
        <v>113</v>
      </c>
      <c r="W2" s="1"/>
      <c r="X2" s="1"/>
      <c r="Y2" s="1"/>
      <c r="Z2" s="1"/>
      <c r="AA2" s="1"/>
      <c r="AB2" s="1" t="s">
        <v>114</v>
      </c>
      <c r="AC2" s="1"/>
      <c r="AD2" s="1"/>
      <c r="AE2" s="1"/>
      <c r="AF2" s="1"/>
      <c r="AG2" s="1"/>
      <c r="AH2" s="1"/>
      <c r="AI2" s="1"/>
      <c r="AJ2" s="1" t="s">
        <v>115</v>
      </c>
      <c r="AK2" s="1" t="s">
        <v>116</v>
      </c>
      <c r="AL2" s="1"/>
      <c r="AM2" s="1"/>
      <c r="AN2" s="1"/>
      <c r="AO2" s="1"/>
      <c r="AP2" s="1"/>
      <c r="AQ2" s="1"/>
      <c r="AR2" s="1"/>
      <c r="AS2" s="1"/>
      <c r="AT2" s="1" t="s">
        <v>117</v>
      </c>
      <c r="AU2" s="1" t="s">
        <v>118</v>
      </c>
      <c r="AV2" s="1"/>
      <c r="AW2" s="1"/>
      <c r="AX2" s="1"/>
      <c r="AY2" s="1" t="s">
        <v>119</v>
      </c>
      <c r="AZ2" s="1" t="s">
        <v>120</v>
      </c>
      <c r="BA2" s="1" t="s">
        <v>121</v>
      </c>
      <c r="BB2" s="1"/>
      <c r="BC2" s="1"/>
      <c r="BD2" s="1"/>
      <c r="BE2" s="1"/>
      <c r="BF2" s="1"/>
      <c r="BG2" s="1"/>
      <c r="BH2" s="1"/>
      <c r="BI2" s="1"/>
      <c r="BJ2" s="1"/>
      <c r="BK2" s="1"/>
      <c r="BL2" s="1" t="s">
        <v>122</v>
      </c>
      <c r="BM2" s="1" t="s">
        <v>123</v>
      </c>
      <c r="BN2" s="1" t="s">
        <v>124</v>
      </c>
      <c r="BO2" s="1"/>
      <c r="BP2" s="1"/>
      <c r="BQ2" s="1"/>
      <c r="BR2" s="1"/>
      <c r="BS2" s="1"/>
      <c r="BT2" s="1"/>
      <c r="BU2" s="1"/>
      <c r="BV2" s="1" t="s">
        <v>125</v>
      </c>
      <c r="BW2" s="1" t="s">
        <v>126</v>
      </c>
      <c r="BX2" s="1" t="s">
        <v>127</v>
      </c>
      <c r="BY2" s="1" t="s">
        <v>128</v>
      </c>
      <c r="BZ2" s="1" t="s">
        <v>129</v>
      </c>
      <c r="CA2" s="1" t="s">
        <v>130</v>
      </c>
      <c r="CB2" s="1" t="s">
        <v>131</v>
      </c>
      <c r="CC2" s="1" t="s">
        <v>132</v>
      </c>
      <c r="CD2" s="1" t="s">
        <v>133</v>
      </c>
      <c r="CE2" s="1" t="s">
        <v>134</v>
      </c>
      <c r="CF2" s="1" t="s">
        <v>135</v>
      </c>
      <c r="CG2" s="1" t="s">
        <v>136</v>
      </c>
      <c r="CH2" s="1" t="s">
        <v>137</v>
      </c>
      <c r="CI2" s="1" t="s">
        <v>138</v>
      </c>
      <c r="CJ2" s="1" t="s">
        <v>139</v>
      </c>
      <c r="CK2" s="1" t="s">
        <v>140</v>
      </c>
      <c r="CL2" s="1" t="s">
        <v>141</v>
      </c>
      <c r="CM2" s="1" t="s">
        <v>142</v>
      </c>
      <c r="CN2" s="1" t="s">
        <v>143</v>
      </c>
      <c r="CO2" s="1" t="s">
        <v>144</v>
      </c>
      <c r="CP2" s="1" t="s">
        <v>145</v>
      </c>
      <c r="CQ2" s="1" t="s">
        <v>146</v>
      </c>
      <c r="CR2" s="1" t="s">
        <v>147</v>
      </c>
      <c r="CS2" s="1" t="s">
        <v>148</v>
      </c>
      <c r="CT2" s="1" t="s">
        <v>149</v>
      </c>
      <c r="CU2" s="1" t="s">
        <v>150</v>
      </c>
      <c r="CV2" s="1" t="s">
        <v>151</v>
      </c>
      <c r="CW2" s="1" t="s">
        <v>152</v>
      </c>
      <c r="CX2" s="1" t="s">
        <v>153</v>
      </c>
      <c r="CY2" s="1" t="s">
        <v>154</v>
      </c>
      <c r="CZ2" s="1" t="s">
        <v>155</v>
      </c>
      <c r="DA2" s="1" t="s">
        <v>156</v>
      </c>
      <c r="DB2" s="1" t="s">
        <v>152</v>
      </c>
      <c r="DC2" s="1" t="s">
        <v>157</v>
      </c>
    </row>
    <row r="3" spans="1:107" ht="12.75" customHeight="1" x14ac:dyDescent="0.25">
      <c r="A3" s="1" t="b">
        <v>0</v>
      </c>
      <c r="B3" s="3">
        <v>46153.697731481479</v>
      </c>
      <c r="C3" s="1" t="s">
        <v>327</v>
      </c>
      <c r="D3" s="1" t="s">
        <v>4</v>
      </c>
      <c r="E3" s="4">
        <f t="shared" ref="E3:K3" si="0">IF(ISNUMBER(SEARCH(E$1,$D3)), SEARCH(E$1,$D3), 0)</f>
        <v>1</v>
      </c>
      <c r="F3" s="4">
        <f t="shared" si="0"/>
        <v>0</v>
      </c>
      <c r="G3" s="4">
        <f t="shared" si="0"/>
        <v>0</v>
      </c>
      <c r="H3" s="4">
        <f t="shared" si="0"/>
        <v>0</v>
      </c>
      <c r="I3" s="4">
        <f t="shared" si="0"/>
        <v>0</v>
      </c>
      <c r="J3" s="4">
        <f t="shared" si="0"/>
        <v>0</v>
      </c>
      <c r="K3" s="4">
        <f t="shared" si="0"/>
        <v>0</v>
      </c>
      <c r="L3" s="4">
        <f t="shared" ref="L3:L11" si="1">(MAX(E3:K3))</f>
        <v>1</v>
      </c>
      <c r="N3" s="1" t="s">
        <v>328</v>
      </c>
      <c r="O3" s="1"/>
      <c r="P3" s="1"/>
      <c r="Q3" s="1"/>
      <c r="R3" s="1"/>
      <c r="S3" s="1"/>
      <c r="T3" s="1"/>
      <c r="W3" s="1" t="str">
        <f t="shared" ref="W3:AA11" si="2">IF(W$1=$V3, "True", "False")</f>
        <v>False</v>
      </c>
      <c r="X3" s="1" t="str">
        <f t="shared" si="2"/>
        <v>False</v>
      </c>
      <c r="Y3" s="1" t="str">
        <f t="shared" si="2"/>
        <v>False</v>
      </c>
      <c r="Z3" s="1" t="str">
        <f t="shared" si="2"/>
        <v>False</v>
      </c>
      <c r="AA3" s="1" t="str">
        <f t="shared" si="2"/>
        <v>False</v>
      </c>
      <c r="AC3" s="4">
        <f t="shared" ref="AC3:AH3" si="3">IF(ISNUMBER(SEARCH(AC$1,$AB3)), 1, 0)</f>
        <v>0</v>
      </c>
      <c r="AD3" s="4">
        <f t="shared" si="3"/>
        <v>0</v>
      </c>
      <c r="AE3" s="4">
        <f t="shared" si="3"/>
        <v>0</v>
      </c>
      <c r="AF3" s="4">
        <f t="shared" si="3"/>
        <v>0</v>
      </c>
      <c r="AG3" s="4">
        <f t="shared" si="3"/>
        <v>0</v>
      </c>
      <c r="AH3" s="4">
        <f t="shared" si="3"/>
        <v>0</v>
      </c>
      <c r="AI3" s="1">
        <f t="shared" ref="AI3:AI11" si="4">SUM(AC3:AH3)</f>
        <v>0</v>
      </c>
      <c r="AL3" s="4">
        <f t="shared" ref="AL3:AS3" si="5">IF(ISNUMBER(SEARCH(AL$1,$AK3)), 1, 0)</f>
        <v>0</v>
      </c>
      <c r="AM3" s="4">
        <f t="shared" si="5"/>
        <v>0</v>
      </c>
      <c r="AN3" s="4">
        <f t="shared" si="5"/>
        <v>0</v>
      </c>
      <c r="AO3" s="4">
        <f t="shared" si="5"/>
        <v>0</v>
      </c>
      <c r="AP3" s="4">
        <f t="shared" si="5"/>
        <v>0</v>
      </c>
      <c r="AQ3" s="4">
        <f t="shared" si="5"/>
        <v>0</v>
      </c>
      <c r="AR3" s="4">
        <f t="shared" si="5"/>
        <v>0</v>
      </c>
      <c r="AS3" s="4">
        <f t="shared" si="5"/>
        <v>0</v>
      </c>
      <c r="AV3" s="1">
        <f t="shared" ref="AV3:AV11" si="6">IF($AU3="No",1,0)</f>
        <v>0</v>
      </c>
      <c r="AW3" s="1">
        <f t="shared" ref="AW3:AW11" si="7">IF($AU3="Yes",1,0)</f>
        <v>0</v>
      </c>
      <c r="AX3" s="1">
        <f t="shared" ref="AX3:AX11" si="8">IF($AU3="Unsure",1,0)</f>
        <v>0</v>
      </c>
      <c r="BB3" s="4">
        <f t="shared" ref="BB3:BJ3" si="9">IF(ISNUMBER(SEARCH(BB$1,$BA3)), 1, 0)</f>
        <v>0</v>
      </c>
      <c r="BC3" s="4">
        <f t="shared" si="9"/>
        <v>0</v>
      </c>
      <c r="BD3" s="4">
        <f t="shared" si="9"/>
        <v>0</v>
      </c>
      <c r="BE3" s="4">
        <f t="shared" si="9"/>
        <v>0</v>
      </c>
      <c r="BF3" s="4">
        <f t="shared" si="9"/>
        <v>0</v>
      </c>
      <c r="BG3" s="4">
        <f t="shared" si="9"/>
        <v>0</v>
      </c>
      <c r="BH3" s="4">
        <f t="shared" si="9"/>
        <v>0</v>
      </c>
      <c r="BI3" s="4">
        <f t="shared" si="9"/>
        <v>0</v>
      </c>
      <c r="BJ3" s="4">
        <f t="shared" si="9"/>
        <v>0</v>
      </c>
      <c r="BK3" s="4">
        <f t="shared" ref="BK3:BK11" si="10">SUM(BB3:BJ3)</f>
        <v>0</v>
      </c>
      <c r="BO3" s="4">
        <f t="shared" ref="BO3:BU3" si="11">IF(ISNUMBER(SEARCH(BO$1,$BN3)), 1, 0)</f>
        <v>0</v>
      </c>
      <c r="BP3" s="4">
        <f t="shared" si="11"/>
        <v>0</v>
      </c>
      <c r="BQ3" s="4">
        <f t="shared" si="11"/>
        <v>0</v>
      </c>
      <c r="BR3" s="4">
        <f t="shared" si="11"/>
        <v>0</v>
      </c>
      <c r="BS3" s="4">
        <f t="shared" si="11"/>
        <v>0</v>
      </c>
      <c r="BT3" s="4">
        <f t="shared" si="11"/>
        <v>0</v>
      </c>
      <c r="BU3" s="4">
        <f t="shared" si="11"/>
        <v>0</v>
      </c>
    </row>
    <row r="4" spans="1:107" ht="12.75" customHeight="1" x14ac:dyDescent="0.25">
      <c r="A4" s="1" t="b">
        <v>0</v>
      </c>
      <c r="B4" s="3">
        <v>46153.866793981484</v>
      </c>
      <c r="C4" s="1" t="s">
        <v>336</v>
      </c>
      <c r="D4" s="1" t="s">
        <v>4</v>
      </c>
      <c r="E4" s="4">
        <f t="shared" ref="E4:K4" si="12">IF(ISNUMBER(SEARCH(E$1,$D4)), SEARCH(E$1,$D4), 0)</f>
        <v>1</v>
      </c>
      <c r="F4" s="4">
        <f t="shared" si="12"/>
        <v>0</v>
      </c>
      <c r="G4" s="4">
        <f t="shared" si="12"/>
        <v>0</v>
      </c>
      <c r="H4" s="4">
        <f t="shared" si="12"/>
        <v>0</v>
      </c>
      <c r="I4" s="4">
        <f t="shared" si="12"/>
        <v>0</v>
      </c>
      <c r="J4" s="4">
        <f t="shared" si="12"/>
        <v>0</v>
      </c>
      <c r="K4" s="4">
        <f t="shared" si="12"/>
        <v>0</v>
      </c>
      <c r="L4" s="4">
        <f t="shared" si="1"/>
        <v>1</v>
      </c>
      <c r="N4" s="1" t="s">
        <v>14</v>
      </c>
      <c r="O4" s="1"/>
      <c r="P4" s="1"/>
      <c r="Q4" s="1"/>
      <c r="R4" s="1"/>
      <c r="S4" s="1"/>
      <c r="T4" s="1"/>
      <c r="W4" s="1" t="str">
        <f t="shared" si="2"/>
        <v>False</v>
      </c>
      <c r="X4" s="1" t="str">
        <f t="shared" si="2"/>
        <v>False</v>
      </c>
      <c r="Y4" s="1" t="str">
        <f t="shared" si="2"/>
        <v>False</v>
      </c>
      <c r="Z4" s="1" t="str">
        <f t="shared" si="2"/>
        <v>False</v>
      </c>
      <c r="AA4" s="1" t="str">
        <f t="shared" si="2"/>
        <v>False</v>
      </c>
      <c r="AC4" s="4">
        <f t="shared" ref="AC4:AH4" si="13">IF(ISNUMBER(SEARCH(AC$1,$AB4)), 1, 0)</f>
        <v>0</v>
      </c>
      <c r="AD4" s="4">
        <f t="shared" si="13"/>
        <v>0</v>
      </c>
      <c r="AE4" s="4">
        <f t="shared" si="13"/>
        <v>0</v>
      </c>
      <c r="AF4" s="4">
        <f t="shared" si="13"/>
        <v>0</v>
      </c>
      <c r="AG4" s="4">
        <f t="shared" si="13"/>
        <v>0</v>
      </c>
      <c r="AH4" s="4">
        <f t="shared" si="13"/>
        <v>0</v>
      </c>
      <c r="AI4" s="1">
        <f t="shared" si="4"/>
        <v>0</v>
      </c>
      <c r="AL4" s="4">
        <f t="shared" ref="AL4:AS4" si="14">IF(ISNUMBER(SEARCH(AL$1,$AK4)), 1, 0)</f>
        <v>0</v>
      </c>
      <c r="AM4" s="4">
        <f t="shared" si="14"/>
        <v>0</v>
      </c>
      <c r="AN4" s="4">
        <f t="shared" si="14"/>
        <v>0</v>
      </c>
      <c r="AO4" s="4">
        <f t="shared" si="14"/>
        <v>0</v>
      </c>
      <c r="AP4" s="4">
        <f t="shared" si="14"/>
        <v>0</v>
      </c>
      <c r="AQ4" s="4">
        <f t="shared" si="14"/>
        <v>0</v>
      </c>
      <c r="AR4" s="4">
        <f t="shared" si="14"/>
        <v>0</v>
      </c>
      <c r="AS4" s="4">
        <f t="shared" si="14"/>
        <v>0</v>
      </c>
      <c r="AV4" s="1">
        <f t="shared" si="6"/>
        <v>0</v>
      </c>
      <c r="AW4" s="1">
        <f t="shared" si="7"/>
        <v>0</v>
      </c>
      <c r="AX4" s="1">
        <f t="shared" si="8"/>
        <v>0</v>
      </c>
      <c r="BB4" s="4">
        <f t="shared" ref="BB4:BJ4" si="15">IF(ISNUMBER(SEARCH(BB$1,$BA4)), 1, 0)</f>
        <v>0</v>
      </c>
      <c r="BC4" s="4">
        <f t="shared" si="15"/>
        <v>0</v>
      </c>
      <c r="BD4" s="4">
        <f t="shared" si="15"/>
        <v>0</v>
      </c>
      <c r="BE4" s="4">
        <f t="shared" si="15"/>
        <v>0</v>
      </c>
      <c r="BF4" s="4">
        <f t="shared" si="15"/>
        <v>0</v>
      </c>
      <c r="BG4" s="4">
        <f t="shared" si="15"/>
        <v>0</v>
      </c>
      <c r="BH4" s="4">
        <f t="shared" si="15"/>
        <v>0</v>
      </c>
      <c r="BI4" s="4">
        <f t="shared" si="15"/>
        <v>0</v>
      </c>
      <c r="BJ4" s="4">
        <f t="shared" si="15"/>
        <v>0</v>
      </c>
      <c r="BK4" s="4">
        <f t="shared" si="10"/>
        <v>0</v>
      </c>
      <c r="BO4" s="4">
        <f t="shared" ref="BO4:BU4" si="16">IF(ISNUMBER(SEARCH(BO$1,$BN4)), 1, 0)</f>
        <v>0</v>
      </c>
      <c r="BP4" s="4">
        <f t="shared" si="16"/>
        <v>0</v>
      </c>
      <c r="BQ4" s="4">
        <f t="shared" si="16"/>
        <v>0</v>
      </c>
      <c r="BR4" s="4">
        <f t="shared" si="16"/>
        <v>0</v>
      </c>
      <c r="BS4" s="4">
        <f t="shared" si="16"/>
        <v>0</v>
      </c>
      <c r="BT4" s="4">
        <f t="shared" si="16"/>
        <v>0</v>
      </c>
      <c r="BU4" s="4">
        <f t="shared" si="16"/>
        <v>0</v>
      </c>
    </row>
    <row r="5" spans="1:107" ht="12.75" customHeight="1" x14ac:dyDescent="0.25">
      <c r="A5" s="1" t="b">
        <v>0</v>
      </c>
      <c r="B5" s="3">
        <v>46156.245937500003</v>
      </c>
      <c r="C5" s="1" t="s">
        <v>376</v>
      </c>
      <c r="D5" s="1" t="s">
        <v>4</v>
      </c>
      <c r="E5" s="4">
        <f t="shared" ref="E5:K5" si="17">IF(ISNUMBER(SEARCH(E$1,$D5)), SEARCH(E$1,$D5), 0)</f>
        <v>1</v>
      </c>
      <c r="F5" s="4">
        <f t="shared" si="17"/>
        <v>0</v>
      </c>
      <c r="G5" s="4">
        <f t="shared" si="17"/>
        <v>0</v>
      </c>
      <c r="H5" s="4">
        <f t="shared" si="17"/>
        <v>0</v>
      </c>
      <c r="I5" s="4">
        <f t="shared" si="17"/>
        <v>0</v>
      </c>
      <c r="J5" s="4">
        <f t="shared" si="17"/>
        <v>0</v>
      </c>
      <c r="K5" s="4">
        <f t="shared" si="17"/>
        <v>0</v>
      </c>
      <c r="L5" s="4">
        <f t="shared" si="1"/>
        <v>1</v>
      </c>
      <c r="N5" s="1" t="s">
        <v>316</v>
      </c>
      <c r="O5" s="1"/>
      <c r="P5" s="1"/>
      <c r="Q5" s="1"/>
      <c r="R5" s="1"/>
      <c r="S5" s="1"/>
      <c r="T5" s="1"/>
      <c r="W5" s="1" t="str">
        <f t="shared" si="2"/>
        <v>False</v>
      </c>
      <c r="X5" s="1" t="str">
        <f t="shared" si="2"/>
        <v>False</v>
      </c>
      <c r="Y5" s="1" t="str">
        <f t="shared" si="2"/>
        <v>False</v>
      </c>
      <c r="Z5" s="1" t="str">
        <f t="shared" si="2"/>
        <v>False</v>
      </c>
      <c r="AA5" s="1" t="str">
        <f t="shared" si="2"/>
        <v>False</v>
      </c>
      <c r="AC5" s="4">
        <f t="shared" ref="AC5:AH5" si="18">IF(ISNUMBER(SEARCH(AC$1,$AB5)), 1, 0)</f>
        <v>0</v>
      </c>
      <c r="AD5" s="4">
        <f t="shared" si="18"/>
        <v>0</v>
      </c>
      <c r="AE5" s="4">
        <f t="shared" si="18"/>
        <v>0</v>
      </c>
      <c r="AF5" s="4">
        <f t="shared" si="18"/>
        <v>0</v>
      </c>
      <c r="AG5" s="4">
        <f t="shared" si="18"/>
        <v>0</v>
      </c>
      <c r="AH5" s="4">
        <f t="shared" si="18"/>
        <v>0</v>
      </c>
      <c r="AI5" s="1">
        <f t="shared" si="4"/>
        <v>0</v>
      </c>
      <c r="AL5" s="4">
        <f t="shared" ref="AL5:AS5" si="19">IF(ISNUMBER(SEARCH(AL$1,$AK5)), 1, 0)</f>
        <v>0</v>
      </c>
      <c r="AM5" s="4">
        <f t="shared" si="19"/>
        <v>0</v>
      </c>
      <c r="AN5" s="4">
        <f t="shared" si="19"/>
        <v>0</v>
      </c>
      <c r="AO5" s="4">
        <f t="shared" si="19"/>
        <v>0</v>
      </c>
      <c r="AP5" s="4">
        <f t="shared" si="19"/>
        <v>0</v>
      </c>
      <c r="AQ5" s="4">
        <f t="shared" si="19"/>
        <v>0</v>
      </c>
      <c r="AR5" s="4">
        <f t="shared" si="19"/>
        <v>0</v>
      </c>
      <c r="AS5" s="4">
        <f t="shared" si="19"/>
        <v>0</v>
      </c>
      <c r="AV5" s="1">
        <f t="shared" si="6"/>
        <v>0</v>
      </c>
      <c r="AW5" s="1">
        <f t="shared" si="7"/>
        <v>0</v>
      </c>
      <c r="AX5" s="1">
        <f t="shared" si="8"/>
        <v>0</v>
      </c>
      <c r="BB5" s="4">
        <f t="shared" ref="BB5:BJ5" si="20">IF(ISNUMBER(SEARCH(BB$1,$BA5)), 1, 0)</f>
        <v>0</v>
      </c>
      <c r="BC5" s="4">
        <f t="shared" si="20"/>
        <v>0</v>
      </c>
      <c r="BD5" s="4">
        <f t="shared" si="20"/>
        <v>0</v>
      </c>
      <c r="BE5" s="4">
        <f t="shared" si="20"/>
        <v>0</v>
      </c>
      <c r="BF5" s="4">
        <f t="shared" si="20"/>
        <v>0</v>
      </c>
      <c r="BG5" s="4">
        <f t="shared" si="20"/>
        <v>0</v>
      </c>
      <c r="BH5" s="4">
        <f t="shared" si="20"/>
        <v>0</v>
      </c>
      <c r="BI5" s="4">
        <f t="shared" si="20"/>
        <v>0</v>
      </c>
      <c r="BJ5" s="4">
        <f t="shared" si="20"/>
        <v>0</v>
      </c>
      <c r="BK5" s="4">
        <f t="shared" si="10"/>
        <v>0</v>
      </c>
      <c r="BO5" s="4">
        <f t="shared" ref="BO5:BU5" si="21">IF(ISNUMBER(SEARCH(BO$1,$BN5)), 1, 0)</f>
        <v>0</v>
      </c>
      <c r="BP5" s="4">
        <f t="shared" si="21"/>
        <v>0</v>
      </c>
      <c r="BQ5" s="4">
        <f t="shared" si="21"/>
        <v>0</v>
      </c>
      <c r="BR5" s="4">
        <f t="shared" si="21"/>
        <v>0</v>
      </c>
      <c r="BS5" s="4">
        <f t="shared" si="21"/>
        <v>0</v>
      </c>
      <c r="BT5" s="4">
        <f t="shared" si="21"/>
        <v>0</v>
      </c>
      <c r="BU5" s="4">
        <f t="shared" si="21"/>
        <v>0</v>
      </c>
    </row>
    <row r="6" spans="1:107" ht="12.75" customHeight="1" x14ac:dyDescent="0.25">
      <c r="A6" s="1" t="b">
        <v>0</v>
      </c>
      <c r="B6" s="3">
        <v>46163.99900462963</v>
      </c>
      <c r="C6" s="1" t="s">
        <v>463</v>
      </c>
      <c r="D6" s="1" t="s">
        <v>4</v>
      </c>
      <c r="E6" s="4">
        <f t="shared" ref="E6:K6" si="22">IF(ISNUMBER(SEARCH(E$1,$D6)), SEARCH(E$1,$D6), 0)</f>
        <v>1</v>
      </c>
      <c r="F6" s="4">
        <f t="shared" si="22"/>
        <v>0</v>
      </c>
      <c r="G6" s="4">
        <f t="shared" si="22"/>
        <v>0</v>
      </c>
      <c r="H6" s="4">
        <f t="shared" si="22"/>
        <v>0</v>
      </c>
      <c r="I6" s="4">
        <f t="shared" si="22"/>
        <v>0</v>
      </c>
      <c r="J6" s="4">
        <f t="shared" si="22"/>
        <v>0</v>
      </c>
      <c r="K6" s="4">
        <f t="shared" si="22"/>
        <v>0</v>
      </c>
      <c r="L6" s="4">
        <f t="shared" si="1"/>
        <v>1</v>
      </c>
      <c r="N6" s="1" t="s">
        <v>272</v>
      </c>
      <c r="O6" s="1"/>
      <c r="P6" s="1"/>
      <c r="Q6" s="1"/>
      <c r="R6" s="1"/>
      <c r="S6" s="1"/>
      <c r="T6" s="1"/>
      <c r="W6" s="1" t="str">
        <f t="shared" si="2"/>
        <v>False</v>
      </c>
      <c r="X6" s="1" t="str">
        <f t="shared" si="2"/>
        <v>False</v>
      </c>
      <c r="Y6" s="1" t="str">
        <f t="shared" si="2"/>
        <v>False</v>
      </c>
      <c r="Z6" s="1" t="str">
        <f t="shared" si="2"/>
        <v>False</v>
      </c>
      <c r="AA6" s="1" t="str">
        <f t="shared" si="2"/>
        <v>False</v>
      </c>
      <c r="AC6" s="4">
        <f t="shared" ref="AC6:AH6" si="23">IF(ISNUMBER(SEARCH(AC$1,$AB6)), 1, 0)</f>
        <v>0</v>
      </c>
      <c r="AD6" s="4">
        <f t="shared" si="23"/>
        <v>0</v>
      </c>
      <c r="AE6" s="4">
        <f t="shared" si="23"/>
        <v>0</v>
      </c>
      <c r="AF6" s="4">
        <f t="shared" si="23"/>
        <v>0</v>
      </c>
      <c r="AG6" s="4">
        <f t="shared" si="23"/>
        <v>0</v>
      </c>
      <c r="AH6" s="4">
        <f t="shared" si="23"/>
        <v>0</v>
      </c>
      <c r="AI6" s="1">
        <f t="shared" si="4"/>
        <v>0</v>
      </c>
      <c r="AL6" s="4">
        <f t="shared" ref="AL6:AS6" si="24">IF(ISNUMBER(SEARCH(AL$1,$AK6)), 1, 0)</f>
        <v>0</v>
      </c>
      <c r="AM6" s="4">
        <f t="shared" si="24"/>
        <v>0</v>
      </c>
      <c r="AN6" s="4">
        <f t="shared" si="24"/>
        <v>0</v>
      </c>
      <c r="AO6" s="4">
        <f t="shared" si="24"/>
        <v>0</v>
      </c>
      <c r="AP6" s="4">
        <f t="shared" si="24"/>
        <v>0</v>
      </c>
      <c r="AQ6" s="4">
        <f t="shared" si="24"/>
        <v>0</v>
      </c>
      <c r="AR6" s="4">
        <f t="shared" si="24"/>
        <v>0</v>
      </c>
      <c r="AS6" s="4">
        <f t="shared" si="24"/>
        <v>0</v>
      </c>
      <c r="AV6" s="1">
        <f t="shared" si="6"/>
        <v>0</v>
      </c>
      <c r="AW6" s="1">
        <f t="shared" si="7"/>
        <v>0</v>
      </c>
      <c r="AX6" s="1">
        <f t="shared" si="8"/>
        <v>0</v>
      </c>
      <c r="BB6" s="4">
        <f t="shared" ref="BB6:BJ6" si="25">IF(ISNUMBER(SEARCH(BB$1,$BA6)), 1, 0)</f>
        <v>0</v>
      </c>
      <c r="BC6" s="4">
        <f t="shared" si="25"/>
        <v>0</v>
      </c>
      <c r="BD6" s="4">
        <f t="shared" si="25"/>
        <v>0</v>
      </c>
      <c r="BE6" s="4">
        <f t="shared" si="25"/>
        <v>0</v>
      </c>
      <c r="BF6" s="4">
        <f t="shared" si="25"/>
        <v>0</v>
      </c>
      <c r="BG6" s="4">
        <f t="shared" si="25"/>
        <v>0</v>
      </c>
      <c r="BH6" s="4">
        <f t="shared" si="25"/>
        <v>0</v>
      </c>
      <c r="BI6" s="4">
        <f t="shared" si="25"/>
        <v>0</v>
      </c>
      <c r="BJ6" s="4">
        <f t="shared" si="25"/>
        <v>0</v>
      </c>
      <c r="BK6" s="4">
        <f t="shared" si="10"/>
        <v>0</v>
      </c>
      <c r="BO6" s="4">
        <f t="shared" ref="BO6:BU6" si="26">IF(ISNUMBER(SEARCH(BO$1,$BN6)), 1, 0)</f>
        <v>0</v>
      </c>
      <c r="BP6" s="4">
        <f t="shared" si="26"/>
        <v>0</v>
      </c>
      <c r="BQ6" s="4">
        <f t="shared" si="26"/>
        <v>0</v>
      </c>
      <c r="BR6" s="4">
        <f t="shared" si="26"/>
        <v>0</v>
      </c>
      <c r="BS6" s="4">
        <f t="shared" si="26"/>
        <v>0</v>
      </c>
      <c r="BT6" s="4">
        <f t="shared" si="26"/>
        <v>0</v>
      </c>
      <c r="BU6" s="4">
        <f t="shared" si="26"/>
        <v>0</v>
      </c>
    </row>
    <row r="7" spans="1:107" ht="12.75" customHeight="1" x14ac:dyDescent="0.25">
      <c r="A7" s="1" t="b">
        <v>0</v>
      </c>
      <c r="B7" s="3">
        <v>46166.174571759257</v>
      </c>
      <c r="C7" s="1" t="s">
        <v>632</v>
      </c>
      <c r="D7" s="1" t="s">
        <v>5</v>
      </c>
      <c r="E7" s="4">
        <f t="shared" ref="E7:K7" si="27">IF(ISNUMBER(SEARCH(E$1,$D7)), SEARCH(E$1,$D7), 0)</f>
        <v>0</v>
      </c>
      <c r="F7" s="4">
        <f t="shared" si="27"/>
        <v>1</v>
      </c>
      <c r="G7" s="4">
        <f t="shared" si="27"/>
        <v>0</v>
      </c>
      <c r="H7" s="4">
        <f t="shared" si="27"/>
        <v>0</v>
      </c>
      <c r="I7" s="4">
        <f t="shared" si="27"/>
        <v>0</v>
      </c>
      <c r="J7" s="4">
        <f t="shared" si="27"/>
        <v>0</v>
      </c>
      <c r="K7" s="4">
        <f t="shared" si="27"/>
        <v>0</v>
      </c>
      <c r="L7" s="4">
        <f t="shared" si="1"/>
        <v>1</v>
      </c>
      <c r="N7" s="1" t="s">
        <v>240</v>
      </c>
      <c r="O7" s="1"/>
      <c r="P7" s="1"/>
      <c r="Q7" s="1"/>
      <c r="R7" s="1"/>
      <c r="S7" s="1"/>
      <c r="T7" s="1"/>
      <c r="W7" s="1" t="str">
        <f t="shared" si="2"/>
        <v>False</v>
      </c>
      <c r="X7" s="1" t="str">
        <f t="shared" si="2"/>
        <v>False</v>
      </c>
      <c r="Y7" s="1" t="str">
        <f t="shared" si="2"/>
        <v>False</v>
      </c>
      <c r="Z7" s="1" t="str">
        <f t="shared" si="2"/>
        <v>False</v>
      </c>
      <c r="AA7" s="1" t="str">
        <f t="shared" si="2"/>
        <v>False</v>
      </c>
      <c r="AC7" s="4">
        <f t="shared" ref="AC7:AH7" si="28">IF(ISNUMBER(SEARCH(AC$1,$AB7)), 1, 0)</f>
        <v>0</v>
      </c>
      <c r="AD7" s="4">
        <f t="shared" si="28"/>
        <v>0</v>
      </c>
      <c r="AE7" s="4">
        <f t="shared" si="28"/>
        <v>0</v>
      </c>
      <c r="AF7" s="4">
        <f t="shared" si="28"/>
        <v>0</v>
      </c>
      <c r="AG7" s="4">
        <f t="shared" si="28"/>
        <v>0</v>
      </c>
      <c r="AH7" s="4">
        <f t="shared" si="28"/>
        <v>0</v>
      </c>
      <c r="AI7" s="1">
        <f t="shared" si="4"/>
        <v>0</v>
      </c>
      <c r="AL7" s="4">
        <f t="shared" ref="AL7:AS7" si="29">IF(ISNUMBER(SEARCH(AL$1,$AK7)), 1, 0)</f>
        <v>0</v>
      </c>
      <c r="AM7" s="4">
        <f t="shared" si="29"/>
        <v>0</v>
      </c>
      <c r="AN7" s="4">
        <f t="shared" si="29"/>
        <v>0</v>
      </c>
      <c r="AO7" s="4">
        <f t="shared" si="29"/>
        <v>0</v>
      </c>
      <c r="AP7" s="4">
        <f t="shared" si="29"/>
        <v>0</v>
      </c>
      <c r="AQ7" s="4">
        <f t="shared" si="29"/>
        <v>0</v>
      </c>
      <c r="AR7" s="4">
        <f t="shared" si="29"/>
        <v>0</v>
      </c>
      <c r="AS7" s="4">
        <f t="shared" si="29"/>
        <v>0</v>
      </c>
      <c r="AV7" s="1">
        <f t="shared" si="6"/>
        <v>0</v>
      </c>
      <c r="AW7" s="1">
        <f t="shared" si="7"/>
        <v>0</v>
      </c>
      <c r="AX7" s="1">
        <f t="shared" si="8"/>
        <v>0</v>
      </c>
      <c r="BB7" s="4">
        <f t="shared" ref="BB7:BJ7" si="30">IF(ISNUMBER(SEARCH(BB$1,$BA7)), 1, 0)</f>
        <v>0</v>
      </c>
      <c r="BC7" s="4">
        <f t="shared" si="30"/>
        <v>0</v>
      </c>
      <c r="BD7" s="4">
        <f t="shared" si="30"/>
        <v>0</v>
      </c>
      <c r="BE7" s="4">
        <f t="shared" si="30"/>
        <v>0</v>
      </c>
      <c r="BF7" s="4">
        <f t="shared" si="30"/>
        <v>0</v>
      </c>
      <c r="BG7" s="4">
        <f t="shared" si="30"/>
        <v>0</v>
      </c>
      <c r="BH7" s="4">
        <f t="shared" si="30"/>
        <v>0</v>
      </c>
      <c r="BI7" s="4">
        <f t="shared" si="30"/>
        <v>0</v>
      </c>
      <c r="BJ7" s="4">
        <f t="shared" si="30"/>
        <v>0</v>
      </c>
      <c r="BK7" s="4">
        <f t="shared" si="10"/>
        <v>0</v>
      </c>
      <c r="BO7" s="4">
        <f t="shared" ref="BO7:BU7" si="31">IF(ISNUMBER(SEARCH(BO$1,$BN7)), 1, 0)</f>
        <v>0</v>
      </c>
      <c r="BP7" s="4">
        <f t="shared" si="31"/>
        <v>0</v>
      </c>
      <c r="BQ7" s="4">
        <f t="shared" si="31"/>
        <v>0</v>
      </c>
      <c r="BR7" s="4">
        <f t="shared" si="31"/>
        <v>0</v>
      </c>
      <c r="BS7" s="4">
        <f t="shared" si="31"/>
        <v>0</v>
      </c>
      <c r="BT7" s="4">
        <f t="shared" si="31"/>
        <v>0</v>
      </c>
      <c r="BU7" s="4">
        <f t="shared" si="31"/>
        <v>0</v>
      </c>
    </row>
    <row r="8" spans="1:107" ht="12.75" customHeight="1" x14ac:dyDescent="0.25">
      <c r="A8" s="1" t="b">
        <v>0</v>
      </c>
      <c r="B8" s="3">
        <v>46167.585266203707</v>
      </c>
      <c r="C8" s="1" t="s">
        <v>700</v>
      </c>
      <c r="D8" s="1" t="s">
        <v>9</v>
      </c>
      <c r="E8" s="4">
        <f t="shared" ref="E8:K8" si="32">IF(ISNUMBER(SEARCH(E$1,$D8)), SEARCH(E$1,$D8), 0)</f>
        <v>0</v>
      </c>
      <c r="F8" s="4">
        <f t="shared" si="32"/>
        <v>0</v>
      </c>
      <c r="G8" s="4">
        <f t="shared" si="32"/>
        <v>0</v>
      </c>
      <c r="H8" s="4">
        <f t="shared" si="32"/>
        <v>0</v>
      </c>
      <c r="I8" s="4">
        <f t="shared" si="32"/>
        <v>0</v>
      </c>
      <c r="J8" s="4">
        <f t="shared" si="32"/>
        <v>1</v>
      </c>
      <c r="K8" s="4">
        <f t="shared" si="32"/>
        <v>0</v>
      </c>
      <c r="L8" s="4">
        <f t="shared" si="1"/>
        <v>1</v>
      </c>
      <c r="N8" s="1" t="s">
        <v>294</v>
      </c>
      <c r="O8" s="1"/>
      <c r="P8" s="1"/>
      <c r="Q8" s="1"/>
      <c r="R8" s="1"/>
      <c r="S8" s="1"/>
      <c r="T8" s="1"/>
      <c r="W8" s="1" t="str">
        <f t="shared" si="2"/>
        <v>False</v>
      </c>
      <c r="X8" s="1" t="str">
        <f t="shared" si="2"/>
        <v>False</v>
      </c>
      <c r="Y8" s="1" t="str">
        <f t="shared" si="2"/>
        <v>False</v>
      </c>
      <c r="Z8" s="1" t="str">
        <f t="shared" si="2"/>
        <v>False</v>
      </c>
      <c r="AA8" s="1" t="str">
        <f t="shared" si="2"/>
        <v>False</v>
      </c>
      <c r="AC8" s="4">
        <f t="shared" ref="AC8:AH8" si="33">IF(ISNUMBER(SEARCH(AC$1,$AB8)), 1, 0)</f>
        <v>0</v>
      </c>
      <c r="AD8" s="4">
        <f t="shared" si="33"/>
        <v>0</v>
      </c>
      <c r="AE8" s="4">
        <f t="shared" si="33"/>
        <v>0</v>
      </c>
      <c r="AF8" s="4">
        <f t="shared" si="33"/>
        <v>0</v>
      </c>
      <c r="AG8" s="4">
        <f t="shared" si="33"/>
        <v>0</v>
      </c>
      <c r="AH8" s="4">
        <f t="shared" si="33"/>
        <v>0</v>
      </c>
      <c r="AI8" s="1">
        <f t="shared" si="4"/>
        <v>0</v>
      </c>
      <c r="AL8" s="4">
        <f t="shared" ref="AL8:AS8" si="34">IF(ISNUMBER(SEARCH(AL$1,$AK8)), 1, 0)</f>
        <v>0</v>
      </c>
      <c r="AM8" s="4">
        <f t="shared" si="34"/>
        <v>0</v>
      </c>
      <c r="AN8" s="4">
        <f t="shared" si="34"/>
        <v>0</v>
      </c>
      <c r="AO8" s="4">
        <f t="shared" si="34"/>
        <v>0</v>
      </c>
      <c r="AP8" s="4">
        <f t="shared" si="34"/>
        <v>0</v>
      </c>
      <c r="AQ8" s="4">
        <f t="shared" si="34"/>
        <v>0</v>
      </c>
      <c r="AR8" s="4">
        <f t="shared" si="34"/>
        <v>0</v>
      </c>
      <c r="AS8" s="4">
        <f t="shared" si="34"/>
        <v>0</v>
      </c>
      <c r="AV8" s="1">
        <f t="shared" si="6"/>
        <v>0</v>
      </c>
      <c r="AW8" s="1">
        <f t="shared" si="7"/>
        <v>0</v>
      </c>
      <c r="AX8" s="1">
        <f t="shared" si="8"/>
        <v>0</v>
      </c>
      <c r="BB8" s="4">
        <f t="shared" ref="BB8:BJ8" si="35">IF(ISNUMBER(SEARCH(BB$1,$BA8)), 1, 0)</f>
        <v>0</v>
      </c>
      <c r="BC8" s="4">
        <f t="shared" si="35"/>
        <v>0</v>
      </c>
      <c r="BD8" s="4">
        <f t="shared" si="35"/>
        <v>0</v>
      </c>
      <c r="BE8" s="4">
        <f t="shared" si="35"/>
        <v>0</v>
      </c>
      <c r="BF8" s="4">
        <f t="shared" si="35"/>
        <v>0</v>
      </c>
      <c r="BG8" s="4">
        <f t="shared" si="35"/>
        <v>0</v>
      </c>
      <c r="BH8" s="4">
        <f t="shared" si="35"/>
        <v>0</v>
      </c>
      <c r="BI8" s="4">
        <f t="shared" si="35"/>
        <v>0</v>
      </c>
      <c r="BJ8" s="4">
        <f t="shared" si="35"/>
        <v>0</v>
      </c>
      <c r="BK8" s="4">
        <f t="shared" si="10"/>
        <v>0</v>
      </c>
      <c r="BO8" s="4">
        <f t="shared" ref="BO8:BU8" si="36">IF(ISNUMBER(SEARCH(BO$1,$BN8)), 1, 0)</f>
        <v>0</v>
      </c>
      <c r="BP8" s="4">
        <f t="shared" si="36"/>
        <v>0</v>
      </c>
      <c r="BQ8" s="4">
        <f t="shared" si="36"/>
        <v>0</v>
      </c>
      <c r="BR8" s="4">
        <f t="shared" si="36"/>
        <v>0</v>
      </c>
      <c r="BS8" s="4">
        <f t="shared" si="36"/>
        <v>0</v>
      </c>
      <c r="BT8" s="4">
        <f t="shared" si="36"/>
        <v>0</v>
      </c>
      <c r="BU8" s="4">
        <f t="shared" si="36"/>
        <v>0</v>
      </c>
    </row>
    <row r="9" spans="1:107" ht="12.75" customHeight="1" x14ac:dyDescent="0.25">
      <c r="A9" s="1" t="b">
        <v>0</v>
      </c>
      <c r="B9" s="3">
        <v>46169.602546296293</v>
      </c>
      <c r="C9" s="1" t="s">
        <v>749</v>
      </c>
      <c r="D9" s="1" t="s">
        <v>4</v>
      </c>
      <c r="E9" s="4">
        <f t="shared" ref="E9:K9" si="37">IF(ISNUMBER(SEARCH(E$1,$D9)), SEARCH(E$1,$D9), 0)</f>
        <v>1</v>
      </c>
      <c r="F9" s="4">
        <f t="shared" si="37"/>
        <v>0</v>
      </c>
      <c r="G9" s="4">
        <f t="shared" si="37"/>
        <v>0</v>
      </c>
      <c r="H9" s="4">
        <f t="shared" si="37"/>
        <v>0</v>
      </c>
      <c r="I9" s="4">
        <f t="shared" si="37"/>
        <v>0</v>
      </c>
      <c r="J9" s="4">
        <f t="shared" si="37"/>
        <v>0</v>
      </c>
      <c r="K9" s="4">
        <f t="shared" si="37"/>
        <v>0</v>
      </c>
      <c r="L9" s="4">
        <f t="shared" si="1"/>
        <v>1</v>
      </c>
      <c r="N9" s="1" t="s">
        <v>385</v>
      </c>
      <c r="O9" s="1"/>
      <c r="P9" s="1"/>
      <c r="Q9" s="1"/>
      <c r="R9" s="1"/>
      <c r="S9" s="1"/>
      <c r="T9" s="1"/>
      <c r="W9" s="1" t="str">
        <f t="shared" si="2"/>
        <v>False</v>
      </c>
      <c r="X9" s="1" t="str">
        <f t="shared" si="2"/>
        <v>False</v>
      </c>
      <c r="Y9" s="1" t="str">
        <f t="shared" si="2"/>
        <v>False</v>
      </c>
      <c r="Z9" s="1" t="str">
        <f t="shared" si="2"/>
        <v>False</v>
      </c>
      <c r="AA9" s="1" t="str">
        <f t="shared" si="2"/>
        <v>False</v>
      </c>
      <c r="AC9" s="4">
        <f t="shared" ref="AC9:AH9" si="38">IF(ISNUMBER(SEARCH(AC$1,$AB9)), 1, 0)</f>
        <v>0</v>
      </c>
      <c r="AD9" s="4">
        <f t="shared" si="38"/>
        <v>0</v>
      </c>
      <c r="AE9" s="4">
        <f t="shared" si="38"/>
        <v>0</v>
      </c>
      <c r="AF9" s="4">
        <f t="shared" si="38"/>
        <v>0</v>
      </c>
      <c r="AG9" s="4">
        <f t="shared" si="38"/>
        <v>0</v>
      </c>
      <c r="AH9" s="4">
        <f t="shared" si="38"/>
        <v>0</v>
      </c>
      <c r="AI9" s="1">
        <f t="shared" si="4"/>
        <v>0</v>
      </c>
      <c r="AL9" s="4">
        <f t="shared" ref="AL9:AS9" si="39">IF(ISNUMBER(SEARCH(AL$1,$AK9)), 1, 0)</f>
        <v>0</v>
      </c>
      <c r="AM9" s="4">
        <f t="shared" si="39"/>
        <v>0</v>
      </c>
      <c r="AN9" s="4">
        <f t="shared" si="39"/>
        <v>0</v>
      </c>
      <c r="AO9" s="4">
        <f t="shared" si="39"/>
        <v>0</v>
      </c>
      <c r="AP9" s="4">
        <f t="shared" si="39"/>
        <v>0</v>
      </c>
      <c r="AQ9" s="4">
        <f t="shared" si="39"/>
        <v>0</v>
      </c>
      <c r="AR9" s="4">
        <f t="shared" si="39"/>
        <v>0</v>
      </c>
      <c r="AS9" s="4">
        <f t="shared" si="39"/>
        <v>0</v>
      </c>
      <c r="AV9" s="1">
        <f t="shared" si="6"/>
        <v>0</v>
      </c>
      <c r="AW9" s="1">
        <f t="shared" si="7"/>
        <v>0</v>
      </c>
      <c r="AX9" s="1">
        <f t="shared" si="8"/>
        <v>0</v>
      </c>
      <c r="BB9" s="4">
        <f t="shared" ref="BB9:BJ9" si="40">IF(ISNUMBER(SEARCH(BB$1,$BA9)), 1, 0)</f>
        <v>0</v>
      </c>
      <c r="BC9" s="4">
        <f t="shared" si="40"/>
        <v>0</v>
      </c>
      <c r="BD9" s="4">
        <f t="shared" si="40"/>
        <v>0</v>
      </c>
      <c r="BE9" s="4">
        <f t="shared" si="40"/>
        <v>0</v>
      </c>
      <c r="BF9" s="4">
        <f t="shared" si="40"/>
        <v>0</v>
      </c>
      <c r="BG9" s="4">
        <f t="shared" si="40"/>
        <v>0</v>
      </c>
      <c r="BH9" s="4">
        <f t="shared" si="40"/>
        <v>0</v>
      </c>
      <c r="BI9" s="4">
        <f t="shared" si="40"/>
        <v>0</v>
      </c>
      <c r="BJ9" s="4">
        <f t="shared" si="40"/>
        <v>0</v>
      </c>
      <c r="BK9" s="4">
        <f t="shared" si="10"/>
        <v>0</v>
      </c>
      <c r="BO9" s="4">
        <f t="shared" ref="BO9:BU9" si="41">IF(ISNUMBER(SEARCH(BO$1,$BN9)), 1, 0)</f>
        <v>0</v>
      </c>
      <c r="BP9" s="4">
        <f t="shared" si="41"/>
        <v>0</v>
      </c>
      <c r="BQ9" s="4">
        <f t="shared" si="41"/>
        <v>0</v>
      </c>
      <c r="BR9" s="4">
        <f t="shared" si="41"/>
        <v>0</v>
      </c>
      <c r="BS9" s="4">
        <f t="shared" si="41"/>
        <v>0</v>
      </c>
      <c r="BT9" s="4">
        <f t="shared" si="41"/>
        <v>0</v>
      </c>
      <c r="BU9" s="4">
        <f t="shared" si="41"/>
        <v>0</v>
      </c>
    </row>
    <row r="10" spans="1:107" ht="12.75" customHeight="1" x14ac:dyDescent="0.25">
      <c r="A10" s="1" t="b">
        <v>1</v>
      </c>
      <c r="B10" s="3">
        <v>46170.468738425923</v>
      </c>
      <c r="C10" s="1" t="s">
        <v>764</v>
      </c>
      <c r="D10" s="1" t="s">
        <v>183</v>
      </c>
      <c r="E10" s="4">
        <f t="shared" ref="E10:K10" si="42">IF(ISNUMBER(SEARCH(E$1,$D10)), SEARCH(E$1,$D10), 0)</f>
        <v>0</v>
      </c>
      <c r="F10" s="4">
        <f t="shared" si="42"/>
        <v>0</v>
      </c>
      <c r="G10" s="4">
        <f t="shared" si="42"/>
        <v>0</v>
      </c>
      <c r="H10" s="4">
        <f t="shared" si="42"/>
        <v>0</v>
      </c>
      <c r="I10" s="4">
        <f t="shared" si="42"/>
        <v>0</v>
      </c>
      <c r="J10" s="4">
        <f t="shared" si="42"/>
        <v>0</v>
      </c>
      <c r="K10" s="4">
        <f t="shared" si="42"/>
        <v>0</v>
      </c>
      <c r="L10" s="4">
        <f t="shared" si="1"/>
        <v>0</v>
      </c>
      <c r="M10" s="1" t="s">
        <v>765</v>
      </c>
      <c r="N10" s="1" t="s">
        <v>183</v>
      </c>
      <c r="O10" s="1"/>
      <c r="P10" s="1"/>
      <c r="Q10" s="1"/>
      <c r="R10" s="1"/>
      <c r="S10" s="1"/>
      <c r="T10" s="1"/>
      <c r="U10" s="1" t="s">
        <v>765</v>
      </c>
      <c r="W10" s="1" t="str">
        <f t="shared" si="2"/>
        <v>False</v>
      </c>
      <c r="X10" s="1" t="str">
        <f t="shared" si="2"/>
        <v>False</v>
      </c>
      <c r="Y10" s="1" t="str">
        <f t="shared" si="2"/>
        <v>False</v>
      </c>
      <c r="Z10" s="1" t="str">
        <f t="shared" si="2"/>
        <v>False</v>
      </c>
      <c r="AA10" s="1" t="str">
        <f t="shared" si="2"/>
        <v>False</v>
      </c>
      <c r="AB10" s="1" t="s">
        <v>183</v>
      </c>
      <c r="AC10" s="4">
        <f t="shared" ref="AC10:AH10" si="43">IF(ISNUMBER(SEARCH(AC$1,$AB10)), 1, 0)</f>
        <v>0</v>
      </c>
      <c r="AD10" s="4">
        <f t="shared" si="43"/>
        <v>0</v>
      </c>
      <c r="AE10" s="4">
        <f t="shared" si="43"/>
        <v>0</v>
      </c>
      <c r="AF10" s="4">
        <f t="shared" si="43"/>
        <v>0</v>
      </c>
      <c r="AG10" s="4">
        <f t="shared" si="43"/>
        <v>0</v>
      </c>
      <c r="AH10" s="4">
        <f t="shared" si="43"/>
        <v>0</v>
      </c>
      <c r="AI10" s="1">
        <f t="shared" si="4"/>
        <v>0</v>
      </c>
      <c r="AJ10" s="1" t="s">
        <v>765</v>
      </c>
      <c r="AL10" s="4">
        <f t="shared" ref="AL10:AS10" si="44">IF(ISNUMBER(SEARCH(AL$1,$AK10)), 1, 0)</f>
        <v>0</v>
      </c>
      <c r="AM10" s="4">
        <f t="shared" si="44"/>
        <v>0</v>
      </c>
      <c r="AN10" s="4">
        <f t="shared" si="44"/>
        <v>0</v>
      </c>
      <c r="AO10" s="4">
        <f t="shared" si="44"/>
        <v>0</v>
      </c>
      <c r="AP10" s="4">
        <f t="shared" si="44"/>
        <v>0</v>
      </c>
      <c r="AQ10" s="4">
        <f t="shared" si="44"/>
        <v>0</v>
      </c>
      <c r="AR10" s="4">
        <f t="shared" si="44"/>
        <v>0</v>
      </c>
      <c r="AS10" s="4">
        <f t="shared" si="44"/>
        <v>0</v>
      </c>
      <c r="AV10" s="1">
        <f t="shared" si="6"/>
        <v>0</v>
      </c>
      <c r="AW10" s="1">
        <f t="shared" si="7"/>
        <v>0</v>
      </c>
      <c r="AX10" s="1">
        <f t="shared" si="8"/>
        <v>0</v>
      </c>
      <c r="BA10" s="1" t="s">
        <v>183</v>
      </c>
      <c r="BB10" s="4">
        <f t="shared" ref="BB10:BJ10" si="45">IF(ISNUMBER(SEARCH(BB$1,$BA10)), 1, 0)</f>
        <v>0</v>
      </c>
      <c r="BC10" s="4">
        <f t="shared" si="45"/>
        <v>0</v>
      </c>
      <c r="BD10" s="4">
        <f t="shared" si="45"/>
        <v>0</v>
      </c>
      <c r="BE10" s="4">
        <f t="shared" si="45"/>
        <v>0</v>
      </c>
      <c r="BF10" s="4">
        <f t="shared" si="45"/>
        <v>0</v>
      </c>
      <c r="BG10" s="4">
        <f t="shared" si="45"/>
        <v>0</v>
      </c>
      <c r="BH10" s="4">
        <f t="shared" si="45"/>
        <v>0</v>
      </c>
      <c r="BI10" s="4">
        <f t="shared" si="45"/>
        <v>0</v>
      </c>
      <c r="BJ10" s="4">
        <f t="shared" si="45"/>
        <v>0</v>
      </c>
      <c r="BK10" s="4">
        <f t="shared" si="10"/>
        <v>0</v>
      </c>
      <c r="BL10" s="1" t="s">
        <v>765</v>
      </c>
      <c r="BO10" s="4">
        <f t="shared" ref="BO10:BU10" si="46">IF(ISNUMBER(SEARCH(BO$1,$BN10)), 1, 0)</f>
        <v>0</v>
      </c>
      <c r="BP10" s="4">
        <f t="shared" si="46"/>
        <v>0</v>
      </c>
      <c r="BQ10" s="4">
        <f t="shared" si="46"/>
        <v>0</v>
      </c>
      <c r="BR10" s="4">
        <f t="shared" si="46"/>
        <v>0</v>
      </c>
      <c r="BS10" s="4">
        <f t="shared" si="46"/>
        <v>0</v>
      </c>
      <c r="BT10" s="4">
        <f t="shared" si="46"/>
        <v>0</v>
      </c>
      <c r="BU10" s="4">
        <f t="shared" si="46"/>
        <v>0</v>
      </c>
      <c r="DC10" s="1" t="s">
        <v>180</v>
      </c>
    </row>
    <row r="11" spans="1:107" ht="12.75" customHeight="1" x14ac:dyDescent="0.25">
      <c r="A11" s="1" t="b">
        <v>1</v>
      </c>
      <c r="B11" s="3">
        <v>46173.283958333333</v>
      </c>
      <c r="C11" s="1" t="s">
        <v>801</v>
      </c>
      <c r="D11" s="1" t="s">
        <v>8</v>
      </c>
      <c r="E11" s="4">
        <f t="shared" ref="E11:K11" si="47">IF(ISNUMBER(SEARCH(E$1,$D11)), SEARCH(E$1,$D11), 0)</f>
        <v>0</v>
      </c>
      <c r="F11" s="4">
        <f t="shared" si="47"/>
        <v>0</v>
      </c>
      <c r="G11" s="4">
        <f t="shared" si="47"/>
        <v>0</v>
      </c>
      <c r="H11" s="4">
        <f t="shared" si="47"/>
        <v>0</v>
      </c>
      <c r="I11" s="4">
        <f t="shared" si="47"/>
        <v>1</v>
      </c>
      <c r="J11" s="4">
        <f t="shared" si="47"/>
        <v>0</v>
      </c>
      <c r="K11" s="4">
        <f t="shared" si="47"/>
        <v>0</v>
      </c>
      <c r="L11" s="4">
        <f t="shared" si="1"/>
        <v>1</v>
      </c>
      <c r="N11" s="1" t="s">
        <v>14</v>
      </c>
      <c r="O11" s="1"/>
      <c r="P11" s="1"/>
      <c r="Q11" s="1"/>
      <c r="R11" s="1"/>
      <c r="S11" s="1"/>
      <c r="T11" s="1"/>
      <c r="V11" s="1" t="s">
        <v>25</v>
      </c>
      <c r="W11" s="1" t="str">
        <f t="shared" si="2"/>
        <v>False</v>
      </c>
      <c r="X11" s="1" t="str">
        <f t="shared" si="2"/>
        <v>False</v>
      </c>
      <c r="Y11" s="1" t="str">
        <f t="shared" si="2"/>
        <v>False</v>
      </c>
      <c r="Z11" s="1" t="str">
        <f t="shared" si="2"/>
        <v>True</v>
      </c>
      <c r="AA11" s="1" t="str">
        <f t="shared" si="2"/>
        <v>False</v>
      </c>
      <c r="AC11" s="4">
        <f t="shared" ref="AC11:AH11" si="48">IF(ISNUMBER(SEARCH(AC$1,$AB11)), 1, 0)</f>
        <v>0</v>
      </c>
      <c r="AD11" s="4">
        <f t="shared" si="48"/>
        <v>0</v>
      </c>
      <c r="AE11" s="4">
        <f t="shared" si="48"/>
        <v>0</v>
      </c>
      <c r="AF11" s="4">
        <f t="shared" si="48"/>
        <v>0</v>
      </c>
      <c r="AG11" s="4">
        <f t="shared" si="48"/>
        <v>0</v>
      </c>
      <c r="AH11" s="4">
        <f t="shared" si="48"/>
        <v>0</v>
      </c>
      <c r="AI11" s="1">
        <f t="shared" si="4"/>
        <v>0</v>
      </c>
      <c r="AK11" s="1" t="s">
        <v>40</v>
      </c>
      <c r="AL11" s="4">
        <f t="shared" ref="AL11:AS11" si="49">IF(ISNUMBER(SEARCH(AL$1,$AK11)), 1, 0)</f>
        <v>0</v>
      </c>
      <c r="AM11" s="4">
        <f t="shared" si="49"/>
        <v>0</v>
      </c>
      <c r="AN11" s="4">
        <f t="shared" si="49"/>
        <v>0</v>
      </c>
      <c r="AO11" s="4">
        <f t="shared" si="49"/>
        <v>1</v>
      </c>
      <c r="AP11" s="4">
        <f t="shared" si="49"/>
        <v>0</v>
      </c>
      <c r="AQ11" s="4">
        <f t="shared" si="49"/>
        <v>0</v>
      </c>
      <c r="AR11" s="4">
        <f t="shared" si="49"/>
        <v>0</v>
      </c>
      <c r="AS11" s="4">
        <f t="shared" si="49"/>
        <v>0</v>
      </c>
      <c r="AU11" s="1" t="s">
        <v>47</v>
      </c>
      <c r="AV11" s="1">
        <f t="shared" si="6"/>
        <v>1</v>
      </c>
      <c r="AW11" s="1">
        <f t="shared" si="7"/>
        <v>0</v>
      </c>
      <c r="AX11" s="1">
        <f t="shared" si="8"/>
        <v>0</v>
      </c>
      <c r="AY11" s="1" t="s">
        <v>48</v>
      </c>
      <c r="BB11" s="4">
        <f t="shared" ref="BB11:BJ11" si="50">IF(ISNUMBER(SEARCH(BB$1,$BA11)), 1, 0)</f>
        <v>0</v>
      </c>
      <c r="BC11" s="4">
        <f t="shared" si="50"/>
        <v>0</v>
      </c>
      <c r="BD11" s="4">
        <f t="shared" si="50"/>
        <v>0</v>
      </c>
      <c r="BE11" s="4">
        <f t="shared" si="50"/>
        <v>0</v>
      </c>
      <c r="BF11" s="4">
        <f t="shared" si="50"/>
        <v>0</v>
      </c>
      <c r="BG11" s="4">
        <f t="shared" si="50"/>
        <v>0</v>
      </c>
      <c r="BH11" s="4">
        <f t="shared" si="50"/>
        <v>0</v>
      </c>
      <c r="BI11" s="4">
        <f t="shared" si="50"/>
        <v>0</v>
      </c>
      <c r="BJ11" s="4">
        <f t="shared" si="50"/>
        <v>0</v>
      </c>
      <c r="BK11" s="4">
        <f t="shared" si="10"/>
        <v>0</v>
      </c>
      <c r="BM11" s="1" t="s">
        <v>267</v>
      </c>
      <c r="BO11" s="4">
        <f t="shared" ref="BO11:BU11" si="51">IF(ISNUMBER(SEARCH(BO$1,$BN11)), 1, 0)</f>
        <v>0</v>
      </c>
      <c r="BP11" s="4">
        <f t="shared" si="51"/>
        <v>0</v>
      </c>
      <c r="BQ11" s="4">
        <f t="shared" si="51"/>
        <v>0</v>
      </c>
      <c r="BR11" s="4">
        <f t="shared" si="51"/>
        <v>0</v>
      </c>
      <c r="BS11" s="4">
        <f t="shared" si="51"/>
        <v>0</v>
      </c>
      <c r="BT11" s="4">
        <f t="shared" si="51"/>
        <v>0</v>
      </c>
      <c r="BU11" s="4">
        <f t="shared" si="51"/>
        <v>0</v>
      </c>
      <c r="CH11" s="1" t="s">
        <v>802</v>
      </c>
      <c r="CJ11" s="1" t="s">
        <v>803</v>
      </c>
      <c r="CL11" s="1" t="s">
        <v>447</v>
      </c>
    </row>
    <row r="12" spans="1:107" ht="12.75" customHeight="1" x14ac:dyDescent="0.25"/>
    <row r="13" spans="1:107" ht="12.75" customHeight="1" x14ac:dyDescent="0.25"/>
    <row r="14" spans="1:107" ht="12.75" customHeight="1" x14ac:dyDescent="0.25"/>
    <row r="15" spans="1:107" ht="12.75" customHeight="1" x14ac:dyDescent="0.25"/>
    <row r="16" spans="1:10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conditionalFormatting sqref="A3:A11">
    <cfRule type="cellIs" dxfId="7" priority="1" operator="equal">
      <formula>"FALSE"</formula>
    </cfRule>
    <cfRule type="expression" dxfId="6" priority="2">
      <formula>D1:D146="Game Enthusiast or Collector"</formula>
    </cfRule>
  </conditionalFormatting>
  <conditionalFormatting sqref="W3:AA11">
    <cfRule type="cellIs" dxfId="5" priority="3" operator="equal">
      <formula>"False"</formula>
    </cfRule>
    <cfRule type="cellIs" dxfId="4" priority="4" operator="equal">
      <formula>"True"</formula>
    </cfRule>
  </conditionalFormatting>
  <pageMargins left="0.7" right="0.7" top="0.75" bottom="0.75" header="0" footer="0"/>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2708-5E3A-4904-A65D-11CA5396D27B}">
  <dimension ref="A1:DC35"/>
  <sheetViews>
    <sheetView topLeftCell="BB6" workbookViewId="0">
      <selection activeCell="BU40" sqref="BU40"/>
    </sheetView>
  </sheetViews>
  <sheetFormatPr defaultRowHeight="13.2" x14ac:dyDescent="0.25"/>
  <sheetData>
    <row r="1" spans="1:107" ht="15.75" customHeight="1" x14ac:dyDescent="0.2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ht="15.75" customHeight="1" x14ac:dyDescent="0.25">
      <c r="A2" s="1" t="s">
        <v>0</v>
      </c>
      <c r="B2" s="1" t="s">
        <v>107</v>
      </c>
      <c r="C2" s="1" t="s">
        <v>108</v>
      </c>
      <c r="D2" s="1" t="s">
        <v>109</v>
      </c>
      <c r="E2" s="1"/>
      <c r="F2" s="1"/>
      <c r="G2" s="1"/>
      <c r="H2" s="1"/>
      <c r="I2" s="1"/>
      <c r="J2" s="1"/>
      <c r="K2" s="1"/>
      <c r="L2" s="1"/>
      <c r="M2" s="1" t="s">
        <v>110</v>
      </c>
      <c r="N2" s="1" t="s">
        <v>111</v>
      </c>
      <c r="O2" s="1"/>
      <c r="P2" s="1"/>
      <c r="Q2" s="1"/>
      <c r="R2" s="1"/>
      <c r="S2" s="1"/>
      <c r="T2" s="1"/>
      <c r="U2" s="1" t="s">
        <v>112</v>
      </c>
      <c r="V2" s="1" t="s">
        <v>113</v>
      </c>
      <c r="W2" s="1"/>
      <c r="X2" s="1"/>
      <c r="Y2" s="1"/>
      <c r="Z2" s="1"/>
      <c r="AA2" s="1"/>
      <c r="AB2" s="1" t="s">
        <v>114</v>
      </c>
      <c r="AC2" s="1"/>
      <c r="AD2" s="1"/>
      <c r="AE2" s="1"/>
      <c r="AF2" s="1"/>
      <c r="AG2" s="1"/>
      <c r="AH2" s="1"/>
      <c r="AI2" s="1"/>
      <c r="AJ2" s="1" t="s">
        <v>115</v>
      </c>
      <c r="AK2" s="1" t="s">
        <v>116</v>
      </c>
      <c r="AL2" s="1"/>
      <c r="AM2" s="1"/>
      <c r="AN2" s="1"/>
      <c r="AO2" s="1"/>
      <c r="AP2" s="1"/>
      <c r="AQ2" s="1"/>
      <c r="AR2" s="1"/>
      <c r="AS2" s="1"/>
      <c r="AT2" s="1" t="s">
        <v>117</v>
      </c>
      <c r="AU2" s="1" t="s">
        <v>118</v>
      </c>
      <c r="AV2" s="1"/>
      <c r="AW2" s="1"/>
      <c r="AX2" s="1"/>
      <c r="AY2" s="1" t="s">
        <v>119</v>
      </c>
      <c r="AZ2" s="1" t="s">
        <v>120</v>
      </c>
      <c r="BA2" s="1" t="s">
        <v>121</v>
      </c>
      <c r="BB2" s="1"/>
      <c r="BC2" s="1"/>
      <c r="BD2" s="1"/>
      <c r="BE2" s="1"/>
      <c r="BF2" s="1"/>
      <c r="BG2" s="1"/>
      <c r="BH2" s="1"/>
      <c r="BI2" s="1"/>
      <c r="BJ2" s="1"/>
      <c r="BK2" s="1"/>
      <c r="BL2" s="1" t="s">
        <v>122</v>
      </c>
      <c r="BM2" s="1" t="s">
        <v>123</v>
      </c>
      <c r="BN2" s="1" t="s">
        <v>124</v>
      </c>
      <c r="BO2" s="1"/>
      <c r="BP2" s="1"/>
      <c r="BQ2" s="1"/>
      <c r="BR2" s="1"/>
      <c r="BS2" s="1"/>
      <c r="BT2" s="1"/>
      <c r="BU2" s="1"/>
      <c r="BV2" s="1" t="s">
        <v>125</v>
      </c>
      <c r="BW2" s="1" t="s">
        <v>126</v>
      </c>
      <c r="BX2" s="1" t="s">
        <v>127</v>
      </c>
      <c r="BY2" s="1" t="s">
        <v>128</v>
      </c>
      <c r="BZ2" s="1" t="s">
        <v>129</v>
      </c>
      <c r="CA2" s="1" t="s">
        <v>130</v>
      </c>
      <c r="CB2" s="1" t="s">
        <v>131</v>
      </c>
      <c r="CC2" s="1" t="s">
        <v>132</v>
      </c>
      <c r="CD2" s="1" t="s">
        <v>133</v>
      </c>
      <c r="CE2" s="1" t="s">
        <v>134</v>
      </c>
      <c r="CF2" s="1" t="s">
        <v>135</v>
      </c>
      <c r="CG2" s="1" t="s">
        <v>136</v>
      </c>
      <c r="CH2" s="1" t="s">
        <v>137</v>
      </c>
      <c r="CI2" s="1" t="s">
        <v>138</v>
      </c>
      <c r="CJ2" s="1" t="s">
        <v>139</v>
      </c>
      <c r="CK2" s="1" t="s">
        <v>140</v>
      </c>
      <c r="CL2" s="1" t="s">
        <v>141</v>
      </c>
      <c r="CM2" s="1" t="s">
        <v>142</v>
      </c>
      <c r="CN2" s="1" t="s">
        <v>143</v>
      </c>
      <c r="CO2" s="1" t="s">
        <v>144</v>
      </c>
      <c r="CP2" s="1" t="s">
        <v>145</v>
      </c>
      <c r="CQ2" s="1" t="s">
        <v>146</v>
      </c>
      <c r="CR2" s="1" t="s">
        <v>147</v>
      </c>
      <c r="CS2" s="1" t="s">
        <v>148</v>
      </c>
      <c r="CT2" s="1" t="s">
        <v>149</v>
      </c>
      <c r="CU2" s="1" t="s">
        <v>150</v>
      </c>
      <c r="CV2" s="1" t="s">
        <v>151</v>
      </c>
      <c r="CW2" s="1" t="s">
        <v>152</v>
      </c>
      <c r="CX2" s="1" t="s">
        <v>153</v>
      </c>
      <c r="CY2" s="1" t="s">
        <v>154</v>
      </c>
      <c r="CZ2" s="1" t="s">
        <v>155</v>
      </c>
      <c r="DA2" s="1" t="s">
        <v>156</v>
      </c>
      <c r="DB2" s="1" t="s">
        <v>152</v>
      </c>
      <c r="DC2" s="1" t="s">
        <v>157</v>
      </c>
    </row>
    <row r="3" spans="1:107" ht="15.75" customHeight="1" x14ac:dyDescent="0.25">
      <c r="A3" s="1" t="b">
        <v>0</v>
      </c>
      <c r="B3" s="3">
        <v>46168.581724537034</v>
      </c>
      <c r="C3" s="1" t="s">
        <v>714</v>
      </c>
      <c r="D3" s="1" t="s">
        <v>243</v>
      </c>
      <c r="E3" s="4">
        <v>1</v>
      </c>
      <c r="F3" s="4">
        <v>30</v>
      </c>
      <c r="G3" s="4">
        <v>105</v>
      </c>
      <c r="H3" s="4">
        <v>0</v>
      </c>
      <c r="I3" s="4">
        <v>0</v>
      </c>
      <c r="J3" s="4">
        <v>0</v>
      </c>
      <c r="K3" s="4">
        <v>0</v>
      </c>
      <c r="L3" s="4">
        <v>105</v>
      </c>
      <c r="N3" s="1" t="s">
        <v>208</v>
      </c>
      <c r="O3" s="4">
        <v>1</v>
      </c>
      <c r="P3" s="4">
        <v>1</v>
      </c>
      <c r="Q3" s="4">
        <v>0</v>
      </c>
      <c r="R3" s="4">
        <v>1</v>
      </c>
      <c r="S3" s="4">
        <v>0</v>
      </c>
      <c r="T3" s="4">
        <v>0</v>
      </c>
      <c r="W3" s="1" t="s">
        <v>805</v>
      </c>
      <c r="X3" s="1" t="s">
        <v>805</v>
      </c>
      <c r="Y3" s="1" t="s">
        <v>805</v>
      </c>
      <c r="Z3" s="1" t="s">
        <v>805</v>
      </c>
      <c r="AA3" s="1" t="s">
        <v>805</v>
      </c>
      <c r="AB3" s="1" t="s">
        <v>710</v>
      </c>
      <c r="AC3" s="4">
        <v>0</v>
      </c>
      <c r="AD3" s="4">
        <v>1</v>
      </c>
      <c r="AE3" s="4">
        <v>0</v>
      </c>
      <c r="AF3" s="4">
        <v>0</v>
      </c>
      <c r="AG3" s="4">
        <v>0</v>
      </c>
      <c r="AH3" s="4">
        <v>0</v>
      </c>
      <c r="AI3" s="1">
        <v>1</v>
      </c>
      <c r="AJ3" s="1" t="s">
        <v>715</v>
      </c>
      <c r="AK3" s="1" t="s">
        <v>38</v>
      </c>
      <c r="AL3" s="4">
        <v>0</v>
      </c>
      <c r="AM3" s="4">
        <v>1</v>
      </c>
      <c r="AN3" s="4">
        <v>0</v>
      </c>
      <c r="AO3" s="4">
        <v>0</v>
      </c>
      <c r="AP3" s="4">
        <v>0</v>
      </c>
      <c r="AQ3" s="4">
        <v>0</v>
      </c>
      <c r="AR3" s="4">
        <v>0</v>
      </c>
      <c r="AS3" s="4">
        <v>0</v>
      </c>
      <c r="AU3" s="1" t="s">
        <v>47</v>
      </c>
      <c r="AV3" s="1">
        <v>1</v>
      </c>
      <c r="AW3" s="1">
        <v>0</v>
      </c>
      <c r="AX3" s="1">
        <v>0</v>
      </c>
      <c r="AY3" s="1" t="s">
        <v>48</v>
      </c>
      <c r="BA3" s="1" t="s">
        <v>716</v>
      </c>
      <c r="BB3" s="4">
        <v>1</v>
      </c>
      <c r="BC3" s="4">
        <v>0</v>
      </c>
      <c r="BD3" s="4">
        <v>1</v>
      </c>
      <c r="BE3" s="4">
        <v>1</v>
      </c>
      <c r="BF3" s="4">
        <v>0</v>
      </c>
      <c r="BG3" s="4">
        <v>0</v>
      </c>
      <c r="BH3" s="4">
        <v>0</v>
      </c>
      <c r="BI3" s="4">
        <v>0</v>
      </c>
      <c r="BJ3" s="4">
        <v>0</v>
      </c>
      <c r="BK3" s="4">
        <v>3</v>
      </c>
      <c r="BL3" s="1" t="s">
        <v>717</v>
      </c>
      <c r="BM3" s="1" t="s">
        <v>218</v>
      </c>
      <c r="BN3" s="1" t="s">
        <v>718</v>
      </c>
      <c r="BO3" s="4">
        <v>1</v>
      </c>
      <c r="BP3" s="4">
        <v>0</v>
      </c>
      <c r="BQ3" s="4">
        <v>1</v>
      </c>
      <c r="BR3" s="4">
        <v>0</v>
      </c>
      <c r="BS3" s="4">
        <v>0</v>
      </c>
      <c r="BT3" s="4">
        <v>1</v>
      </c>
      <c r="BU3" s="4">
        <v>0</v>
      </c>
      <c r="BV3" s="1" t="s">
        <v>719</v>
      </c>
    </row>
    <row r="4" spans="1:107" ht="15.75" customHeight="1" x14ac:dyDescent="0.25">
      <c r="A4" s="1" t="b">
        <v>1</v>
      </c>
      <c r="B4" s="3">
        <v>46161.533495370371</v>
      </c>
      <c r="C4" s="1" t="s">
        <v>442</v>
      </c>
      <c r="D4" s="1" t="s">
        <v>425</v>
      </c>
      <c r="E4" s="4">
        <v>1</v>
      </c>
      <c r="F4" s="4">
        <v>30</v>
      </c>
      <c r="G4" s="4">
        <v>105</v>
      </c>
      <c r="H4" s="4">
        <v>161</v>
      </c>
      <c r="I4" s="4">
        <v>199</v>
      </c>
      <c r="J4" s="4">
        <v>231</v>
      </c>
      <c r="K4" s="4">
        <v>268</v>
      </c>
      <c r="L4" s="4">
        <v>268</v>
      </c>
      <c r="O4" s="4">
        <v>0</v>
      </c>
      <c r="P4" s="4">
        <v>0</v>
      </c>
      <c r="Q4" s="4">
        <v>0</v>
      </c>
      <c r="R4" s="4">
        <v>0</v>
      </c>
      <c r="S4" s="4">
        <v>0</v>
      </c>
      <c r="T4" s="4">
        <v>0</v>
      </c>
      <c r="W4" s="1" t="s">
        <v>805</v>
      </c>
      <c r="X4" s="1" t="s">
        <v>805</v>
      </c>
      <c r="Y4" s="1" t="s">
        <v>805</v>
      </c>
      <c r="Z4" s="1" t="s">
        <v>805</v>
      </c>
      <c r="AA4" s="1" t="s">
        <v>805</v>
      </c>
      <c r="AB4" s="1" t="s">
        <v>443</v>
      </c>
      <c r="AC4" s="4">
        <v>0</v>
      </c>
      <c r="AD4" s="4">
        <v>1</v>
      </c>
      <c r="AE4" s="4">
        <v>1</v>
      </c>
      <c r="AF4" s="4">
        <v>1</v>
      </c>
      <c r="AG4" s="4">
        <v>0</v>
      </c>
      <c r="AH4" s="4">
        <v>1</v>
      </c>
      <c r="AI4" s="1">
        <v>4</v>
      </c>
      <c r="AL4" s="4">
        <v>0</v>
      </c>
      <c r="AM4" s="4">
        <v>0</v>
      </c>
      <c r="AN4" s="4">
        <v>0</v>
      </c>
      <c r="AO4" s="4">
        <v>0</v>
      </c>
      <c r="AP4" s="4">
        <v>0</v>
      </c>
      <c r="AQ4" s="4">
        <v>0</v>
      </c>
      <c r="AR4" s="4">
        <v>0</v>
      </c>
      <c r="AS4" s="4">
        <v>0</v>
      </c>
      <c r="AV4" s="1">
        <v>0</v>
      </c>
      <c r="AW4" s="1">
        <v>0</v>
      </c>
      <c r="AX4" s="1">
        <v>0</v>
      </c>
      <c r="BB4" s="4">
        <v>0</v>
      </c>
      <c r="BC4" s="4">
        <v>0</v>
      </c>
      <c r="BD4" s="4">
        <v>0</v>
      </c>
      <c r="BE4" s="4">
        <v>0</v>
      </c>
      <c r="BF4" s="4">
        <v>0</v>
      </c>
      <c r="BG4" s="4">
        <v>0</v>
      </c>
      <c r="BH4" s="4">
        <v>0</v>
      </c>
      <c r="BI4" s="4">
        <v>0</v>
      </c>
      <c r="BJ4" s="4">
        <v>0</v>
      </c>
      <c r="BK4" s="4">
        <v>0</v>
      </c>
      <c r="BO4" s="4">
        <v>0</v>
      </c>
      <c r="BP4" s="4">
        <v>0</v>
      </c>
      <c r="BQ4" s="4">
        <v>0</v>
      </c>
      <c r="BR4" s="4">
        <v>0</v>
      </c>
      <c r="BS4" s="4">
        <v>0</v>
      </c>
      <c r="BT4" s="4">
        <v>0</v>
      </c>
      <c r="BU4" s="4">
        <v>0</v>
      </c>
      <c r="CB4" s="1" t="s">
        <v>48</v>
      </c>
      <c r="CC4" s="1" t="s">
        <v>48</v>
      </c>
      <c r="CD4" s="1" t="s">
        <v>444</v>
      </c>
      <c r="CF4" s="1" t="s">
        <v>387</v>
      </c>
      <c r="CG4" s="1" t="s">
        <v>388</v>
      </c>
      <c r="CH4" s="1" t="s">
        <v>445</v>
      </c>
      <c r="CJ4" s="1" t="s">
        <v>446</v>
      </c>
      <c r="CL4" s="1" t="s">
        <v>447</v>
      </c>
      <c r="CM4" s="1" t="s">
        <v>48</v>
      </c>
      <c r="CN4" s="1" t="s">
        <v>448</v>
      </c>
      <c r="CR4" s="1" t="s">
        <v>449</v>
      </c>
      <c r="CU4" s="1" t="s">
        <v>449</v>
      </c>
      <c r="CX4" s="1" t="s">
        <v>450</v>
      </c>
      <c r="CZ4" s="1" t="s">
        <v>451</v>
      </c>
      <c r="DC4" s="1" t="s">
        <v>238</v>
      </c>
    </row>
    <row r="5" spans="1:107" ht="15.75" customHeight="1" x14ac:dyDescent="0.25">
      <c r="A5" s="1" t="b">
        <v>1</v>
      </c>
      <c r="B5" s="3">
        <v>46158.708622685182</v>
      </c>
      <c r="C5" s="1" t="s">
        <v>390</v>
      </c>
      <c r="D5" s="1" t="s">
        <v>391</v>
      </c>
      <c r="E5" s="4">
        <v>1</v>
      </c>
      <c r="F5" s="4">
        <v>30</v>
      </c>
      <c r="G5" s="4">
        <v>105</v>
      </c>
      <c r="H5" s="4">
        <v>161</v>
      </c>
      <c r="I5" s="4">
        <v>199</v>
      </c>
      <c r="J5" s="4">
        <v>231</v>
      </c>
      <c r="K5" s="4">
        <v>268</v>
      </c>
      <c r="L5" s="4">
        <v>268</v>
      </c>
      <c r="N5" s="1" t="s">
        <v>160</v>
      </c>
      <c r="O5" s="4">
        <v>1</v>
      </c>
      <c r="P5" s="4">
        <v>1</v>
      </c>
      <c r="Q5" s="4">
        <v>1</v>
      </c>
      <c r="R5" s="4">
        <v>1</v>
      </c>
      <c r="S5" s="4">
        <v>1</v>
      </c>
      <c r="T5" s="4">
        <v>1</v>
      </c>
      <c r="W5" s="1" t="s">
        <v>805</v>
      </c>
      <c r="X5" s="1" t="s">
        <v>805</v>
      </c>
      <c r="Y5" s="1" t="s">
        <v>805</v>
      </c>
      <c r="Z5" s="1" t="s">
        <v>805</v>
      </c>
      <c r="AA5" s="1" t="s">
        <v>805</v>
      </c>
      <c r="AB5" s="1" t="s">
        <v>392</v>
      </c>
      <c r="AC5" s="4">
        <v>0</v>
      </c>
      <c r="AD5" s="4">
        <v>1</v>
      </c>
      <c r="AE5" s="4">
        <v>1</v>
      </c>
      <c r="AF5" s="4">
        <v>0</v>
      </c>
      <c r="AG5" s="4">
        <v>0</v>
      </c>
      <c r="AH5" s="4">
        <v>0</v>
      </c>
      <c r="AI5" s="1">
        <v>2</v>
      </c>
      <c r="AL5" s="4">
        <v>0</v>
      </c>
      <c r="AM5" s="4">
        <v>0</v>
      </c>
      <c r="AN5" s="4">
        <v>0</v>
      </c>
      <c r="AO5" s="4">
        <v>0</v>
      </c>
      <c r="AP5" s="4">
        <v>0</v>
      </c>
      <c r="AQ5" s="4">
        <v>0</v>
      </c>
      <c r="AR5" s="4">
        <v>0</v>
      </c>
      <c r="AS5" s="4">
        <v>0</v>
      </c>
      <c r="AV5" s="1">
        <v>0</v>
      </c>
      <c r="AW5" s="1">
        <v>0</v>
      </c>
      <c r="AX5" s="1">
        <v>0</v>
      </c>
      <c r="BB5" s="4">
        <v>0</v>
      </c>
      <c r="BC5" s="4">
        <v>0</v>
      </c>
      <c r="BD5" s="4">
        <v>0</v>
      </c>
      <c r="BE5" s="4">
        <v>0</v>
      </c>
      <c r="BF5" s="4">
        <v>0</v>
      </c>
      <c r="BG5" s="4">
        <v>0</v>
      </c>
      <c r="BH5" s="4">
        <v>0</v>
      </c>
      <c r="BI5" s="4">
        <v>0</v>
      </c>
      <c r="BJ5" s="4">
        <v>0</v>
      </c>
      <c r="BK5" s="4">
        <v>0</v>
      </c>
      <c r="BO5" s="4">
        <v>0</v>
      </c>
      <c r="BP5" s="4">
        <v>0</v>
      </c>
      <c r="BQ5" s="4">
        <v>0</v>
      </c>
      <c r="BR5" s="4">
        <v>0</v>
      </c>
      <c r="BS5" s="4">
        <v>0</v>
      </c>
      <c r="BT5" s="4">
        <v>0</v>
      </c>
      <c r="BU5" s="4">
        <v>0</v>
      </c>
      <c r="CB5" s="1" t="s">
        <v>48</v>
      </c>
      <c r="CC5" s="1" t="s">
        <v>48</v>
      </c>
    </row>
    <row r="6" spans="1:107" ht="15.75" customHeight="1" x14ac:dyDescent="0.25">
      <c r="A6" s="1" t="b">
        <v>1</v>
      </c>
      <c r="B6" s="3">
        <v>46164.790023148147</v>
      </c>
      <c r="C6" s="1" t="s">
        <v>551</v>
      </c>
      <c r="D6" s="1" t="s">
        <v>207</v>
      </c>
      <c r="E6" s="4">
        <v>1</v>
      </c>
      <c r="F6" s="4">
        <v>30</v>
      </c>
      <c r="G6" s="4">
        <v>0</v>
      </c>
      <c r="H6" s="4">
        <v>0</v>
      </c>
      <c r="I6" s="4">
        <v>0</v>
      </c>
      <c r="J6" s="4">
        <v>0</v>
      </c>
      <c r="K6" s="4">
        <v>0</v>
      </c>
      <c r="L6" s="4">
        <v>30</v>
      </c>
      <c r="N6" s="1" t="s">
        <v>272</v>
      </c>
      <c r="O6" s="4">
        <v>1</v>
      </c>
      <c r="P6" s="4">
        <v>1</v>
      </c>
      <c r="Q6" s="4">
        <v>1</v>
      </c>
      <c r="R6" s="4">
        <v>1</v>
      </c>
      <c r="S6" s="4">
        <v>1</v>
      </c>
      <c r="T6" s="4">
        <v>0</v>
      </c>
      <c r="W6" s="1" t="s">
        <v>805</v>
      </c>
      <c r="X6" s="1" t="s">
        <v>805</v>
      </c>
      <c r="Y6" s="1" t="s">
        <v>805</v>
      </c>
      <c r="Z6" s="1" t="s">
        <v>805</v>
      </c>
      <c r="AA6" s="1" t="s">
        <v>805</v>
      </c>
      <c r="AB6" s="1" t="s">
        <v>552</v>
      </c>
      <c r="AC6" s="4">
        <v>1</v>
      </c>
      <c r="AD6" s="4">
        <v>1</v>
      </c>
      <c r="AE6" s="4">
        <v>1</v>
      </c>
      <c r="AF6" s="4">
        <v>0</v>
      </c>
      <c r="AG6" s="4">
        <v>0</v>
      </c>
      <c r="AH6" s="4">
        <v>1</v>
      </c>
      <c r="AI6" s="1">
        <v>4</v>
      </c>
      <c r="AK6" s="1" t="s">
        <v>553</v>
      </c>
      <c r="AL6" s="4">
        <v>1</v>
      </c>
      <c r="AM6" s="4">
        <v>1</v>
      </c>
      <c r="AN6" s="4">
        <v>1</v>
      </c>
      <c r="AO6" s="4">
        <v>1</v>
      </c>
      <c r="AP6" s="4">
        <v>0</v>
      </c>
      <c r="AQ6" s="4">
        <v>1</v>
      </c>
      <c r="AR6" s="4">
        <v>1</v>
      </c>
      <c r="AS6" s="4">
        <v>0</v>
      </c>
      <c r="AU6" s="1" t="s">
        <v>47</v>
      </c>
      <c r="AV6" s="1">
        <v>1</v>
      </c>
      <c r="AW6" s="1">
        <v>0</v>
      </c>
      <c r="AX6" s="1">
        <v>0</v>
      </c>
      <c r="AY6" s="1" t="s">
        <v>48</v>
      </c>
      <c r="BA6" s="1" t="s">
        <v>554</v>
      </c>
      <c r="BB6" s="4">
        <v>0</v>
      </c>
      <c r="BC6" s="4">
        <v>1</v>
      </c>
      <c r="BD6" s="4">
        <v>1</v>
      </c>
      <c r="BE6" s="4">
        <v>1</v>
      </c>
      <c r="BF6" s="4">
        <v>1</v>
      </c>
      <c r="BG6" s="4">
        <v>1</v>
      </c>
      <c r="BH6" s="4">
        <v>0</v>
      </c>
      <c r="BI6" s="4">
        <v>0</v>
      </c>
      <c r="BJ6" s="4">
        <v>0</v>
      </c>
      <c r="BK6" s="4">
        <v>5</v>
      </c>
      <c r="BM6" s="1" t="s">
        <v>190</v>
      </c>
      <c r="BN6" s="1" t="s">
        <v>72</v>
      </c>
      <c r="BO6" s="4">
        <v>0</v>
      </c>
      <c r="BP6" s="4">
        <v>0</v>
      </c>
      <c r="BQ6" s="4">
        <v>0</v>
      </c>
      <c r="BR6" s="4">
        <v>0</v>
      </c>
      <c r="BS6" s="4">
        <v>0</v>
      </c>
      <c r="BT6" s="4">
        <v>0</v>
      </c>
      <c r="BU6" s="4">
        <v>1</v>
      </c>
      <c r="CX6" s="1" t="s">
        <v>555</v>
      </c>
      <c r="CZ6" s="1" t="s">
        <v>178</v>
      </c>
      <c r="DC6" s="1" t="s">
        <v>238</v>
      </c>
    </row>
    <row r="7" spans="1:107" ht="15.75" customHeight="1" x14ac:dyDescent="0.25">
      <c r="A7" s="1" t="b">
        <v>1</v>
      </c>
      <c r="B7" s="3">
        <v>46167.296018518522</v>
      </c>
      <c r="C7" s="1" t="s">
        <v>675</v>
      </c>
      <c r="D7" s="1" t="s">
        <v>207</v>
      </c>
      <c r="E7" s="4">
        <v>1</v>
      </c>
      <c r="F7" s="4">
        <v>30</v>
      </c>
      <c r="G7" s="4">
        <v>0</v>
      </c>
      <c r="H7" s="4">
        <v>0</v>
      </c>
      <c r="I7" s="4">
        <v>0</v>
      </c>
      <c r="J7" s="4">
        <v>0</v>
      </c>
      <c r="K7" s="4">
        <v>0</v>
      </c>
      <c r="L7" s="4">
        <v>30</v>
      </c>
      <c r="N7" s="1" t="s">
        <v>240</v>
      </c>
      <c r="O7" s="4">
        <v>1</v>
      </c>
      <c r="P7" s="4">
        <v>1</v>
      </c>
      <c r="Q7" s="4">
        <v>1</v>
      </c>
      <c r="R7" s="4">
        <v>1</v>
      </c>
      <c r="S7" s="4">
        <v>0</v>
      </c>
      <c r="T7" s="4">
        <v>0</v>
      </c>
      <c r="W7" s="1" t="s">
        <v>805</v>
      </c>
      <c r="X7" s="1" t="s">
        <v>805</v>
      </c>
      <c r="Y7" s="1" t="s">
        <v>805</v>
      </c>
      <c r="Z7" s="1" t="s">
        <v>805</v>
      </c>
      <c r="AA7" s="1" t="s">
        <v>805</v>
      </c>
      <c r="AB7" s="1" t="s">
        <v>31</v>
      </c>
      <c r="AC7" s="4">
        <v>0</v>
      </c>
      <c r="AD7" s="4">
        <v>0</v>
      </c>
      <c r="AE7" s="4">
        <v>0</v>
      </c>
      <c r="AF7" s="4">
        <v>1</v>
      </c>
      <c r="AG7" s="4">
        <v>0</v>
      </c>
      <c r="AH7" s="4">
        <v>0</v>
      </c>
      <c r="AI7" s="1">
        <v>1</v>
      </c>
      <c r="AK7" s="1" t="s">
        <v>611</v>
      </c>
      <c r="AL7" s="4">
        <v>0</v>
      </c>
      <c r="AM7" s="4">
        <v>1</v>
      </c>
      <c r="AN7" s="4">
        <v>1</v>
      </c>
      <c r="AO7" s="4">
        <v>1</v>
      </c>
      <c r="AP7" s="4">
        <v>1</v>
      </c>
      <c r="AQ7" s="4">
        <v>1</v>
      </c>
      <c r="AR7" s="4">
        <v>1</v>
      </c>
      <c r="AS7" s="4">
        <v>0</v>
      </c>
      <c r="AU7" s="1" t="s">
        <v>47</v>
      </c>
      <c r="AV7" s="1">
        <v>1</v>
      </c>
      <c r="AW7" s="1">
        <v>0</v>
      </c>
      <c r="AX7" s="1">
        <v>0</v>
      </c>
      <c r="AY7" s="1" t="s">
        <v>48</v>
      </c>
      <c r="BA7" s="1" t="s">
        <v>676</v>
      </c>
      <c r="BB7" s="4">
        <v>0</v>
      </c>
      <c r="BC7" s="4">
        <v>0</v>
      </c>
      <c r="BD7" s="4">
        <v>1</v>
      </c>
      <c r="BE7" s="4">
        <v>1</v>
      </c>
      <c r="BF7" s="4">
        <v>0</v>
      </c>
      <c r="BG7" s="4">
        <v>0</v>
      </c>
      <c r="BH7" s="4">
        <v>0</v>
      </c>
      <c r="BI7" s="4">
        <v>0</v>
      </c>
      <c r="BJ7" s="4">
        <v>0</v>
      </c>
      <c r="BK7" s="4">
        <v>2</v>
      </c>
      <c r="BM7" s="1" t="s">
        <v>190</v>
      </c>
      <c r="BN7" s="1" t="s">
        <v>677</v>
      </c>
      <c r="BO7" s="4">
        <v>0</v>
      </c>
      <c r="BP7" s="4">
        <v>1</v>
      </c>
      <c r="BQ7" s="4">
        <v>1</v>
      </c>
      <c r="BR7" s="4">
        <v>0</v>
      </c>
      <c r="BS7" s="4">
        <v>0</v>
      </c>
      <c r="BT7" s="4">
        <v>1</v>
      </c>
      <c r="BU7" s="4">
        <v>0</v>
      </c>
      <c r="CX7" s="1" t="s">
        <v>678</v>
      </c>
      <c r="CZ7" s="1" t="s">
        <v>679</v>
      </c>
      <c r="DC7" s="1" t="s">
        <v>180</v>
      </c>
    </row>
    <row r="8" spans="1:107" ht="15.75" customHeight="1" x14ac:dyDescent="0.25">
      <c r="A8" s="1" t="b">
        <v>1</v>
      </c>
      <c r="B8" s="3">
        <v>46153.833113425928</v>
      </c>
      <c r="C8" s="1" t="s">
        <v>329</v>
      </c>
      <c r="D8" s="1" t="s">
        <v>207</v>
      </c>
      <c r="E8" s="4">
        <v>1</v>
      </c>
      <c r="F8" s="4">
        <v>30</v>
      </c>
      <c r="G8" s="4">
        <v>0</v>
      </c>
      <c r="H8" s="4">
        <v>0</v>
      </c>
      <c r="I8" s="4">
        <v>0</v>
      </c>
      <c r="J8" s="4">
        <v>0</v>
      </c>
      <c r="K8" s="4">
        <v>0</v>
      </c>
      <c r="L8" s="4">
        <v>30</v>
      </c>
      <c r="N8" s="1" t="s">
        <v>240</v>
      </c>
      <c r="O8" s="4">
        <v>1</v>
      </c>
      <c r="P8" s="4">
        <v>1</v>
      </c>
      <c r="Q8" s="4">
        <v>1</v>
      </c>
      <c r="R8" s="4">
        <v>1</v>
      </c>
      <c r="S8" s="4">
        <v>0</v>
      </c>
      <c r="T8" s="4">
        <v>0</v>
      </c>
      <c r="V8" s="1" t="s">
        <v>25</v>
      </c>
      <c r="W8" s="1" t="s">
        <v>805</v>
      </c>
      <c r="X8" s="1" t="s">
        <v>805</v>
      </c>
      <c r="Y8" s="1" t="s">
        <v>805</v>
      </c>
      <c r="Z8" s="1" t="s">
        <v>804</v>
      </c>
      <c r="AA8" s="1" t="s">
        <v>805</v>
      </c>
      <c r="AB8" s="1" t="s">
        <v>311</v>
      </c>
      <c r="AC8" s="4">
        <v>1</v>
      </c>
      <c r="AD8" s="4">
        <v>0</v>
      </c>
      <c r="AE8" s="4">
        <v>0</v>
      </c>
      <c r="AF8" s="4">
        <v>0</v>
      </c>
      <c r="AG8" s="4">
        <v>0</v>
      </c>
      <c r="AH8" s="4">
        <v>0</v>
      </c>
      <c r="AI8" s="1">
        <v>1</v>
      </c>
      <c r="AJ8" s="1" t="s">
        <v>330</v>
      </c>
      <c r="AK8" s="1" t="s">
        <v>317</v>
      </c>
      <c r="AL8" s="4">
        <v>0</v>
      </c>
      <c r="AM8" s="4">
        <v>1</v>
      </c>
      <c r="AN8" s="4">
        <v>0</v>
      </c>
      <c r="AO8" s="4">
        <v>1</v>
      </c>
      <c r="AP8" s="4">
        <v>1</v>
      </c>
      <c r="AQ8" s="4">
        <v>1</v>
      </c>
      <c r="AR8" s="4">
        <v>0</v>
      </c>
      <c r="AS8" s="4">
        <v>0</v>
      </c>
      <c r="AU8" s="1" t="s">
        <v>47</v>
      </c>
      <c r="AV8" s="1">
        <v>1</v>
      </c>
      <c r="AW8" s="1">
        <v>0</v>
      </c>
      <c r="AX8" s="1">
        <v>0</v>
      </c>
      <c r="AY8" s="1" t="s">
        <v>48</v>
      </c>
      <c r="BA8" s="1" t="s">
        <v>331</v>
      </c>
      <c r="BB8" s="4">
        <v>1</v>
      </c>
      <c r="BC8" s="4">
        <v>1</v>
      </c>
      <c r="BD8" s="4">
        <v>1</v>
      </c>
      <c r="BE8" s="4">
        <v>1</v>
      </c>
      <c r="BF8" s="4">
        <v>1</v>
      </c>
      <c r="BG8" s="4">
        <v>0</v>
      </c>
      <c r="BH8" s="4">
        <v>0</v>
      </c>
      <c r="BI8" s="4">
        <v>0</v>
      </c>
      <c r="BJ8" s="4">
        <v>0</v>
      </c>
      <c r="BK8" s="4">
        <v>5</v>
      </c>
      <c r="BL8" s="1" t="s">
        <v>332</v>
      </c>
      <c r="BM8" s="1" t="s">
        <v>166</v>
      </c>
      <c r="BO8" s="4">
        <v>0</v>
      </c>
      <c r="BP8" s="4">
        <v>0</v>
      </c>
      <c r="BQ8" s="4">
        <v>0</v>
      </c>
      <c r="BR8" s="4">
        <v>0</v>
      </c>
      <c r="BS8" s="4">
        <v>0</v>
      </c>
      <c r="BT8" s="4">
        <v>0</v>
      </c>
      <c r="BU8" s="4">
        <v>0</v>
      </c>
      <c r="CX8" s="1" t="s">
        <v>320</v>
      </c>
      <c r="CZ8" s="1" t="s">
        <v>333</v>
      </c>
      <c r="DA8" s="1" t="s">
        <v>334</v>
      </c>
      <c r="DB8" s="1" t="s">
        <v>335</v>
      </c>
      <c r="DC8" s="1" t="s">
        <v>238</v>
      </c>
    </row>
    <row r="9" spans="1:107" ht="15.75" customHeight="1" x14ac:dyDescent="0.25">
      <c r="A9" s="1" t="b">
        <v>1</v>
      </c>
      <c r="B9" s="3">
        <v>46164.725023148145</v>
      </c>
      <c r="C9" s="1" t="s">
        <v>536</v>
      </c>
      <c r="D9" s="1" t="s">
        <v>207</v>
      </c>
      <c r="E9" s="4">
        <v>1</v>
      </c>
      <c r="F9" s="4">
        <v>30</v>
      </c>
      <c r="G9" s="4">
        <v>0</v>
      </c>
      <c r="H9" s="4">
        <v>0</v>
      </c>
      <c r="I9" s="4">
        <v>0</v>
      </c>
      <c r="J9" s="4">
        <v>0</v>
      </c>
      <c r="K9" s="4">
        <v>0</v>
      </c>
      <c r="L9" s="4">
        <v>30</v>
      </c>
      <c r="N9" s="1" t="s">
        <v>306</v>
      </c>
      <c r="O9" s="4">
        <v>1</v>
      </c>
      <c r="P9" s="4">
        <v>1</v>
      </c>
      <c r="Q9" s="4">
        <v>0</v>
      </c>
      <c r="R9" s="4">
        <v>0</v>
      </c>
      <c r="S9" s="4">
        <v>1</v>
      </c>
      <c r="T9" s="4">
        <v>0</v>
      </c>
      <c r="V9" s="1" t="s">
        <v>26</v>
      </c>
      <c r="W9" s="1" t="s">
        <v>805</v>
      </c>
      <c r="X9" s="1" t="s">
        <v>805</v>
      </c>
      <c r="Y9" s="1" t="s">
        <v>805</v>
      </c>
      <c r="Z9" s="1" t="s">
        <v>805</v>
      </c>
      <c r="AA9" s="1" t="s">
        <v>804</v>
      </c>
      <c r="AB9" s="1" t="s">
        <v>209</v>
      </c>
      <c r="AC9" s="4">
        <v>1</v>
      </c>
      <c r="AD9" s="4">
        <v>1</v>
      </c>
      <c r="AE9" s="4">
        <v>0</v>
      </c>
      <c r="AF9" s="4">
        <v>1</v>
      </c>
      <c r="AG9" s="4">
        <v>1</v>
      </c>
      <c r="AH9" s="4">
        <v>0</v>
      </c>
      <c r="AI9" s="1">
        <v>4</v>
      </c>
      <c r="AK9" s="1" t="s">
        <v>470</v>
      </c>
      <c r="AL9" s="4">
        <v>0</v>
      </c>
      <c r="AM9" s="4">
        <v>1</v>
      </c>
      <c r="AN9" s="4">
        <v>0</v>
      </c>
      <c r="AO9" s="4">
        <v>1</v>
      </c>
      <c r="AP9" s="4">
        <v>0</v>
      </c>
      <c r="AQ9" s="4">
        <v>1</v>
      </c>
      <c r="AR9" s="4">
        <v>0</v>
      </c>
      <c r="AS9" s="4">
        <v>0</v>
      </c>
      <c r="AU9" s="1" t="s">
        <v>47</v>
      </c>
      <c r="AV9" s="1">
        <v>1</v>
      </c>
      <c r="AW9" s="1">
        <v>0</v>
      </c>
      <c r="AX9" s="1">
        <v>0</v>
      </c>
      <c r="AY9" s="1" t="s">
        <v>48</v>
      </c>
      <c r="BA9" s="1" t="s">
        <v>537</v>
      </c>
      <c r="BB9" s="4">
        <v>1</v>
      </c>
      <c r="BC9" s="4">
        <v>0</v>
      </c>
      <c r="BD9" s="4">
        <v>1</v>
      </c>
      <c r="BE9" s="4">
        <v>1</v>
      </c>
      <c r="BF9" s="4">
        <v>1</v>
      </c>
      <c r="BG9" s="4">
        <v>1</v>
      </c>
      <c r="BH9" s="4">
        <v>0</v>
      </c>
      <c r="BI9" s="4">
        <v>0</v>
      </c>
      <c r="BJ9" s="4">
        <v>0</v>
      </c>
      <c r="BK9" s="4">
        <v>5</v>
      </c>
      <c r="BM9" s="1" t="s">
        <v>166</v>
      </c>
      <c r="BN9" s="1" t="s">
        <v>538</v>
      </c>
      <c r="BO9" s="4">
        <v>1</v>
      </c>
      <c r="BP9" s="4">
        <v>0</v>
      </c>
      <c r="BQ9" s="4">
        <v>1</v>
      </c>
      <c r="BR9" s="4">
        <v>0</v>
      </c>
      <c r="BS9" s="4">
        <v>0</v>
      </c>
      <c r="BT9" s="4">
        <v>0</v>
      </c>
      <c r="BU9" s="4">
        <v>0</v>
      </c>
      <c r="BV9" s="1" t="s">
        <v>539</v>
      </c>
      <c r="CX9" s="1" t="s">
        <v>540</v>
      </c>
      <c r="CZ9" s="1" t="s">
        <v>250</v>
      </c>
      <c r="DB9" s="1" t="s">
        <v>541</v>
      </c>
    </row>
    <row r="10" spans="1:107" ht="15.75" customHeight="1" x14ac:dyDescent="0.25">
      <c r="A10" s="1" t="b">
        <v>1</v>
      </c>
      <c r="B10" s="3">
        <v>46168.735289351855</v>
      </c>
      <c r="C10" s="1" t="s">
        <v>728</v>
      </c>
      <c r="D10" s="1" t="s">
        <v>439</v>
      </c>
      <c r="E10" s="4">
        <v>1</v>
      </c>
      <c r="F10" s="4">
        <v>30</v>
      </c>
      <c r="G10" s="4">
        <v>0</v>
      </c>
      <c r="H10" s="4">
        <v>0</v>
      </c>
      <c r="I10" s="4">
        <v>105</v>
      </c>
      <c r="J10" s="4">
        <v>0</v>
      </c>
      <c r="K10" s="4">
        <v>0</v>
      </c>
      <c r="L10" s="4">
        <v>105</v>
      </c>
      <c r="N10" s="1" t="s">
        <v>328</v>
      </c>
      <c r="O10" s="4">
        <v>1</v>
      </c>
      <c r="P10" s="4">
        <v>1</v>
      </c>
      <c r="Q10" s="4">
        <v>1</v>
      </c>
      <c r="R10" s="4">
        <v>0</v>
      </c>
      <c r="S10" s="4">
        <v>0</v>
      </c>
      <c r="T10" s="4">
        <v>0</v>
      </c>
      <c r="V10" s="1" t="s">
        <v>24</v>
      </c>
      <c r="W10" s="1" t="s">
        <v>805</v>
      </c>
      <c r="X10" s="1" t="s">
        <v>805</v>
      </c>
      <c r="Y10" s="1" t="s">
        <v>804</v>
      </c>
      <c r="Z10" s="1" t="s">
        <v>805</v>
      </c>
      <c r="AA10" s="1" t="s">
        <v>805</v>
      </c>
      <c r="AB10" s="1" t="s">
        <v>357</v>
      </c>
      <c r="AC10" s="4">
        <v>1</v>
      </c>
      <c r="AD10" s="4">
        <v>0</v>
      </c>
      <c r="AE10" s="4">
        <v>0</v>
      </c>
      <c r="AF10" s="4">
        <v>0</v>
      </c>
      <c r="AG10" s="4">
        <v>0</v>
      </c>
      <c r="AH10" s="4">
        <v>1</v>
      </c>
      <c r="AI10" s="1">
        <v>2</v>
      </c>
      <c r="AK10" s="1" t="s">
        <v>246</v>
      </c>
      <c r="AL10" s="4">
        <v>1</v>
      </c>
      <c r="AM10" s="4">
        <v>1</v>
      </c>
      <c r="AN10" s="4">
        <v>0</v>
      </c>
      <c r="AO10" s="4">
        <v>1</v>
      </c>
      <c r="AP10" s="4">
        <v>0</v>
      </c>
      <c r="AQ10" s="4">
        <v>1</v>
      </c>
      <c r="AR10" s="4">
        <v>0</v>
      </c>
      <c r="AS10" s="4">
        <v>0</v>
      </c>
      <c r="AU10" s="1" t="s">
        <v>47</v>
      </c>
      <c r="AV10" s="1">
        <v>1</v>
      </c>
      <c r="AW10" s="1">
        <v>0</v>
      </c>
      <c r="AX10" s="1">
        <v>0</v>
      </c>
      <c r="AY10" s="1" t="s">
        <v>48</v>
      </c>
      <c r="BA10" s="1" t="s">
        <v>729</v>
      </c>
      <c r="BB10" s="4">
        <v>0</v>
      </c>
      <c r="BC10" s="4">
        <v>1</v>
      </c>
      <c r="BD10" s="4">
        <v>0</v>
      </c>
      <c r="BE10" s="4">
        <v>0</v>
      </c>
      <c r="BF10" s="4">
        <v>1</v>
      </c>
      <c r="BG10" s="4">
        <v>0</v>
      </c>
      <c r="BH10" s="4">
        <v>0</v>
      </c>
      <c r="BI10" s="4">
        <v>0</v>
      </c>
      <c r="BJ10" s="4">
        <v>0</v>
      </c>
      <c r="BK10" s="4">
        <v>2</v>
      </c>
      <c r="BM10" s="1" t="s">
        <v>166</v>
      </c>
      <c r="BN10" s="1" t="s">
        <v>268</v>
      </c>
      <c r="BO10" s="4">
        <v>1</v>
      </c>
      <c r="BP10" s="4">
        <v>1</v>
      </c>
      <c r="BQ10" s="4">
        <v>0</v>
      </c>
      <c r="BR10" s="4">
        <v>0</v>
      </c>
      <c r="BS10" s="4">
        <v>0</v>
      </c>
      <c r="BT10" s="4">
        <v>0</v>
      </c>
      <c r="BU10" s="4">
        <v>0</v>
      </c>
      <c r="BV10" s="1" t="s">
        <v>730</v>
      </c>
      <c r="CH10" s="1" t="s">
        <v>731</v>
      </c>
      <c r="CI10" s="1" t="s">
        <v>732</v>
      </c>
      <c r="CJ10" s="1" t="s">
        <v>733</v>
      </c>
      <c r="CK10" s="1" t="s">
        <v>734</v>
      </c>
      <c r="CL10" s="1" t="s">
        <v>177</v>
      </c>
      <c r="CX10" s="1" t="s">
        <v>735</v>
      </c>
      <c r="CZ10" s="1" t="s">
        <v>736</v>
      </c>
      <c r="DC10" s="1" t="s">
        <v>180</v>
      </c>
    </row>
    <row r="11" spans="1:107" ht="15.75" customHeight="1" x14ac:dyDescent="0.25">
      <c r="A11" s="1" t="b">
        <v>1</v>
      </c>
      <c r="B11" s="3">
        <v>46150.797233796293</v>
      </c>
      <c r="C11" s="1" t="s">
        <v>206</v>
      </c>
      <c r="D11" s="1" t="s">
        <v>207</v>
      </c>
      <c r="E11" s="4">
        <v>1</v>
      </c>
      <c r="F11" s="4">
        <v>30</v>
      </c>
      <c r="G11" s="4">
        <v>0</v>
      </c>
      <c r="H11" s="4">
        <v>0</v>
      </c>
      <c r="I11" s="4">
        <v>0</v>
      </c>
      <c r="J11" s="4">
        <v>0</v>
      </c>
      <c r="K11" s="4">
        <v>0</v>
      </c>
      <c r="L11" s="4">
        <v>30</v>
      </c>
      <c r="N11" s="1" t="s">
        <v>208</v>
      </c>
      <c r="O11" s="4">
        <v>1</v>
      </c>
      <c r="P11" s="4">
        <v>1</v>
      </c>
      <c r="Q11" s="4">
        <v>0</v>
      </c>
      <c r="R11" s="4">
        <v>1</v>
      </c>
      <c r="S11" s="4">
        <v>0</v>
      </c>
      <c r="T11" s="4">
        <v>0</v>
      </c>
      <c r="W11" s="1" t="s">
        <v>805</v>
      </c>
      <c r="X11" s="1" t="s">
        <v>805</v>
      </c>
      <c r="Y11" s="1" t="s">
        <v>805</v>
      </c>
      <c r="Z11" s="1" t="s">
        <v>805</v>
      </c>
      <c r="AA11" s="1" t="s">
        <v>805</v>
      </c>
      <c r="AB11" s="1" t="s">
        <v>209</v>
      </c>
      <c r="AC11" s="4">
        <v>1</v>
      </c>
      <c r="AD11" s="4">
        <v>1</v>
      </c>
      <c r="AE11" s="4">
        <v>0</v>
      </c>
      <c r="AF11" s="4">
        <v>1</v>
      </c>
      <c r="AG11" s="4">
        <v>1</v>
      </c>
      <c r="AH11" s="4">
        <v>0</v>
      </c>
      <c r="AI11" s="1">
        <v>4</v>
      </c>
      <c r="AK11" s="1" t="s">
        <v>210</v>
      </c>
      <c r="AL11" s="4">
        <v>1</v>
      </c>
      <c r="AM11" s="4">
        <v>1</v>
      </c>
      <c r="AN11" s="4">
        <v>1</v>
      </c>
      <c r="AO11" s="4">
        <v>1</v>
      </c>
      <c r="AP11" s="4">
        <v>0</v>
      </c>
      <c r="AQ11" s="4">
        <v>0</v>
      </c>
      <c r="AR11" s="4">
        <v>0</v>
      </c>
      <c r="AS11" s="4">
        <v>0</v>
      </c>
      <c r="AU11" s="1" t="s">
        <v>48</v>
      </c>
      <c r="AV11" s="1">
        <v>0</v>
      </c>
      <c r="AW11" s="1">
        <v>1</v>
      </c>
      <c r="AX11" s="1">
        <v>0</v>
      </c>
      <c r="AY11" s="1" t="s">
        <v>47</v>
      </c>
      <c r="AZ11" s="1" t="s">
        <v>47</v>
      </c>
      <c r="BA11" s="1" t="s">
        <v>211</v>
      </c>
      <c r="BB11" s="4">
        <v>1</v>
      </c>
      <c r="BC11" s="4">
        <v>1</v>
      </c>
      <c r="BD11" s="4">
        <v>1</v>
      </c>
      <c r="BE11" s="4">
        <v>1</v>
      </c>
      <c r="BF11" s="4">
        <v>0</v>
      </c>
      <c r="BG11" s="4">
        <v>1</v>
      </c>
      <c r="BH11" s="4">
        <v>0</v>
      </c>
      <c r="BI11" s="4">
        <v>0</v>
      </c>
      <c r="BJ11" s="4">
        <v>0</v>
      </c>
      <c r="BK11" s="4">
        <v>5</v>
      </c>
      <c r="BO11" s="4">
        <v>0</v>
      </c>
      <c r="BP11" s="4">
        <v>0</v>
      </c>
      <c r="BQ11" s="4">
        <v>0</v>
      </c>
      <c r="BR11" s="4">
        <v>0</v>
      </c>
      <c r="BS11" s="4">
        <v>0</v>
      </c>
      <c r="BT11" s="4">
        <v>0</v>
      </c>
      <c r="BU11" s="4">
        <v>0</v>
      </c>
      <c r="BW11" s="1" t="s">
        <v>212</v>
      </c>
      <c r="CX11" s="1" t="s">
        <v>213</v>
      </c>
      <c r="CZ11" s="1" t="s">
        <v>214</v>
      </c>
      <c r="DB11" s="1" t="s">
        <v>215</v>
      </c>
      <c r="DC11" s="1" t="s">
        <v>180</v>
      </c>
    </row>
    <row r="12" spans="1:107" ht="15.75" customHeight="1" x14ac:dyDescent="0.25">
      <c r="A12" s="1" t="b">
        <v>1</v>
      </c>
      <c r="B12" s="3">
        <v>46173.256076388891</v>
      </c>
      <c r="C12" s="1" t="s">
        <v>798</v>
      </c>
      <c r="D12" s="1" t="s">
        <v>207</v>
      </c>
      <c r="E12" s="4">
        <v>1</v>
      </c>
      <c r="F12" s="4">
        <v>30</v>
      </c>
      <c r="G12" s="4">
        <v>0</v>
      </c>
      <c r="H12" s="4">
        <v>0</v>
      </c>
      <c r="I12" s="4">
        <v>0</v>
      </c>
      <c r="J12" s="4">
        <v>0</v>
      </c>
      <c r="K12" s="4">
        <v>0</v>
      </c>
      <c r="L12" s="4">
        <v>30</v>
      </c>
      <c r="N12" s="1" t="s">
        <v>272</v>
      </c>
      <c r="O12" s="4">
        <v>1</v>
      </c>
      <c r="P12" s="4">
        <v>1</v>
      </c>
      <c r="Q12" s="4">
        <v>1</v>
      </c>
      <c r="R12" s="4">
        <v>1</v>
      </c>
      <c r="S12" s="4">
        <v>1</v>
      </c>
      <c r="T12" s="4">
        <v>0</v>
      </c>
      <c r="V12" s="1" t="s">
        <v>23</v>
      </c>
      <c r="W12" s="1" t="s">
        <v>805</v>
      </c>
      <c r="X12" s="1" t="s">
        <v>804</v>
      </c>
      <c r="Y12" s="1" t="s">
        <v>805</v>
      </c>
      <c r="Z12" s="1" t="s">
        <v>805</v>
      </c>
      <c r="AA12" s="1" t="s">
        <v>805</v>
      </c>
      <c r="AB12" s="1" t="s">
        <v>799</v>
      </c>
      <c r="AC12" s="4">
        <v>1</v>
      </c>
      <c r="AD12" s="4">
        <v>0</v>
      </c>
      <c r="AE12" s="4">
        <v>0</v>
      </c>
      <c r="AF12" s="4">
        <v>0</v>
      </c>
      <c r="AG12" s="4">
        <v>1</v>
      </c>
      <c r="AH12" s="4">
        <v>1</v>
      </c>
      <c r="AI12" s="1">
        <v>3</v>
      </c>
      <c r="AK12" s="1" t="s">
        <v>346</v>
      </c>
      <c r="AL12" s="4">
        <v>0</v>
      </c>
      <c r="AM12" s="4">
        <v>1</v>
      </c>
      <c r="AN12" s="4">
        <v>1</v>
      </c>
      <c r="AO12" s="4">
        <v>1</v>
      </c>
      <c r="AP12" s="4">
        <v>0</v>
      </c>
      <c r="AQ12" s="4">
        <v>0</v>
      </c>
      <c r="AR12" s="4">
        <v>0</v>
      </c>
      <c r="AS12" s="4">
        <v>0</v>
      </c>
      <c r="AU12" s="1" t="s">
        <v>48</v>
      </c>
      <c r="AV12" s="1">
        <v>0</v>
      </c>
      <c r="AW12" s="1">
        <v>1</v>
      </c>
      <c r="AX12" s="1">
        <v>0</v>
      </c>
      <c r="AY12" s="1" t="s">
        <v>48</v>
      </c>
      <c r="BA12" s="1" t="s">
        <v>800</v>
      </c>
      <c r="BB12" s="4">
        <v>1</v>
      </c>
      <c r="BC12" s="4">
        <v>1</v>
      </c>
      <c r="BD12" s="4">
        <v>1</v>
      </c>
      <c r="BE12" s="4">
        <v>1</v>
      </c>
      <c r="BF12" s="4">
        <v>1</v>
      </c>
      <c r="BG12" s="4">
        <v>1</v>
      </c>
      <c r="BH12" s="4">
        <v>0</v>
      </c>
      <c r="BI12" s="4">
        <v>0</v>
      </c>
      <c r="BJ12" s="4">
        <v>0</v>
      </c>
      <c r="BK12" s="4">
        <v>6</v>
      </c>
      <c r="BM12" s="1" t="s">
        <v>232</v>
      </c>
      <c r="BN12" s="1" t="s">
        <v>666</v>
      </c>
      <c r="BO12" s="4">
        <v>0</v>
      </c>
      <c r="BP12" s="4">
        <v>0</v>
      </c>
      <c r="BQ12" s="4">
        <v>0</v>
      </c>
      <c r="BR12" s="4">
        <v>1</v>
      </c>
      <c r="BS12" s="4">
        <v>1</v>
      </c>
      <c r="BT12" s="4">
        <v>0</v>
      </c>
      <c r="BU12" s="4">
        <v>1</v>
      </c>
      <c r="BW12" s="1" t="s">
        <v>220</v>
      </c>
      <c r="CX12" s="1" t="s">
        <v>678</v>
      </c>
      <c r="CZ12" s="1" t="s">
        <v>644</v>
      </c>
      <c r="DC12" s="1" t="s">
        <v>180</v>
      </c>
    </row>
    <row r="13" spans="1:107" ht="15.75" customHeight="1" x14ac:dyDescent="0.25">
      <c r="A13" s="1" t="b">
        <v>1</v>
      </c>
      <c r="B13" s="3">
        <v>46164.591782407406</v>
      </c>
      <c r="C13" s="1" t="s">
        <v>488</v>
      </c>
      <c r="D13" s="1" t="s">
        <v>207</v>
      </c>
      <c r="E13" s="4">
        <v>1</v>
      </c>
      <c r="F13" s="4">
        <v>30</v>
      </c>
      <c r="G13" s="4">
        <v>0</v>
      </c>
      <c r="H13" s="4">
        <v>0</v>
      </c>
      <c r="I13" s="4">
        <v>0</v>
      </c>
      <c r="J13" s="4">
        <v>0</v>
      </c>
      <c r="K13" s="4">
        <v>0</v>
      </c>
      <c r="L13" s="4">
        <v>30</v>
      </c>
      <c r="N13" s="1" t="s">
        <v>294</v>
      </c>
      <c r="O13" s="4">
        <v>1</v>
      </c>
      <c r="P13" s="4">
        <v>1</v>
      </c>
      <c r="Q13" s="4">
        <v>0</v>
      </c>
      <c r="R13" s="4">
        <v>0</v>
      </c>
      <c r="S13" s="4">
        <v>0</v>
      </c>
      <c r="T13" s="4">
        <v>0</v>
      </c>
      <c r="W13" s="1" t="s">
        <v>805</v>
      </c>
      <c r="X13" s="1" t="s">
        <v>805</v>
      </c>
      <c r="Y13" s="1" t="s">
        <v>805</v>
      </c>
      <c r="Z13" s="1" t="s">
        <v>805</v>
      </c>
      <c r="AA13" s="1" t="s">
        <v>805</v>
      </c>
      <c r="AB13" s="1" t="s">
        <v>31</v>
      </c>
      <c r="AC13" s="4">
        <v>0</v>
      </c>
      <c r="AD13" s="4">
        <v>0</v>
      </c>
      <c r="AE13" s="4">
        <v>0</v>
      </c>
      <c r="AF13" s="4">
        <v>1</v>
      </c>
      <c r="AG13" s="4">
        <v>0</v>
      </c>
      <c r="AH13" s="4">
        <v>0</v>
      </c>
      <c r="AI13" s="1">
        <v>1</v>
      </c>
      <c r="AK13" s="1" t="s">
        <v>38</v>
      </c>
      <c r="AL13" s="4">
        <v>0</v>
      </c>
      <c r="AM13" s="4">
        <v>1</v>
      </c>
      <c r="AN13" s="4">
        <v>0</v>
      </c>
      <c r="AO13" s="4">
        <v>0</v>
      </c>
      <c r="AP13" s="4">
        <v>0</v>
      </c>
      <c r="AQ13" s="4">
        <v>0</v>
      </c>
      <c r="AR13" s="4">
        <v>0</v>
      </c>
      <c r="AS13" s="4">
        <v>0</v>
      </c>
      <c r="AU13" s="1" t="s">
        <v>47</v>
      </c>
      <c r="AV13" s="1">
        <v>1</v>
      </c>
      <c r="AW13" s="1">
        <v>0</v>
      </c>
      <c r="AX13" s="1">
        <v>0</v>
      </c>
      <c r="AY13" s="1" t="s">
        <v>47</v>
      </c>
      <c r="AZ13" s="1" t="s">
        <v>48</v>
      </c>
      <c r="BB13" s="4">
        <v>0</v>
      </c>
      <c r="BC13" s="4">
        <v>0</v>
      </c>
      <c r="BD13" s="4">
        <v>0</v>
      </c>
      <c r="BE13" s="4">
        <v>0</v>
      </c>
      <c r="BF13" s="4">
        <v>0</v>
      </c>
      <c r="BG13" s="4">
        <v>0</v>
      </c>
      <c r="BH13" s="4">
        <v>0</v>
      </c>
      <c r="BI13" s="4">
        <v>0</v>
      </c>
      <c r="BJ13" s="4">
        <v>0</v>
      </c>
      <c r="BK13" s="4">
        <v>0</v>
      </c>
      <c r="BO13" s="4">
        <v>0</v>
      </c>
      <c r="BP13" s="4">
        <v>0</v>
      </c>
      <c r="BQ13" s="4">
        <v>0</v>
      </c>
      <c r="BR13" s="4">
        <v>0</v>
      </c>
      <c r="BS13" s="4">
        <v>0</v>
      </c>
      <c r="BT13" s="4">
        <v>0</v>
      </c>
      <c r="BU13" s="4">
        <v>0</v>
      </c>
      <c r="CX13" s="1" t="s">
        <v>261</v>
      </c>
      <c r="CZ13" s="1" t="s">
        <v>489</v>
      </c>
      <c r="DC13" s="1" t="s">
        <v>180</v>
      </c>
    </row>
    <row r="14" spans="1:107" ht="15.75" customHeight="1" x14ac:dyDescent="0.25">
      <c r="A14" s="1" t="b">
        <v>1</v>
      </c>
      <c r="B14" s="3">
        <v>46171.379513888889</v>
      </c>
      <c r="C14" s="1" t="s">
        <v>775</v>
      </c>
      <c r="D14" s="1" t="s">
        <v>776</v>
      </c>
      <c r="E14" s="4">
        <v>0</v>
      </c>
      <c r="F14" s="4">
        <v>1</v>
      </c>
      <c r="G14" s="4">
        <v>76</v>
      </c>
      <c r="H14" s="4">
        <v>0</v>
      </c>
      <c r="I14" s="4">
        <v>0</v>
      </c>
      <c r="J14" s="4">
        <v>132</v>
      </c>
      <c r="K14" s="4">
        <v>0</v>
      </c>
      <c r="L14" s="4">
        <v>132</v>
      </c>
      <c r="N14" s="1" t="s">
        <v>244</v>
      </c>
      <c r="O14" s="4">
        <v>1</v>
      </c>
      <c r="P14" s="4">
        <v>0</v>
      </c>
      <c r="Q14" s="4">
        <v>1</v>
      </c>
      <c r="R14" s="4">
        <v>1</v>
      </c>
      <c r="S14" s="4">
        <v>0</v>
      </c>
      <c r="T14" s="4">
        <v>0</v>
      </c>
      <c r="V14" s="1" t="s">
        <v>24</v>
      </c>
      <c r="W14" s="1" t="s">
        <v>805</v>
      </c>
      <c r="X14" s="1" t="s">
        <v>805</v>
      </c>
      <c r="Y14" s="1" t="s">
        <v>804</v>
      </c>
      <c r="Z14" s="1" t="s">
        <v>805</v>
      </c>
      <c r="AA14" s="1" t="s">
        <v>805</v>
      </c>
      <c r="AB14" s="1" t="s">
        <v>28</v>
      </c>
      <c r="AC14" s="4">
        <v>1</v>
      </c>
      <c r="AD14" s="4">
        <v>0</v>
      </c>
      <c r="AE14" s="4">
        <v>0</v>
      </c>
      <c r="AF14" s="4">
        <v>0</v>
      </c>
      <c r="AG14" s="4">
        <v>0</v>
      </c>
      <c r="AH14" s="4">
        <v>0</v>
      </c>
      <c r="AI14" s="1">
        <v>1</v>
      </c>
      <c r="AK14" s="1" t="s">
        <v>470</v>
      </c>
      <c r="AL14" s="4">
        <v>0</v>
      </c>
      <c r="AM14" s="4">
        <v>1</v>
      </c>
      <c r="AN14" s="4">
        <v>0</v>
      </c>
      <c r="AO14" s="4">
        <v>1</v>
      </c>
      <c r="AP14" s="4">
        <v>0</v>
      </c>
      <c r="AQ14" s="4">
        <v>1</v>
      </c>
      <c r="AR14" s="4">
        <v>0</v>
      </c>
      <c r="AS14" s="4">
        <v>0</v>
      </c>
      <c r="AU14" s="1" t="s">
        <v>48</v>
      </c>
      <c r="AV14" s="1">
        <v>0</v>
      </c>
      <c r="AW14" s="1">
        <v>1</v>
      </c>
      <c r="AX14" s="1">
        <v>0</v>
      </c>
      <c r="AY14" s="1" t="s">
        <v>48</v>
      </c>
      <c r="BA14" s="1" t="s">
        <v>777</v>
      </c>
      <c r="BB14" s="4">
        <v>0</v>
      </c>
      <c r="BC14" s="4">
        <v>0</v>
      </c>
      <c r="BD14" s="4">
        <v>1</v>
      </c>
      <c r="BE14" s="4">
        <v>1</v>
      </c>
      <c r="BF14" s="4">
        <v>0</v>
      </c>
      <c r="BG14" s="4">
        <v>0</v>
      </c>
      <c r="BH14" s="4">
        <v>1</v>
      </c>
      <c r="BI14" s="4">
        <v>0</v>
      </c>
      <c r="BJ14" s="4">
        <v>0</v>
      </c>
      <c r="BK14" s="4">
        <v>3</v>
      </c>
      <c r="BM14" s="1" t="s">
        <v>232</v>
      </c>
      <c r="BN14" s="1" t="s">
        <v>726</v>
      </c>
      <c r="BO14" s="4">
        <v>0</v>
      </c>
      <c r="BP14" s="4">
        <v>1</v>
      </c>
      <c r="BQ14" s="4">
        <v>0</v>
      </c>
      <c r="BR14" s="4">
        <v>1</v>
      </c>
      <c r="BS14" s="4">
        <v>0</v>
      </c>
      <c r="BT14" s="4">
        <v>0</v>
      </c>
      <c r="BU14" s="4">
        <v>0</v>
      </c>
      <c r="BW14" s="1" t="s">
        <v>169</v>
      </c>
      <c r="BZ14" s="1" t="s">
        <v>465</v>
      </c>
      <c r="CR14" s="1" t="s">
        <v>250</v>
      </c>
      <c r="CT14" s="1" t="s">
        <v>778</v>
      </c>
      <c r="CU14" s="1" t="s">
        <v>250</v>
      </c>
      <c r="CX14" s="1" t="s">
        <v>779</v>
      </c>
      <c r="CY14" s="1" t="s">
        <v>780</v>
      </c>
      <c r="CZ14" s="1" t="s">
        <v>250</v>
      </c>
      <c r="DC14" s="1" t="s">
        <v>180</v>
      </c>
    </row>
    <row r="15" spans="1:107" ht="15.75" customHeight="1" x14ac:dyDescent="0.25">
      <c r="A15" s="1" t="b">
        <v>1</v>
      </c>
      <c r="B15" s="3">
        <v>46164.563344907408</v>
      </c>
      <c r="C15" s="1" t="s">
        <v>482</v>
      </c>
      <c r="D15" s="1" t="s">
        <v>5</v>
      </c>
      <c r="E15" s="4">
        <v>0</v>
      </c>
      <c r="F15" s="4">
        <v>1</v>
      </c>
      <c r="G15" s="4">
        <v>0</v>
      </c>
      <c r="H15" s="4">
        <v>0</v>
      </c>
      <c r="I15" s="4">
        <v>0</v>
      </c>
      <c r="J15" s="4">
        <v>0</v>
      </c>
      <c r="K15" s="4">
        <v>0</v>
      </c>
      <c r="L15" s="4">
        <v>1</v>
      </c>
      <c r="N15" s="1" t="s">
        <v>240</v>
      </c>
      <c r="O15" s="4">
        <v>1</v>
      </c>
      <c r="P15" s="4">
        <v>1</v>
      </c>
      <c r="Q15" s="4">
        <v>1</v>
      </c>
      <c r="R15" s="4">
        <v>1</v>
      </c>
      <c r="S15" s="4">
        <v>0</v>
      </c>
      <c r="T15" s="4">
        <v>0</v>
      </c>
      <c r="V15" s="1" t="s">
        <v>26</v>
      </c>
      <c r="W15" s="1" t="s">
        <v>805</v>
      </c>
      <c r="X15" s="1" t="s">
        <v>805</v>
      </c>
      <c r="Y15" s="1" t="s">
        <v>805</v>
      </c>
      <c r="Z15" s="1" t="s">
        <v>805</v>
      </c>
      <c r="AA15" s="1" t="s">
        <v>804</v>
      </c>
      <c r="AB15" s="1" t="s">
        <v>28</v>
      </c>
      <c r="AC15" s="4">
        <v>1</v>
      </c>
      <c r="AD15" s="4">
        <v>0</v>
      </c>
      <c r="AE15" s="4">
        <v>0</v>
      </c>
      <c r="AF15" s="4">
        <v>0</v>
      </c>
      <c r="AG15" s="4">
        <v>0</v>
      </c>
      <c r="AH15" s="4">
        <v>0</v>
      </c>
      <c r="AI15" s="1">
        <v>1</v>
      </c>
      <c r="AK15" s="1" t="s">
        <v>483</v>
      </c>
      <c r="AL15" s="4">
        <v>1</v>
      </c>
      <c r="AM15" s="4">
        <v>1</v>
      </c>
      <c r="AN15" s="4">
        <v>1</v>
      </c>
      <c r="AO15" s="4">
        <v>0</v>
      </c>
      <c r="AP15" s="4">
        <v>0</v>
      </c>
      <c r="AQ15" s="4">
        <v>0</v>
      </c>
      <c r="AR15" s="4">
        <v>0</v>
      </c>
      <c r="AS15" s="4">
        <v>0</v>
      </c>
      <c r="AU15" s="1" t="s">
        <v>47</v>
      </c>
      <c r="AV15" s="1">
        <v>1</v>
      </c>
      <c r="AW15" s="1">
        <v>0</v>
      </c>
      <c r="AX15" s="1">
        <v>0</v>
      </c>
      <c r="AY15" s="1" t="s">
        <v>48</v>
      </c>
      <c r="BA15" s="1" t="s">
        <v>484</v>
      </c>
      <c r="BB15" s="4">
        <v>0</v>
      </c>
      <c r="BC15" s="4">
        <v>0</v>
      </c>
      <c r="BD15" s="4">
        <v>1</v>
      </c>
      <c r="BE15" s="4">
        <v>0</v>
      </c>
      <c r="BF15" s="4">
        <v>0</v>
      </c>
      <c r="BG15" s="4">
        <v>0</v>
      </c>
      <c r="BH15" s="4">
        <v>1</v>
      </c>
      <c r="BI15" s="4">
        <v>0</v>
      </c>
      <c r="BJ15" s="4">
        <v>0</v>
      </c>
      <c r="BK15" s="4">
        <v>2</v>
      </c>
      <c r="BM15" s="1" t="s">
        <v>166</v>
      </c>
      <c r="BN15" s="1" t="s">
        <v>340</v>
      </c>
      <c r="BO15" s="4">
        <v>1</v>
      </c>
      <c r="BP15" s="4">
        <v>1</v>
      </c>
      <c r="BQ15" s="4">
        <v>0</v>
      </c>
      <c r="BR15" s="4">
        <v>0</v>
      </c>
      <c r="BS15" s="4">
        <v>0</v>
      </c>
      <c r="BT15" s="4">
        <v>0</v>
      </c>
      <c r="BU15" s="4">
        <v>0</v>
      </c>
      <c r="CX15" s="1" t="s">
        <v>249</v>
      </c>
      <c r="CZ15" s="1" t="s">
        <v>485</v>
      </c>
      <c r="DC15" s="1" t="s">
        <v>180</v>
      </c>
    </row>
    <row r="16" spans="1:107" ht="15.75" customHeight="1" x14ac:dyDescent="0.25">
      <c r="A16" s="1" t="b">
        <v>0</v>
      </c>
      <c r="B16" s="3">
        <v>46170.840462962966</v>
      </c>
      <c r="C16" s="1" t="s">
        <v>767</v>
      </c>
      <c r="D16" s="1" t="s">
        <v>5</v>
      </c>
      <c r="E16" s="4">
        <v>0</v>
      </c>
      <c r="F16" s="4">
        <v>1</v>
      </c>
      <c r="G16" s="4">
        <v>0</v>
      </c>
      <c r="H16" s="4">
        <v>0</v>
      </c>
      <c r="I16" s="4">
        <v>0</v>
      </c>
      <c r="J16" s="4">
        <v>0</v>
      </c>
      <c r="K16" s="4">
        <v>0</v>
      </c>
      <c r="L16" s="4">
        <v>1</v>
      </c>
      <c r="N16" s="1" t="s">
        <v>739</v>
      </c>
      <c r="O16" s="4">
        <v>0</v>
      </c>
      <c r="P16" s="4">
        <v>0</v>
      </c>
      <c r="Q16" s="4">
        <v>1</v>
      </c>
      <c r="R16" s="4">
        <v>1</v>
      </c>
      <c r="S16" s="4">
        <v>0</v>
      </c>
      <c r="T16" s="4">
        <v>0</v>
      </c>
      <c r="W16" s="1" t="s">
        <v>805</v>
      </c>
      <c r="X16" s="1" t="s">
        <v>805</v>
      </c>
      <c r="Y16" s="1" t="s">
        <v>805</v>
      </c>
      <c r="Z16" s="1" t="s">
        <v>805</v>
      </c>
      <c r="AA16" s="1" t="s">
        <v>805</v>
      </c>
      <c r="AC16" s="4">
        <v>0</v>
      </c>
      <c r="AD16" s="4">
        <v>0</v>
      </c>
      <c r="AE16" s="4">
        <v>0</v>
      </c>
      <c r="AF16" s="4">
        <v>0</v>
      </c>
      <c r="AG16" s="4">
        <v>0</v>
      </c>
      <c r="AH16" s="4">
        <v>0</v>
      </c>
      <c r="AI16" s="1">
        <v>0</v>
      </c>
      <c r="AL16" s="4">
        <v>0</v>
      </c>
      <c r="AM16" s="4">
        <v>0</v>
      </c>
      <c r="AN16" s="4">
        <v>0</v>
      </c>
      <c r="AO16" s="4">
        <v>0</v>
      </c>
      <c r="AP16" s="4">
        <v>0</v>
      </c>
      <c r="AQ16" s="4">
        <v>0</v>
      </c>
      <c r="AR16" s="4">
        <v>0</v>
      </c>
      <c r="AS16" s="4">
        <v>0</v>
      </c>
      <c r="AV16" s="1">
        <v>0</v>
      </c>
      <c r="AW16" s="1">
        <v>0</v>
      </c>
      <c r="AX16" s="1">
        <v>0</v>
      </c>
      <c r="BB16" s="4">
        <v>0</v>
      </c>
      <c r="BC16" s="4">
        <v>0</v>
      </c>
      <c r="BD16" s="4">
        <v>0</v>
      </c>
      <c r="BE16" s="4">
        <v>0</v>
      </c>
      <c r="BF16" s="4">
        <v>0</v>
      </c>
      <c r="BG16" s="4">
        <v>0</v>
      </c>
      <c r="BH16" s="4">
        <v>0</v>
      </c>
      <c r="BI16" s="4">
        <v>0</v>
      </c>
      <c r="BJ16" s="4">
        <v>0</v>
      </c>
      <c r="BK16" s="4">
        <v>0</v>
      </c>
      <c r="BO16" s="4">
        <v>0</v>
      </c>
      <c r="BP16" s="4">
        <v>0</v>
      </c>
      <c r="BQ16" s="4">
        <v>0</v>
      </c>
      <c r="BR16" s="4">
        <v>0</v>
      </c>
      <c r="BS16" s="4">
        <v>0</v>
      </c>
      <c r="BT16" s="4">
        <v>0</v>
      </c>
      <c r="BU16" s="4">
        <v>0</v>
      </c>
    </row>
    <row r="17" spans="1:107" ht="15.75" customHeight="1" x14ac:dyDescent="0.25">
      <c r="A17" s="1" t="b">
        <v>1</v>
      </c>
      <c r="B17" s="3">
        <v>46159.038958333331</v>
      </c>
      <c r="C17" s="1" t="s">
        <v>393</v>
      </c>
      <c r="D17" s="1" t="s">
        <v>394</v>
      </c>
      <c r="E17" s="4">
        <v>1</v>
      </c>
      <c r="F17" s="4">
        <v>0</v>
      </c>
      <c r="G17" s="4">
        <v>30</v>
      </c>
      <c r="H17" s="4">
        <v>0</v>
      </c>
      <c r="I17" s="4">
        <v>0</v>
      </c>
      <c r="J17" s="4">
        <v>0</v>
      </c>
      <c r="K17" s="4">
        <v>86</v>
      </c>
      <c r="L17" s="4">
        <v>86</v>
      </c>
      <c r="N17" s="1" t="s">
        <v>328</v>
      </c>
      <c r="O17" s="4">
        <v>1</v>
      </c>
      <c r="P17" s="4">
        <v>1</v>
      </c>
      <c r="Q17" s="4">
        <v>1</v>
      </c>
      <c r="R17" s="4">
        <v>0</v>
      </c>
      <c r="S17" s="4">
        <v>0</v>
      </c>
      <c r="T17" s="4">
        <v>0</v>
      </c>
      <c r="V17" s="1" t="s">
        <v>25</v>
      </c>
      <c r="W17" s="1" t="s">
        <v>805</v>
      </c>
      <c r="X17" s="1" t="s">
        <v>805</v>
      </c>
      <c r="Y17" s="1" t="s">
        <v>805</v>
      </c>
      <c r="Z17" s="1" t="s">
        <v>804</v>
      </c>
      <c r="AA17" s="1" t="s">
        <v>805</v>
      </c>
      <c r="AB17" s="1" t="s">
        <v>395</v>
      </c>
      <c r="AC17" s="4">
        <v>1</v>
      </c>
      <c r="AD17" s="4">
        <v>1</v>
      </c>
      <c r="AE17" s="4">
        <v>1</v>
      </c>
      <c r="AF17" s="4">
        <v>0</v>
      </c>
      <c r="AG17" s="4">
        <v>1</v>
      </c>
      <c r="AH17" s="4">
        <v>1</v>
      </c>
      <c r="AI17" s="1">
        <v>5</v>
      </c>
      <c r="AK17" s="1" t="s">
        <v>396</v>
      </c>
      <c r="AL17" s="4">
        <v>0</v>
      </c>
      <c r="AM17" s="4">
        <v>1</v>
      </c>
      <c r="AN17" s="4">
        <v>1</v>
      </c>
      <c r="AO17" s="4">
        <v>0</v>
      </c>
      <c r="AP17" s="4">
        <v>1</v>
      </c>
      <c r="AQ17" s="4">
        <v>1</v>
      </c>
      <c r="AR17" s="4">
        <v>0</v>
      </c>
      <c r="AS17" s="4">
        <v>0</v>
      </c>
      <c r="AU17" s="1" t="s">
        <v>47</v>
      </c>
      <c r="AV17" s="1">
        <v>1</v>
      </c>
      <c r="AW17" s="1">
        <v>0</v>
      </c>
      <c r="AX17" s="1">
        <v>0</v>
      </c>
      <c r="AY17" s="1" t="s">
        <v>48</v>
      </c>
      <c r="BA17" s="1" t="s">
        <v>397</v>
      </c>
      <c r="BB17" s="4">
        <v>1</v>
      </c>
      <c r="BC17" s="4">
        <v>1</v>
      </c>
      <c r="BD17" s="4">
        <v>1</v>
      </c>
      <c r="BE17" s="4">
        <v>1</v>
      </c>
      <c r="BF17" s="4">
        <v>1</v>
      </c>
      <c r="BG17" s="4">
        <v>0</v>
      </c>
      <c r="BH17" s="4">
        <v>0</v>
      </c>
      <c r="BI17" s="4">
        <v>0</v>
      </c>
      <c r="BJ17" s="4">
        <v>0</v>
      </c>
      <c r="BK17" s="4">
        <v>5</v>
      </c>
      <c r="BM17" s="1" t="s">
        <v>166</v>
      </c>
      <c r="BN17" s="1" t="s">
        <v>398</v>
      </c>
      <c r="BO17" s="4">
        <v>1</v>
      </c>
      <c r="BP17" s="4">
        <v>1</v>
      </c>
      <c r="BQ17" s="4">
        <v>1</v>
      </c>
      <c r="BR17" s="4">
        <v>1</v>
      </c>
      <c r="BS17" s="4">
        <v>1</v>
      </c>
      <c r="BT17" s="4">
        <v>0</v>
      </c>
      <c r="BU17" s="4">
        <v>0</v>
      </c>
      <c r="CM17" s="1" t="s">
        <v>49</v>
      </c>
      <c r="CU17" s="1" t="s">
        <v>399</v>
      </c>
      <c r="DC17" s="1" t="s">
        <v>238</v>
      </c>
    </row>
    <row r="18" spans="1:107" ht="15.75" customHeight="1" x14ac:dyDescent="0.25">
      <c r="A18" s="1" t="b">
        <v>0</v>
      </c>
      <c r="B18" s="3">
        <v>46152.736087962963</v>
      </c>
      <c r="C18" s="1" t="s">
        <v>301</v>
      </c>
      <c r="D18" s="1" t="s">
        <v>302</v>
      </c>
      <c r="E18" s="4">
        <v>1</v>
      </c>
      <c r="F18" s="4">
        <v>0</v>
      </c>
      <c r="G18" s="4">
        <v>30</v>
      </c>
      <c r="H18" s="4">
        <v>0</v>
      </c>
      <c r="I18" s="4">
        <v>0</v>
      </c>
      <c r="J18" s="4">
        <v>0</v>
      </c>
      <c r="K18" s="4">
        <v>0</v>
      </c>
      <c r="L18" s="4">
        <v>30</v>
      </c>
      <c r="N18" s="1" t="s">
        <v>222</v>
      </c>
      <c r="O18" s="4">
        <v>0</v>
      </c>
      <c r="P18" s="4">
        <v>1</v>
      </c>
      <c r="Q18" s="4">
        <v>0</v>
      </c>
      <c r="R18" s="4">
        <v>1</v>
      </c>
      <c r="S18" s="4">
        <v>0</v>
      </c>
      <c r="T18" s="4">
        <v>0</v>
      </c>
      <c r="W18" s="1" t="s">
        <v>805</v>
      </c>
      <c r="X18" s="1" t="s">
        <v>805</v>
      </c>
      <c r="Y18" s="1" t="s">
        <v>805</v>
      </c>
      <c r="Z18" s="1" t="s">
        <v>805</v>
      </c>
      <c r="AA18" s="1" t="s">
        <v>805</v>
      </c>
      <c r="AC18" s="4">
        <v>0</v>
      </c>
      <c r="AD18" s="4">
        <v>0</v>
      </c>
      <c r="AE18" s="4">
        <v>0</v>
      </c>
      <c r="AF18" s="4">
        <v>0</v>
      </c>
      <c r="AG18" s="4">
        <v>0</v>
      </c>
      <c r="AH18" s="4">
        <v>0</v>
      </c>
      <c r="AI18" s="1">
        <v>0</v>
      </c>
      <c r="AL18" s="4">
        <v>0</v>
      </c>
      <c r="AM18" s="4">
        <v>0</v>
      </c>
      <c r="AN18" s="4">
        <v>0</v>
      </c>
      <c r="AO18" s="4">
        <v>0</v>
      </c>
      <c r="AP18" s="4">
        <v>0</v>
      </c>
      <c r="AQ18" s="4">
        <v>0</v>
      </c>
      <c r="AR18" s="4">
        <v>0</v>
      </c>
      <c r="AS18" s="4">
        <v>0</v>
      </c>
      <c r="AV18" s="1">
        <v>0</v>
      </c>
      <c r="AW18" s="1">
        <v>0</v>
      </c>
      <c r="AX18" s="1">
        <v>0</v>
      </c>
      <c r="BB18" s="4">
        <v>0</v>
      </c>
      <c r="BC18" s="4">
        <v>0</v>
      </c>
      <c r="BD18" s="4">
        <v>0</v>
      </c>
      <c r="BE18" s="4">
        <v>0</v>
      </c>
      <c r="BF18" s="4">
        <v>0</v>
      </c>
      <c r="BG18" s="4">
        <v>0</v>
      </c>
      <c r="BH18" s="4">
        <v>0</v>
      </c>
      <c r="BI18" s="4">
        <v>0</v>
      </c>
      <c r="BJ18" s="4">
        <v>0</v>
      </c>
      <c r="BK18" s="4">
        <v>0</v>
      </c>
      <c r="BO18" s="4">
        <v>0</v>
      </c>
      <c r="BP18" s="4">
        <v>0</v>
      </c>
      <c r="BQ18" s="4">
        <v>0</v>
      </c>
      <c r="BR18" s="4">
        <v>0</v>
      </c>
      <c r="BS18" s="4">
        <v>0</v>
      </c>
      <c r="BT18" s="4">
        <v>0</v>
      </c>
      <c r="BU18" s="4">
        <v>0</v>
      </c>
    </row>
    <row r="19" spans="1:107" ht="15.75" customHeight="1" x14ac:dyDescent="0.25">
      <c r="A19" s="1" t="b">
        <v>0</v>
      </c>
      <c r="B19" s="3">
        <v>46167.593252314815</v>
      </c>
      <c r="C19" s="1" t="s">
        <v>701</v>
      </c>
      <c r="D19" s="1" t="s">
        <v>702</v>
      </c>
      <c r="E19" s="4">
        <v>1</v>
      </c>
      <c r="F19" s="4">
        <v>0</v>
      </c>
      <c r="G19" s="4">
        <v>30</v>
      </c>
      <c r="H19" s="4">
        <v>0</v>
      </c>
      <c r="I19" s="4">
        <v>0</v>
      </c>
      <c r="J19" s="4">
        <v>86</v>
      </c>
      <c r="K19" s="4">
        <v>0</v>
      </c>
      <c r="L19" s="4">
        <v>86</v>
      </c>
      <c r="N19" s="1" t="s">
        <v>316</v>
      </c>
      <c r="O19" s="4">
        <v>1</v>
      </c>
      <c r="P19" s="4">
        <v>0</v>
      </c>
      <c r="Q19" s="4">
        <v>1</v>
      </c>
      <c r="R19" s="4">
        <v>0</v>
      </c>
      <c r="S19" s="4">
        <v>0</v>
      </c>
      <c r="T19" s="4">
        <v>0</v>
      </c>
      <c r="W19" s="1" t="s">
        <v>805</v>
      </c>
      <c r="X19" s="1" t="s">
        <v>805</v>
      </c>
      <c r="Y19" s="1" t="s">
        <v>805</v>
      </c>
      <c r="Z19" s="1" t="s">
        <v>805</v>
      </c>
      <c r="AA19" s="1" t="s">
        <v>805</v>
      </c>
      <c r="AC19" s="4">
        <v>0</v>
      </c>
      <c r="AD19" s="4">
        <v>0</v>
      </c>
      <c r="AE19" s="4">
        <v>0</v>
      </c>
      <c r="AF19" s="4">
        <v>0</v>
      </c>
      <c r="AG19" s="4">
        <v>0</v>
      </c>
      <c r="AH19" s="4">
        <v>0</v>
      </c>
      <c r="AI19" s="1">
        <v>0</v>
      </c>
      <c r="AL19" s="4">
        <v>0</v>
      </c>
      <c r="AM19" s="4">
        <v>0</v>
      </c>
      <c r="AN19" s="4">
        <v>0</v>
      </c>
      <c r="AO19" s="4">
        <v>0</v>
      </c>
      <c r="AP19" s="4">
        <v>0</v>
      </c>
      <c r="AQ19" s="4">
        <v>0</v>
      </c>
      <c r="AR19" s="4">
        <v>0</v>
      </c>
      <c r="AS19" s="4">
        <v>0</v>
      </c>
      <c r="AV19" s="1">
        <v>0</v>
      </c>
      <c r="AW19" s="1">
        <v>0</v>
      </c>
      <c r="AX19" s="1">
        <v>0</v>
      </c>
      <c r="BB19" s="4">
        <v>0</v>
      </c>
      <c r="BC19" s="4">
        <v>0</v>
      </c>
      <c r="BD19" s="4">
        <v>0</v>
      </c>
      <c r="BE19" s="4">
        <v>0</v>
      </c>
      <c r="BF19" s="4">
        <v>0</v>
      </c>
      <c r="BG19" s="4">
        <v>0</v>
      </c>
      <c r="BH19" s="4">
        <v>0</v>
      </c>
      <c r="BI19" s="4">
        <v>0</v>
      </c>
      <c r="BJ19" s="4">
        <v>0</v>
      </c>
      <c r="BK19" s="4">
        <v>0</v>
      </c>
      <c r="BO19" s="4">
        <v>0</v>
      </c>
      <c r="BP19" s="4">
        <v>0</v>
      </c>
      <c r="BQ19" s="4">
        <v>0</v>
      </c>
      <c r="BR19" s="4">
        <v>0</v>
      </c>
      <c r="BS19" s="4">
        <v>0</v>
      </c>
      <c r="BT19" s="4">
        <v>0</v>
      </c>
      <c r="BU19" s="4">
        <v>0</v>
      </c>
    </row>
    <row r="20" spans="1:107" ht="15.75" customHeight="1" x14ac:dyDescent="0.25">
      <c r="A20" s="1" t="b">
        <v>1</v>
      </c>
      <c r="B20" s="3">
        <v>46158.319027777776</v>
      </c>
      <c r="C20" s="1" t="s">
        <v>383</v>
      </c>
      <c r="D20" s="1" t="s">
        <v>384</v>
      </c>
      <c r="E20" s="4">
        <v>1</v>
      </c>
      <c r="F20" s="4">
        <v>0</v>
      </c>
      <c r="G20" s="4">
        <v>30</v>
      </c>
      <c r="H20" s="4">
        <v>86</v>
      </c>
      <c r="I20" s="4">
        <v>0</v>
      </c>
      <c r="J20" s="4">
        <v>0</v>
      </c>
      <c r="K20" s="4">
        <v>0</v>
      </c>
      <c r="L20" s="4">
        <v>86</v>
      </c>
      <c r="N20" s="1" t="s">
        <v>385</v>
      </c>
      <c r="O20" s="4">
        <v>1</v>
      </c>
      <c r="P20" s="4">
        <v>1</v>
      </c>
      <c r="Q20" s="4">
        <v>0</v>
      </c>
      <c r="R20" s="4">
        <v>1</v>
      </c>
      <c r="S20" s="4">
        <v>1</v>
      </c>
      <c r="T20" s="4">
        <v>0</v>
      </c>
      <c r="V20" s="1" t="s">
        <v>24</v>
      </c>
      <c r="W20" s="1" t="s">
        <v>805</v>
      </c>
      <c r="X20" s="1" t="s">
        <v>805</v>
      </c>
      <c r="Y20" s="1" t="s">
        <v>804</v>
      </c>
      <c r="Z20" s="1" t="s">
        <v>805</v>
      </c>
      <c r="AA20" s="1" t="s">
        <v>805</v>
      </c>
      <c r="AB20" s="1" t="s">
        <v>28</v>
      </c>
      <c r="AC20" s="4">
        <v>1</v>
      </c>
      <c r="AD20" s="4">
        <v>0</v>
      </c>
      <c r="AE20" s="4">
        <v>0</v>
      </c>
      <c r="AF20" s="4">
        <v>0</v>
      </c>
      <c r="AG20" s="4">
        <v>0</v>
      </c>
      <c r="AH20" s="4">
        <v>0</v>
      </c>
      <c r="AI20" s="1">
        <v>1</v>
      </c>
      <c r="AK20" s="1" t="s">
        <v>38</v>
      </c>
      <c r="AL20" s="4">
        <v>0</v>
      </c>
      <c r="AM20" s="4">
        <v>1</v>
      </c>
      <c r="AN20" s="4">
        <v>0</v>
      </c>
      <c r="AO20" s="4">
        <v>0</v>
      </c>
      <c r="AP20" s="4">
        <v>0</v>
      </c>
      <c r="AQ20" s="4">
        <v>0</v>
      </c>
      <c r="AR20" s="4">
        <v>0</v>
      </c>
      <c r="AS20" s="4">
        <v>0</v>
      </c>
      <c r="AU20" s="1" t="s">
        <v>48</v>
      </c>
      <c r="AV20" s="1">
        <v>0</v>
      </c>
      <c r="AW20" s="1">
        <v>1</v>
      </c>
      <c r="AX20" s="1">
        <v>0</v>
      </c>
      <c r="AY20" s="1" t="s">
        <v>48</v>
      </c>
      <c r="BA20" s="1" t="s">
        <v>56</v>
      </c>
      <c r="BB20" s="4">
        <v>0</v>
      </c>
      <c r="BC20" s="4">
        <v>0</v>
      </c>
      <c r="BD20" s="4">
        <v>0</v>
      </c>
      <c r="BE20" s="4">
        <v>1</v>
      </c>
      <c r="BF20" s="4">
        <v>0</v>
      </c>
      <c r="BG20" s="4">
        <v>0</v>
      </c>
      <c r="BH20" s="4">
        <v>0</v>
      </c>
      <c r="BI20" s="4">
        <v>0</v>
      </c>
      <c r="BJ20" s="4">
        <v>0</v>
      </c>
      <c r="BK20" s="4">
        <v>1</v>
      </c>
      <c r="BM20" s="1" t="s">
        <v>232</v>
      </c>
      <c r="BN20" s="1" t="s">
        <v>386</v>
      </c>
      <c r="BO20" s="4">
        <v>0</v>
      </c>
      <c r="BP20" s="4">
        <v>1</v>
      </c>
      <c r="BQ20" s="4">
        <v>0</v>
      </c>
      <c r="BR20" s="4">
        <v>0</v>
      </c>
      <c r="BS20" s="4">
        <v>0</v>
      </c>
      <c r="BT20" s="4">
        <v>1</v>
      </c>
      <c r="BU20" s="4">
        <v>0</v>
      </c>
      <c r="BW20" s="1" t="s">
        <v>169</v>
      </c>
      <c r="CB20" s="1" t="s">
        <v>47</v>
      </c>
      <c r="CF20" s="1" t="s">
        <v>387</v>
      </c>
      <c r="CG20" s="1" t="s">
        <v>388</v>
      </c>
      <c r="CU20" s="1" t="s">
        <v>389</v>
      </c>
    </row>
    <row r="21" spans="1:107" ht="15.75" customHeight="1" x14ac:dyDescent="0.25">
      <c r="A21" s="1" t="b">
        <v>1</v>
      </c>
      <c r="B21" s="3">
        <v>46170.468182870369</v>
      </c>
      <c r="C21" s="1" t="s">
        <v>761</v>
      </c>
      <c r="D21" s="1" t="s">
        <v>4</v>
      </c>
      <c r="E21" s="4">
        <v>1</v>
      </c>
      <c r="F21" s="4">
        <v>0</v>
      </c>
      <c r="G21" s="4">
        <v>0</v>
      </c>
      <c r="H21" s="4">
        <v>0</v>
      </c>
      <c r="I21" s="4">
        <v>0</v>
      </c>
      <c r="J21" s="4">
        <v>0</v>
      </c>
      <c r="K21" s="4">
        <v>0</v>
      </c>
      <c r="L21" s="4">
        <v>1</v>
      </c>
      <c r="N21" s="1" t="s">
        <v>187</v>
      </c>
      <c r="O21" s="4">
        <v>1</v>
      </c>
      <c r="P21" s="4">
        <v>1</v>
      </c>
      <c r="Q21" s="4">
        <v>1</v>
      </c>
      <c r="R21" s="4">
        <v>1</v>
      </c>
      <c r="S21" s="4">
        <v>1</v>
      </c>
      <c r="T21" s="4">
        <v>1</v>
      </c>
      <c r="V21" s="1" t="s">
        <v>22</v>
      </c>
      <c r="W21" s="1" t="s">
        <v>804</v>
      </c>
      <c r="X21" s="1" t="s">
        <v>805</v>
      </c>
      <c r="Y21" s="1" t="s">
        <v>805</v>
      </c>
      <c r="Z21" s="1" t="s">
        <v>805</v>
      </c>
      <c r="AA21" s="1" t="s">
        <v>805</v>
      </c>
      <c r="AC21" s="4">
        <v>0</v>
      </c>
      <c r="AD21" s="4">
        <v>0</v>
      </c>
      <c r="AE21" s="4">
        <v>0</v>
      </c>
      <c r="AF21" s="4">
        <v>0</v>
      </c>
      <c r="AG21" s="4">
        <v>0</v>
      </c>
      <c r="AH21" s="4">
        <v>0</v>
      </c>
      <c r="AI21" s="1">
        <v>0</v>
      </c>
      <c r="AK21" s="1" t="s">
        <v>365</v>
      </c>
      <c r="AL21" s="4">
        <v>1</v>
      </c>
      <c r="AM21" s="4">
        <v>1</v>
      </c>
      <c r="AN21" s="4">
        <v>1</v>
      </c>
      <c r="AO21" s="4">
        <v>1</v>
      </c>
      <c r="AP21" s="4">
        <v>1</v>
      </c>
      <c r="AQ21" s="4">
        <v>1</v>
      </c>
      <c r="AR21" s="4">
        <v>1</v>
      </c>
      <c r="AS21" s="4">
        <v>1</v>
      </c>
      <c r="AU21" s="1" t="s">
        <v>47</v>
      </c>
      <c r="AV21" s="1">
        <v>1</v>
      </c>
      <c r="AW21" s="1">
        <v>0</v>
      </c>
      <c r="AX21" s="1">
        <v>0</v>
      </c>
      <c r="AY21" s="1" t="s">
        <v>48</v>
      </c>
      <c r="BA21" s="1" t="s">
        <v>762</v>
      </c>
      <c r="BB21" s="4">
        <v>0</v>
      </c>
      <c r="BC21" s="4">
        <v>0</v>
      </c>
      <c r="BD21" s="4">
        <v>1</v>
      </c>
      <c r="BE21" s="4">
        <v>1</v>
      </c>
      <c r="BF21" s="4">
        <v>1</v>
      </c>
      <c r="BG21" s="4">
        <v>1</v>
      </c>
      <c r="BH21" s="4">
        <v>0</v>
      </c>
      <c r="BI21" s="4">
        <v>0</v>
      </c>
      <c r="BJ21" s="4">
        <v>0</v>
      </c>
      <c r="BK21" s="4">
        <v>4</v>
      </c>
      <c r="BM21" s="1" t="s">
        <v>232</v>
      </c>
      <c r="BN21" s="1" t="s">
        <v>404</v>
      </c>
      <c r="BO21" s="4">
        <v>0</v>
      </c>
      <c r="BP21" s="4">
        <v>0</v>
      </c>
      <c r="BQ21" s="4">
        <v>0</v>
      </c>
      <c r="BR21" s="4">
        <v>0</v>
      </c>
      <c r="BS21" s="4">
        <v>0</v>
      </c>
      <c r="BT21" s="4">
        <v>0</v>
      </c>
      <c r="BU21" s="4">
        <v>0</v>
      </c>
      <c r="BV21" s="1" t="s">
        <v>763</v>
      </c>
      <c r="DC21" s="1" t="s">
        <v>180</v>
      </c>
    </row>
    <row r="22" spans="1:107" ht="15.75" customHeight="1" x14ac:dyDescent="0.25">
      <c r="A22" s="1" t="b">
        <v>1</v>
      </c>
      <c r="B22" s="3">
        <v>46165.311550925922</v>
      </c>
      <c r="C22" s="1" t="s">
        <v>610</v>
      </c>
      <c r="D22" s="1" t="s">
        <v>4</v>
      </c>
      <c r="E22" s="4">
        <v>1</v>
      </c>
      <c r="F22" s="4">
        <v>0</v>
      </c>
      <c r="G22" s="4">
        <v>0</v>
      </c>
      <c r="H22" s="4">
        <v>0</v>
      </c>
      <c r="I22" s="4">
        <v>0</v>
      </c>
      <c r="J22" s="4">
        <v>0</v>
      </c>
      <c r="K22" s="4">
        <v>0</v>
      </c>
      <c r="L22" s="4">
        <v>1</v>
      </c>
      <c r="N22" s="1" t="s">
        <v>316</v>
      </c>
      <c r="O22" s="4">
        <v>1</v>
      </c>
      <c r="P22" s="4">
        <v>0</v>
      </c>
      <c r="Q22" s="4">
        <v>1</v>
      </c>
      <c r="R22" s="4">
        <v>0</v>
      </c>
      <c r="S22" s="4">
        <v>0</v>
      </c>
      <c r="T22" s="4">
        <v>0</v>
      </c>
      <c r="V22" s="1" t="s">
        <v>24</v>
      </c>
      <c r="W22" s="1" t="s">
        <v>805</v>
      </c>
      <c r="X22" s="1" t="s">
        <v>805</v>
      </c>
      <c r="Y22" s="1" t="s">
        <v>804</v>
      </c>
      <c r="Z22" s="1" t="s">
        <v>805</v>
      </c>
      <c r="AA22" s="1" t="s">
        <v>805</v>
      </c>
      <c r="AB22" s="1" t="s">
        <v>31</v>
      </c>
      <c r="AC22" s="4">
        <v>0</v>
      </c>
      <c r="AD22" s="4">
        <v>0</v>
      </c>
      <c r="AE22" s="4">
        <v>0</v>
      </c>
      <c r="AF22" s="4">
        <v>1</v>
      </c>
      <c r="AG22" s="4">
        <v>0</v>
      </c>
      <c r="AH22" s="4">
        <v>0</v>
      </c>
      <c r="AI22" s="1">
        <v>1</v>
      </c>
      <c r="AK22" s="1" t="s">
        <v>611</v>
      </c>
      <c r="AL22" s="4">
        <v>0</v>
      </c>
      <c r="AM22" s="4">
        <v>1</v>
      </c>
      <c r="AN22" s="4">
        <v>1</v>
      </c>
      <c r="AO22" s="4">
        <v>1</v>
      </c>
      <c r="AP22" s="4">
        <v>1</v>
      </c>
      <c r="AQ22" s="4">
        <v>1</v>
      </c>
      <c r="AR22" s="4">
        <v>1</v>
      </c>
      <c r="AS22" s="4">
        <v>0</v>
      </c>
      <c r="AU22" s="1" t="s">
        <v>47</v>
      </c>
      <c r="AV22" s="1">
        <v>1</v>
      </c>
      <c r="AW22" s="1">
        <v>0</v>
      </c>
      <c r="AX22" s="1">
        <v>0</v>
      </c>
      <c r="AY22" s="1" t="s">
        <v>48</v>
      </c>
      <c r="BA22" s="1" t="s">
        <v>56</v>
      </c>
      <c r="BB22" s="4">
        <v>0</v>
      </c>
      <c r="BC22" s="4">
        <v>0</v>
      </c>
      <c r="BD22" s="4">
        <v>0</v>
      </c>
      <c r="BE22" s="4">
        <v>1</v>
      </c>
      <c r="BF22" s="4">
        <v>0</v>
      </c>
      <c r="BG22" s="4">
        <v>0</v>
      </c>
      <c r="BH22" s="4">
        <v>0</v>
      </c>
      <c r="BI22" s="4">
        <v>0</v>
      </c>
      <c r="BJ22" s="4">
        <v>0</v>
      </c>
      <c r="BK22" s="4">
        <v>1</v>
      </c>
      <c r="BM22" s="1" t="s">
        <v>190</v>
      </c>
      <c r="BN22" s="1" t="s">
        <v>72</v>
      </c>
      <c r="BO22" s="4">
        <v>0</v>
      </c>
      <c r="BP22" s="4">
        <v>0</v>
      </c>
      <c r="BQ22" s="4">
        <v>0</v>
      </c>
      <c r="BR22" s="4">
        <v>0</v>
      </c>
      <c r="BS22" s="4">
        <v>0</v>
      </c>
      <c r="BT22" s="4">
        <v>0</v>
      </c>
      <c r="BU22" s="4">
        <v>1</v>
      </c>
      <c r="DC22" s="1" t="s">
        <v>180</v>
      </c>
    </row>
    <row r="23" spans="1:107" ht="15.75" customHeight="1" x14ac:dyDescent="0.25">
      <c r="A23" s="1" t="b">
        <v>1</v>
      </c>
      <c r="B23" s="3">
        <v>46153.407986111109</v>
      </c>
      <c r="C23" s="1" t="s">
        <v>309</v>
      </c>
      <c r="D23" s="1" t="s">
        <v>4</v>
      </c>
      <c r="E23" s="4">
        <v>1</v>
      </c>
      <c r="F23" s="4">
        <v>0</v>
      </c>
      <c r="G23" s="4">
        <v>0</v>
      </c>
      <c r="H23" s="4">
        <v>0</v>
      </c>
      <c r="I23" s="4">
        <v>0</v>
      </c>
      <c r="J23" s="4">
        <v>0</v>
      </c>
      <c r="K23" s="4">
        <v>0</v>
      </c>
      <c r="L23" s="4">
        <v>1</v>
      </c>
      <c r="N23" s="1" t="s">
        <v>19</v>
      </c>
      <c r="O23" s="4">
        <v>0</v>
      </c>
      <c r="P23" s="4">
        <v>0</v>
      </c>
      <c r="Q23" s="4">
        <v>0</v>
      </c>
      <c r="R23" s="4">
        <v>0</v>
      </c>
      <c r="S23" s="4">
        <v>0</v>
      </c>
      <c r="T23" s="4">
        <v>1</v>
      </c>
      <c r="W23" s="1" t="s">
        <v>805</v>
      </c>
      <c r="X23" s="1" t="s">
        <v>805</v>
      </c>
      <c r="Y23" s="1" t="s">
        <v>805</v>
      </c>
      <c r="Z23" s="1" t="s">
        <v>805</v>
      </c>
      <c r="AA23" s="1" t="s">
        <v>805</v>
      </c>
      <c r="AB23" s="1" t="s">
        <v>33</v>
      </c>
      <c r="AC23" s="4">
        <v>0</v>
      </c>
      <c r="AD23" s="4">
        <v>0</v>
      </c>
      <c r="AE23" s="4">
        <v>0</v>
      </c>
      <c r="AF23" s="4">
        <v>0</v>
      </c>
      <c r="AG23" s="4">
        <v>0</v>
      </c>
      <c r="AH23" s="4">
        <v>1</v>
      </c>
      <c r="AI23" s="1">
        <v>1</v>
      </c>
      <c r="AK23" s="1" t="s">
        <v>42</v>
      </c>
      <c r="AL23" s="4">
        <v>0</v>
      </c>
      <c r="AM23" s="4">
        <v>0</v>
      </c>
      <c r="AN23" s="4">
        <v>0</v>
      </c>
      <c r="AO23" s="4">
        <v>0</v>
      </c>
      <c r="AP23" s="4">
        <v>0</v>
      </c>
      <c r="AQ23" s="4">
        <v>1</v>
      </c>
      <c r="AR23" s="4">
        <v>0</v>
      </c>
      <c r="AS23" s="4">
        <v>0</v>
      </c>
      <c r="AU23" s="1" t="s">
        <v>49</v>
      </c>
      <c r="AV23" s="1">
        <v>0</v>
      </c>
      <c r="AW23" s="1">
        <v>0</v>
      </c>
      <c r="AX23" s="1">
        <v>1</v>
      </c>
      <c r="AY23" s="1" t="s">
        <v>48</v>
      </c>
      <c r="BA23" s="1" t="s">
        <v>57</v>
      </c>
      <c r="BB23" s="4">
        <v>0</v>
      </c>
      <c r="BC23" s="4">
        <v>0</v>
      </c>
      <c r="BD23" s="4">
        <v>0</v>
      </c>
      <c r="BE23" s="4">
        <v>0</v>
      </c>
      <c r="BF23" s="4">
        <v>1</v>
      </c>
      <c r="BG23" s="4">
        <v>0</v>
      </c>
      <c r="BH23" s="4">
        <v>0</v>
      </c>
      <c r="BI23" s="4">
        <v>0</v>
      </c>
      <c r="BJ23" s="4">
        <v>0</v>
      </c>
      <c r="BK23" s="4">
        <v>1</v>
      </c>
      <c r="BM23" s="1" t="s">
        <v>166</v>
      </c>
      <c r="BN23" s="1" t="s">
        <v>66</v>
      </c>
      <c r="BO23" s="4">
        <v>1</v>
      </c>
      <c r="BP23" s="4">
        <v>0</v>
      </c>
      <c r="BQ23" s="4">
        <v>0</v>
      </c>
      <c r="BR23" s="4">
        <v>0</v>
      </c>
      <c r="BS23" s="4">
        <v>0</v>
      </c>
      <c r="BT23" s="4">
        <v>0</v>
      </c>
      <c r="BU23" s="4">
        <v>0</v>
      </c>
      <c r="DC23" s="1" t="s">
        <v>180</v>
      </c>
    </row>
    <row r="24" spans="1:107" ht="15.75" customHeight="1" x14ac:dyDescent="0.25">
      <c r="A24" s="1" t="b">
        <v>1</v>
      </c>
      <c r="B24" s="3">
        <v>46161.016493055555</v>
      </c>
      <c r="C24" s="1" t="s">
        <v>422</v>
      </c>
      <c r="D24" s="1" t="s">
        <v>4</v>
      </c>
      <c r="E24" s="4">
        <v>1</v>
      </c>
      <c r="F24" s="4">
        <v>0</v>
      </c>
      <c r="G24" s="4">
        <v>0</v>
      </c>
      <c r="H24" s="4">
        <v>0</v>
      </c>
      <c r="I24" s="4">
        <v>0</v>
      </c>
      <c r="J24" s="4">
        <v>0</v>
      </c>
      <c r="K24" s="4">
        <v>0</v>
      </c>
      <c r="L24" s="4">
        <v>1</v>
      </c>
      <c r="N24" s="1" t="s">
        <v>244</v>
      </c>
      <c r="O24" s="4">
        <v>1</v>
      </c>
      <c r="P24" s="4">
        <v>0</v>
      </c>
      <c r="Q24" s="4">
        <v>1</v>
      </c>
      <c r="R24" s="4">
        <v>1</v>
      </c>
      <c r="S24" s="4">
        <v>0</v>
      </c>
      <c r="T24" s="4">
        <v>0</v>
      </c>
      <c r="V24" s="1" t="s">
        <v>24</v>
      </c>
      <c r="W24" s="1" t="s">
        <v>805</v>
      </c>
      <c r="X24" s="1" t="s">
        <v>805</v>
      </c>
      <c r="Y24" s="1" t="s">
        <v>804</v>
      </c>
      <c r="Z24" s="1" t="s">
        <v>805</v>
      </c>
      <c r="AA24" s="1" t="s">
        <v>805</v>
      </c>
      <c r="AB24" s="1" t="s">
        <v>33</v>
      </c>
      <c r="AC24" s="4">
        <v>0</v>
      </c>
      <c r="AD24" s="4">
        <v>0</v>
      </c>
      <c r="AE24" s="4">
        <v>0</v>
      </c>
      <c r="AF24" s="4">
        <v>0</v>
      </c>
      <c r="AG24" s="4">
        <v>0</v>
      </c>
      <c r="AH24" s="4">
        <v>1</v>
      </c>
      <c r="AI24" s="1">
        <v>1</v>
      </c>
      <c r="AK24" s="1" t="s">
        <v>423</v>
      </c>
      <c r="AL24" s="4">
        <v>0</v>
      </c>
      <c r="AM24" s="4">
        <v>1</v>
      </c>
      <c r="AN24" s="4">
        <v>1</v>
      </c>
      <c r="AO24" s="4">
        <v>1</v>
      </c>
      <c r="AP24" s="4">
        <v>0</v>
      </c>
      <c r="AQ24" s="4">
        <v>1</v>
      </c>
      <c r="AR24" s="4">
        <v>0</v>
      </c>
      <c r="AS24" s="4">
        <v>0</v>
      </c>
      <c r="AU24" s="1" t="s">
        <v>47</v>
      </c>
      <c r="AV24" s="1">
        <v>1</v>
      </c>
      <c r="AW24" s="1">
        <v>0</v>
      </c>
      <c r="AX24" s="1">
        <v>0</v>
      </c>
      <c r="AY24" s="1" t="s">
        <v>47</v>
      </c>
      <c r="AZ24" s="1" t="s">
        <v>48</v>
      </c>
      <c r="BB24" s="4">
        <v>0</v>
      </c>
      <c r="BC24" s="4">
        <v>0</v>
      </c>
      <c r="BD24" s="4">
        <v>0</v>
      </c>
      <c r="BE24" s="4">
        <v>0</v>
      </c>
      <c r="BF24" s="4">
        <v>0</v>
      </c>
      <c r="BG24" s="4">
        <v>0</v>
      </c>
      <c r="BH24" s="4">
        <v>0</v>
      </c>
      <c r="BI24" s="4">
        <v>0</v>
      </c>
      <c r="BJ24" s="4">
        <v>0</v>
      </c>
      <c r="BK24" s="4">
        <v>0</v>
      </c>
      <c r="BO24" s="4">
        <v>0</v>
      </c>
      <c r="BP24" s="4">
        <v>0</v>
      </c>
      <c r="BQ24" s="4">
        <v>0</v>
      </c>
      <c r="BR24" s="4">
        <v>0</v>
      </c>
      <c r="BS24" s="4">
        <v>0</v>
      </c>
      <c r="BT24" s="4">
        <v>0</v>
      </c>
      <c r="BU24" s="4">
        <v>0</v>
      </c>
      <c r="DC24" s="1" t="s">
        <v>180</v>
      </c>
    </row>
    <row r="25" spans="1:107" ht="15.75" customHeight="1" x14ac:dyDescent="0.25">
      <c r="A25" s="1" t="b">
        <v>1</v>
      </c>
      <c r="B25" s="3">
        <v>46164.58803240741</v>
      </c>
      <c r="C25" s="1" t="s">
        <v>486</v>
      </c>
      <c r="D25" s="1" t="s">
        <v>4</v>
      </c>
      <c r="E25" s="4">
        <v>1</v>
      </c>
      <c r="F25" s="4">
        <v>0</v>
      </c>
      <c r="G25" s="4">
        <v>0</v>
      </c>
      <c r="H25" s="4">
        <v>0</v>
      </c>
      <c r="I25" s="4">
        <v>0</v>
      </c>
      <c r="J25" s="4">
        <v>0</v>
      </c>
      <c r="K25" s="4">
        <v>0</v>
      </c>
      <c r="L25" s="4">
        <v>1</v>
      </c>
      <c r="N25" s="1" t="s">
        <v>229</v>
      </c>
      <c r="O25" s="4">
        <v>1</v>
      </c>
      <c r="P25" s="4">
        <v>0</v>
      </c>
      <c r="Q25" s="4">
        <v>1</v>
      </c>
      <c r="R25" s="4">
        <v>1</v>
      </c>
      <c r="S25" s="4">
        <v>1</v>
      </c>
      <c r="T25" s="4">
        <v>0</v>
      </c>
      <c r="W25" s="1" t="s">
        <v>805</v>
      </c>
      <c r="X25" s="1" t="s">
        <v>805</v>
      </c>
      <c r="Y25" s="1" t="s">
        <v>805</v>
      </c>
      <c r="Z25" s="1" t="s">
        <v>805</v>
      </c>
      <c r="AA25" s="1" t="s">
        <v>805</v>
      </c>
      <c r="AB25" s="1" t="s">
        <v>487</v>
      </c>
      <c r="AC25" s="4">
        <v>0</v>
      </c>
      <c r="AD25" s="4">
        <v>0</v>
      </c>
      <c r="AE25" s="4">
        <v>0</v>
      </c>
      <c r="AF25" s="4">
        <v>1</v>
      </c>
      <c r="AG25" s="4">
        <v>0</v>
      </c>
      <c r="AH25" s="4">
        <v>1</v>
      </c>
      <c r="AI25" s="1">
        <v>2</v>
      </c>
      <c r="AK25" s="1" t="s">
        <v>470</v>
      </c>
      <c r="AL25" s="4">
        <v>0</v>
      </c>
      <c r="AM25" s="4">
        <v>1</v>
      </c>
      <c r="AN25" s="4">
        <v>0</v>
      </c>
      <c r="AO25" s="4">
        <v>1</v>
      </c>
      <c r="AP25" s="4">
        <v>0</v>
      </c>
      <c r="AQ25" s="4">
        <v>1</v>
      </c>
      <c r="AR25" s="4">
        <v>0</v>
      </c>
      <c r="AS25" s="4">
        <v>0</v>
      </c>
      <c r="AU25" s="1" t="s">
        <v>47</v>
      </c>
      <c r="AV25" s="1">
        <v>1</v>
      </c>
      <c r="AW25" s="1">
        <v>0</v>
      </c>
      <c r="AX25" s="1">
        <v>0</v>
      </c>
      <c r="AY25" s="1" t="s">
        <v>48</v>
      </c>
      <c r="BA25" s="1" t="s">
        <v>57</v>
      </c>
      <c r="BB25" s="4">
        <v>0</v>
      </c>
      <c r="BC25" s="4">
        <v>0</v>
      </c>
      <c r="BD25" s="4">
        <v>0</v>
      </c>
      <c r="BE25" s="4">
        <v>0</v>
      </c>
      <c r="BF25" s="4">
        <v>1</v>
      </c>
      <c r="BG25" s="4">
        <v>0</v>
      </c>
      <c r="BH25" s="4">
        <v>0</v>
      </c>
      <c r="BI25" s="4">
        <v>0</v>
      </c>
      <c r="BJ25" s="4">
        <v>0</v>
      </c>
      <c r="BK25" s="4">
        <v>1</v>
      </c>
      <c r="BM25" s="1" t="s">
        <v>218</v>
      </c>
      <c r="BN25" s="1" t="s">
        <v>340</v>
      </c>
      <c r="BO25" s="4">
        <v>1</v>
      </c>
      <c r="BP25" s="4">
        <v>1</v>
      </c>
      <c r="BQ25" s="4">
        <v>0</v>
      </c>
      <c r="BR25" s="4">
        <v>0</v>
      </c>
      <c r="BS25" s="4">
        <v>0</v>
      </c>
      <c r="BT25" s="4">
        <v>0</v>
      </c>
      <c r="BU25" s="4">
        <v>0</v>
      </c>
      <c r="DC25" s="1" t="s">
        <v>238</v>
      </c>
    </row>
    <row r="26" spans="1:107" ht="15.75" customHeight="1" x14ac:dyDescent="0.25">
      <c r="A26" s="1" t="b">
        <v>1</v>
      </c>
      <c r="B26" s="3">
        <v>46168.681400462963</v>
      </c>
      <c r="C26" s="1" t="s">
        <v>721</v>
      </c>
      <c r="D26" s="1" t="s">
        <v>4</v>
      </c>
      <c r="E26" s="4">
        <v>1</v>
      </c>
      <c r="F26" s="4">
        <v>0</v>
      </c>
      <c r="G26" s="4">
        <v>0</v>
      </c>
      <c r="H26" s="4">
        <v>0</v>
      </c>
      <c r="I26" s="4">
        <v>0</v>
      </c>
      <c r="J26" s="4">
        <v>0</v>
      </c>
      <c r="K26" s="4">
        <v>0</v>
      </c>
      <c r="L26" s="4">
        <v>1</v>
      </c>
      <c r="N26" s="1" t="s">
        <v>294</v>
      </c>
      <c r="O26" s="4">
        <v>1</v>
      </c>
      <c r="P26" s="4">
        <v>1</v>
      </c>
      <c r="Q26" s="4">
        <v>0</v>
      </c>
      <c r="R26" s="4">
        <v>0</v>
      </c>
      <c r="S26" s="4">
        <v>0</v>
      </c>
      <c r="T26" s="4">
        <v>0</v>
      </c>
      <c r="W26" s="1" t="s">
        <v>805</v>
      </c>
      <c r="X26" s="1" t="s">
        <v>805</v>
      </c>
      <c r="Y26" s="1" t="s">
        <v>805</v>
      </c>
      <c r="Z26" s="1" t="s">
        <v>805</v>
      </c>
      <c r="AA26" s="1" t="s">
        <v>805</v>
      </c>
      <c r="AB26" s="1" t="s">
        <v>311</v>
      </c>
      <c r="AC26" s="4">
        <v>1</v>
      </c>
      <c r="AD26" s="4">
        <v>0</v>
      </c>
      <c r="AE26" s="4">
        <v>0</v>
      </c>
      <c r="AF26" s="4">
        <v>0</v>
      </c>
      <c r="AG26" s="4">
        <v>0</v>
      </c>
      <c r="AH26" s="4">
        <v>0</v>
      </c>
      <c r="AI26" s="1">
        <v>1</v>
      </c>
      <c r="AJ26" s="1" t="s">
        <v>722</v>
      </c>
      <c r="AK26" s="1" t="s">
        <v>252</v>
      </c>
      <c r="AL26" s="4">
        <v>0</v>
      </c>
      <c r="AM26" s="4">
        <v>1</v>
      </c>
      <c r="AN26" s="4">
        <v>1</v>
      </c>
      <c r="AO26" s="4">
        <v>0</v>
      </c>
      <c r="AP26" s="4">
        <v>0</v>
      </c>
      <c r="AQ26" s="4">
        <v>1</v>
      </c>
      <c r="AR26" s="4">
        <v>0</v>
      </c>
      <c r="AS26" s="4">
        <v>0</v>
      </c>
      <c r="AU26" s="1" t="s">
        <v>47</v>
      </c>
      <c r="AV26" s="1">
        <v>1</v>
      </c>
      <c r="AW26" s="1">
        <v>0</v>
      </c>
      <c r="AX26" s="1">
        <v>0</v>
      </c>
      <c r="AY26" s="1" t="s">
        <v>47</v>
      </c>
      <c r="AZ26" s="1" t="s">
        <v>48</v>
      </c>
      <c r="BA26" s="1" t="s">
        <v>723</v>
      </c>
      <c r="BB26" s="4">
        <v>0</v>
      </c>
      <c r="BC26" s="4">
        <v>0</v>
      </c>
      <c r="BD26" s="4">
        <v>0</v>
      </c>
      <c r="BE26" s="4">
        <v>0</v>
      </c>
      <c r="BF26" s="4">
        <v>1</v>
      </c>
      <c r="BG26" s="4">
        <v>1</v>
      </c>
      <c r="BH26" s="4">
        <v>0</v>
      </c>
      <c r="BI26" s="4">
        <v>0</v>
      </c>
      <c r="BJ26" s="4">
        <v>0</v>
      </c>
      <c r="BK26" s="4">
        <v>2</v>
      </c>
      <c r="BO26" s="4">
        <v>0</v>
      </c>
      <c r="BP26" s="4">
        <v>0</v>
      </c>
      <c r="BQ26" s="4">
        <v>0</v>
      </c>
      <c r="BR26" s="4">
        <v>0</v>
      </c>
      <c r="BS26" s="4">
        <v>0</v>
      </c>
      <c r="BT26" s="4">
        <v>0</v>
      </c>
      <c r="BU26" s="4">
        <v>0</v>
      </c>
      <c r="DC26" s="1" t="s">
        <v>238</v>
      </c>
    </row>
    <row r="27" spans="1:107" ht="15.75" customHeight="1" x14ac:dyDescent="0.25">
      <c r="A27" s="1" t="b">
        <v>1</v>
      </c>
      <c r="B27" s="3">
        <v>46152.556076388886</v>
      </c>
      <c r="C27" s="1" t="s">
        <v>293</v>
      </c>
      <c r="D27" s="1" t="s">
        <v>4</v>
      </c>
      <c r="E27" s="4">
        <v>1</v>
      </c>
      <c r="F27" s="4">
        <v>0</v>
      </c>
      <c r="G27" s="4">
        <v>0</v>
      </c>
      <c r="H27" s="4">
        <v>0</v>
      </c>
      <c r="I27" s="4">
        <v>0</v>
      </c>
      <c r="J27" s="4">
        <v>0</v>
      </c>
      <c r="K27" s="4">
        <v>0</v>
      </c>
      <c r="L27" s="4">
        <v>1</v>
      </c>
      <c r="N27" s="1" t="s">
        <v>294</v>
      </c>
      <c r="O27" s="4">
        <v>1</v>
      </c>
      <c r="P27" s="4">
        <v>1</v>
      </c>
      <c r="Q27" s="4">
        <v>0</v>
      </c>
      <c r="R27" s="4">
        <v>0</v>
      </c>
      <c r="S27" s="4">
        <v>0</v>
      </c>
      <c r="T27" s="4">
        <v>0</v>
      </c>
      <c r="V27" s="1" t="s">
        <v>22</v>
      </c>
      <c r="W27" s="1" t="s">
        <v>804</v>
      </c>
      <c r="X27" s="1" t="s">
        <v>805</v>
      </c>
      <c r="Y27" s="1" t="s">
        <v>805</v>
      </c>
      <c r="Z27" s="1" t="s">
        <v>805</v>
      </c>
      <c r="AA27" s="1" t="s">
        <v>805</v>
      </c>
      <c r="AB27" s="1" t="s">
        <v>29</v>
      </c>
      <c r="AC27" s="4">
        <v>0</v>
      </c>
      <c r="AD27" s="4">
        <v>1</v>
      </c>
      <c r="AE27" s="4">
        <v>0</v>
      </c>
      <c r="AF27" s="4">
        <v>0</v>
      </c>
      <c r="AG27" s="4">
        <v>0</v>
      </c>
      <c r="AH27" s="4">
        <v>0</v>
      </c>
      <c r="AI27" s="1">
        <v>1</v>
      </c>
      <c r="AK27" s="1" t="s">
        <v>44</v>
      </c>
      <c r="AL27" s="4">
        <v>0</v>
      </c>
      <c r="AM27" s="4">
        <v>0</v>
      </c>
      <c r="AN27" s="4">
        <v>0</v>
      </c>
      <c r="AO27" s="4">
        <v>0</v>
      </c>
      <c r="AP27" s="4">
        <v>0</v>
      </c>
      <c r="AQ27" s="4">
        <v>0</v>
      </c>
      <c r="AR27" s="4">
        <v>0</v>
      </c>
      <c r="AS27" s="4">
        <v>1</v>
      </c>
      <c r="AU27" s="1" t="s">
        <v>47</v>
      </c>
      <c r="AV27" s="1">
        <v>1</v>
      </c>
      <c r="AW27" s="1">
        <v>0</v>
      </c>
      <c r="AX27" s="1">
        <v>0</v>
      </c>
      <c r="AY27" s="1" t="s">
        <v>47</v>
      </c>
      <c r="AZ27" s="1" t="s">
        <v>47</v>
      </c>
      <c r="BA27" s="1" t="s">
        <v>54</v>
      </c>
      <c r="BB27" s="4">
        <v>0</v>
      </c>
      <c r="BC27" s="4">
        <v>1</v>
      </c>
      <c r="BD27" s="4">
        <v>0</v>
      </c>
      <c r="BE27" s="4">
        <v>0</v>
      </c>
      <c r="BF27" s="4">
        <v>0</v>
      </c>
      <c r="BG27" s="4">
        <v>0</v>
      </c>
      <c r="BH27" s="4">
        <v>0</v>
      </c>
      <c r="BI27" s="4">
        <v>0</v>
      </c>
      <c r="BJ27" s="4">
        <v>0</v>
      </c>
      <c r="BK27" s="4">
        <v>1</v>
      </c>
      <c r="BO27" s="4">
        <v>0</v>
      </c>
      <c r="BP27" s="4">
        <v>0</v>
      </c>
      <c r="BQ27" s="4">
        <v>0</v>
      </c>
      <c r="BR27" s="4">
        <v>0</v>
      </c>
      <c r="BS27" s="4">
        <v>0</v>
      </c>
      <c r="BT27" s="4">
        <v>0</v>
      </c>
      <c r="BU27" s="4">
        <v>0</v>
      </c>
      <c r="DC27" s="1" t="s">
        <v>180</v>
      </c>
    </row>
    <row r="28" spans="1:107" ht="15.75" customHeight="1" x14ac:dyDescent="0.25">
      <c r="A28" s="1" t="b">
        <v>0</v>
      </c>
      <c r="B28" s="3">
        <v>46169.651643518519</v>
      </c>
      <c r="C28" s="1" t="s">
        <v>750</v>
      </c>
      <c r="D28" s="1" t="s">
        <v>751</v>
      </c>
      <c r="E28" s="4">
        <v>1</v>
      </c>
      <c r="F28" s="4">
        <v>0</v>
      </c>
      <c r="G28" s="4">
        <v>0</v>
      </c>
      <c r="H28" s="4">
        <v>30</v>
      </c>
      <c r="I28" s="4">
        <v>0</v>
      </c>
      <c r="J28" s="4">
        <v>0</v>
      </c>
      <c r="K28" s="4">
        <v>0</v>
      </c>
      <c r="L28" s="4">
        <v>30</v>
      </c>
      <c r="N28" s="1" t="s">
        <v>323</v>
      </c>
      <c r="O28" s="4">
        <v>1</v>
      </c>
      <c r="P28" s="4">
        <v>1</v>
      </c>
      <c r="Q28" s="4">
        <v>1</v>
      </c>
      <c r="R28" s="4">
        <v>1</v>
      </c>
      <c r="S28" s="4">
        <v>0</v>
      </c>
      <c r="T28" s="4">
        <v>1</v>
      </c>
      <c r="W28" s="1" t="s">
        <v>805</v>
      </c>
      <c r="X28" s="1" t="s">
        <v>805</v>
      </c>
      <c r="Y28" s="1" t="s">
        <v>805</v>
      </c>
      <c r="Z28" s="1" t="s">
        <v>805</v>
      </c>
      <c r="AA28" s="1" t="s">
        <v>805</v>
      </c>
      <c r="AC28" s="4">
        <v>0</v>
      </c>
      <c r="AD28" s="4">
        <v>0</v>
      </c>
      <c r="AE28" s="4">
        <v>0</v>
      </c>
      <c r="AF28" s="4">
        <v>0</v>
      </c>
      <c r="AG28" s="4">
        <v>0</v>
      </c>
      <c r="AH28" s="4">
        <v>0</v>
      </c>
      <c r="AI28" s="1">
        <v>0</v>
      </c>
      <c r="AL28" s="4">
        <v>0</v>
      </c>
      <c r="AM28" s="4">
        <v>0</v>
      </c>
      <c r="AN28" s="4">
        <v>0</v>
      </c>
      <c r="AO28" s="4">
        <v>0</v>
      </c>
      <c r="AP28" s="4">
        <v>0</v>
      </c>
      <c r="AQ28" s="4">
        <v>0</v>
      </c>
      <c r="AR28" s="4">
        <v>0</v>
      </c>
      <c r="AS28" s="4">
        <v>0</v>
      </c>
      <c r="AV28" s="1">
        <v>0</v>
      </c>
      <c r="AW28" s="1">
        <v>0</v>
      </c>
      <c r="AX28" s="1">
        <v>0</v>
      </c>
      <c r="BB28" s="4">
        <v>0</v>
      </c>
      <c r="BC28" s="4">
        <v>0</v>
      </c>
      <c r="BD28" s="4">
        <v>0</v>
      </c>
      <c r="BE28" s="4">
        <v>0</v>
      </c>
      <c r="BF28" s="4">
        <v>0</v>
      </c>
      <c r="BG28" s="4">
        <v>0</v>
      </c>
      <c r="BH28" s="4">
        <v>0</v>
      </c>
      <c r="BI28" s="4">
        <v>0</v>
      </c>
      <c r="BJ28" s="4">
        <v>0</v>
      </c>
      <c r="BK28" s="4">
        <v>0</v>
      </c>
      <c r="BO28" s="4">
        <v>0</v>
      </c>
      <c r="BP28" s="4">
        <v>0</v>
      </c>
      <c r="BQ28" s="4">
        <v>0</v>
      </c>
      <c r="BR28" s="4">
        <v>0</v>
      </c>
      <c r="BS28" s="4">
        <v>0</v>
      </c>
      <c r="BT28" s="4">
        <v>0</v>
      </c>
      <c r="BU28" s="4">
        <v>0</v>
      </c>
    </row>
    <row r="29" spans="1:107" ht="15.75" customHeight="1" x14ac:dyDescent="0.25">
      <c r="A29" s="1" t="b">
        <v>0</v>
      </c>
      <c r="B29" s="3">
        <v>46170.276365740741</v>
      </c>
      <c r="C29" s="1" t="s">
        <v>757</v>
      </c>
      <c r="D29" s="1" t="s">
        <v>338</v>
      </c>
      <c r="E29" s="4">
        <v>1</v>
      </c>
      <c r="F29" s="4">
        <v>0</v>
      </c>
      <c r="G29" s="4">
        <v>0</v>
      </c>
      <c r="H29" s="4">
        <v>0</v>
      </c>
      <c r="I29" s="4">
        <v>30</v>
      </c>
      <c r="J29" s="4">
        <v>0</v>
      </c>
      <c r="K29" s="4">
        <v>0</v>
      </c>
      <c r="L29" s="4">
        <v>30</v>
      </c>
      <c r="N29" s="1" t="s">
        <v>244</v>
      </c>
      <c r="O29" s="4">
        <v>1</v>
      </c>
      <c r="P29" s="4">
        <v>0</v>
      </c>
      <c r="Q29" s="4">
        <v>1</v>
      </c>
      <c r="R29" s="4">
        <v>1</v>
      </c>
      <c r="S29" s="4">
        <v>0</v>
      </c>
      <c r="T29" s="4">
        <v>0</v>
      </c>
      <c r="W29" s="1" t="s">
        <v>805</v>
      </c>
      <c r="X29" s="1" t="s">
        <v>805</v>
      </c>
      <c r="Y29" s="1" t="s">
        <v>805</v>
      </c>
      <c r="Z29" s="1" t="s">
        <v>805</v>
      </c>
      <c r="AA29" s="1" t="s">
        <v>805</v>
      </c>
      <c r="AC29" s="4">
        <v>0</v>
      </c>
      <c r="AD29" s="4">
        <v>0</v>
      </c>
      <c r="AE29" s="4">
        <v>0</v>
      </c>
      <c r="AF29" s="4">
        <v>0</v>
      </c>
      <c r="AG29" s="4">
        <v>0</v>
      </c>
      <c r="AH29" s="4">
        <v>0</v>
      </c>
      <c r="AI29" s="1">
        <v>0</v>
      </c>
      <c r="AL29" s="4">
        <v>0</v>
      </c>
      <c r="AM29" s="4">
        <v>0</v>
      </c>
      <c r="AN29" s="4">
        <v>0</v>
      </c>
      <c r="AO29" s="4">
        <v>0</v>
      </c>
      <c r="AP29" s="4">
        <v>0</v>
      </c>
      <c r="AQ29" s="4">
        <v>0</v>
      </c>
      <c r="AR29" s="4">
        <v>0</v>
      </c>
      <c r="AS29" s="4">
        <v>0</v>
      </c>
      <c r="AV29" s="1">
        <v>0</v>
      </c>
      <c r="AW29" s="1">
        <v>0</v>
      </c>
      <c r="AX29" s="1">
        <v>0</v>
      </c>
      <c r="BB29" s="4">
        <v>0</v>
      </c>
      <c r="BC29" s="4">
        <v>0</v>
      </c>
      <c r="BD29" s="4">
        <v>0</v>
      </c>
      <c r="BE29" s="4">
        <v>0</v>
      </c>
      <c r="BF29" s="4">
        <v>0</v>
      </c>
      <c r="BG29" s="4">
        <v>0</v>
      </c>
      <c r="BH29" s="4">
        <v>0</v>
      </c>
      <c r="BI29" s="4">
        <v>0</v>
      </c>
      <c r="BJ29" s="4">
        <v>0</v>
      </c>
      <c r="BK29" s="4">
        <v>0</v>
      </c>
      <c r="BO29" s="4">
        <v>0</v>
      </c>
      <c r="BP29" s="4">
        <v>0</v>
      </c>
      <c r="BQ29" s="4">
        <v>0</v>
      </c>
      <c r="BR29" s="4">
        <v>0</v>
      </c>
      <c r="BS29" s="4">
        <v>0</v>
      </c>
      <c r="BT29" s="4">
        <v>0</v>
      </c>
      <c r="BU29" s="4">
        <v>0</v>
      </c>
    </row>
    <row r="30" spans="1:107" ht="15.75" customHeight="1" x14ac:dyDescent="0.25">
      <c r="A30" s="1" t="b">
        <v>1</v>
      </c>
      <c r="B30" s="3">
        <v>46164.596678240741</v>
      </c>
      <c r="C30" s="1" t="s">
        <v>503</v>
      </c>
      <c r="D30" s="1" t="s">
        <v>183</v>
      </c>
      <c r="E30" s="4">
        <v>0</v>
      </c>
      <c r="F30" s="4">
        <v>0</v>
      </c>
      <c r="G30" s="4">
        <v>0</v>
      </c>
      <c r="H30" s="4">
        <v>0</v>
      </c>
      <c r="I30" s="4">
        <v>0</v>
      </c>
      <c r="J30" s="4">
        <v>0</v>
      </c>
      <c r="K30" s="4">
        <v>0</v>
      </c>
      <c r="L30" s="4">
        <v>0</v>
      </c>
      <c r="M30" s="1" t="s">
        <v>504</v>
      </c>
      <c r="N30" s="1" t="s">
        <v>505</v>
      </c>
      <c r="O30" s="4">
        <v>1</v>
      </c>
      <c r="P30" s="4">
        <v>1</v>
      </c>
      <c r="Q30" s="4">
        <v>0</v>
      </c>
      <c r="R30" s="4">
        <v>1</v>
      </c>
      <c r="S30" s="4">
        <v>1</v>
      </c>
      <c r="T30" s="4">
        <v>1</v>
      </c>
      <c r="V30" s="1" t="s">
        <v>24</v>
      </c>
      <c r="W30" s="1" t="s">
        <v>805</v>
      </c>
      <c r="X30" s="1" t="s">
        <v>805</v>
      </c>
      <c r="Y30" s="1" t="s">
        <v>804</v>
      </c>
      <c r="Z30" s="1" t="s">
        <v>805</v>
      </c>
      <c r="AA30" s="1" t="s">
        <v>805</v>
      </c>
      <c r="AB30" s="1" t="s">
        <v>487</v>
      </c>
      <c r="AC30" s="4">
        <v>0</v>
      </c>
      <c r="AD30" s="4">
        <v>0</v>
      </c>
      <c r="AE30" s="4">
        <v>0</v>
      </c>
      <c r="AF30" s="4">
        <v>1</v>
      </c>
      <c r="AG30" s="4">
        <v>0</v>
      </c>
      <c r="AH30" s="4">
        <v>1</v>
      </c>
      <c r="AI30" s="1">
        <v>2</v>
      </c>
      <c r="AK30" s="1" t="s">
        <v>506</v>
      </c>
      <c r="AL30" s="4">
        <v>1</v>
      </c>
      <c r="AM30" s="4">
        <v>1</v>
      </c>
      <c r="AN30" s="4">
        <v>0</v>
      </c>
      <c r="AO30" s="4">
        <v>0</v>
      </c>
      <c r="AP30" s="4">
        <v>0</v>
      </c>
      <c r="AQ30" s="4">
        <v>0</v>
      </c>
      <c r="AR30" s="4">
        <v>0</v>
      </c>
      <c r="AS30" s="4">
        <v>0</v>
      </c>
      <c r="AU30" s="1" t="s">
        <v>47</v>
      </c>
      <c r="AV30" s="1">
        <v>1</v>
      </c>
      <c r="AW30" s="1">
        <v>0</v>
      </c>
      <c r="AX30" s="1">
        <v>0</v>
      </c>
      <c r="AY30" s="1" t="s">
        <v>48</v>
      </c>
      <c r="BA30" s="1" t="s">
        <v>507</v>
      </c>
      <c r="BB30" s="4">
        <v>0</v>
      </c>
      <c r="BC30" s="4">
        <v>0</v>
      </c>
      <c r="BD30" s="4">
        <v>1</v>
      </c>
      <c r="BE30" s="4">
        <v>1</v>
      </c>
      <c r="BF30" s="4">
        <v>1</v>
      </c>
      <c r="BG30" s="4">
        <v>0</v>
      </c>
      <c r="BH30" s="4">
        <v>1</v>
      </c>
      <c r="BI30" s="4">
        <v>1</v>
      </c>
      <c r="BJ30" s="4">
        <v>0</v>
      </c>
      <c r="BK30" s="4">
        <v>5</v>
      </c>
      <c r="BM30" s="1" t="s">
        <v>190</v>
      </c>
      <c r="BN30" s="1" t="s">
        <v>72</v>
      </c>
      <c r="BO30" s="4">
        <v>0</v>
      </c>
      <c r="BP30" s="4">
        <v>0</v>
      </c>
      <c r="BQ30" s="4">
        <v>0</v>
      </c>
      <c r="BR30" s="4">
        <v>0</v>
      </c>
      <c r="BS30" s="4">
        <v>0</v>
      </c>
      <c r="BT30" s="4">
        <v>0</v>
      </c>
      <c r="BU30" s="4">
        <v>1</v>
      </c>
      <c r="DC30" s="1" t="s">
        <v>238</v>
      </c>
    </row>
    <row r="31" spans="1:107" ht="15.75" customHeight="1" x14ac:dyDescent="0.25">
      <c r="A31" s="1" t="b">
        <v>1</v>
      </c>
      <c r="B31" s="3">
        <v>46150.921782407408</v>
      </c>
      <c r="C31" s="1" t="s">
        <v>216</v>
      </c>
      <c r="D31" s="1" t="s">
        <v>10</v>
      </c>
      <c r="E31" s="4">
        <v>0</v>
      </c>
      <c r="F31" s="4">
        <v>0</v>
      </c>
      <c r="G31" s="4">
        <v>0</v>
      </c>
      <c r="H31" s="4">
        <v>0</v>
      </c>
      <c r="I31" s="4">
        <v>0</v>
      </c>
      <c r="J31" s="4">
        <v>0</v>
      </c>
      <c r="K31" s="4">
        <v>1</v>
      </c>
      <c r="L31" s="4">
        <v>1</v>
      </c>
      <c r="N31" s="1" t="s">
        <v>14</v>
      </c>
      <c r="O31" s="4">
        <v>1</v>
      </c>
      <c r="P31" s="4">
        <v>0</v>
      </c>
      <c r="Q31" s="4">
        <v>0</v>
      </c>
      <c r="R31" s="4">
        <v>0</v>
      </c>
      <c r="S31" s="4">
        <v>0</v>
      </c>
      <c r="T31" s="4">
        <v>0</v>
      </c>
      <c r="V31" s="1" t="s">
        <v>25</v>
      </c>
      <c r="W31" s="1" t="s">
        <v>805</v>
      </c>
      <c r="X31" s="1" t="s">
        <v>805</v>
      </c>
      <c r="Y31" s="1" t="s">
        <v>805</v>
      </c>
      <c r="Z31" s="1" t="s">
        <v>804</v>
      </c>
      <c r="AA31" s="1" t="s">
        <v>805</v>
      </c>
      <c r="AB31" s="1" t="s">
        <v>28</v>
      </c>
      <c r="AC31" s="4">
        <v>1</v>
      </c>
      <c r="AD31" s="4">
        <v>0</v>
      </c>
      <c r="AE31" s="4">
        <v>0</v>
      </c>
      <c r="AF31" s="4">
        <v>0</v>
      </c>
      <c r="AG31" s="4">
        <v>0</v>
      </c>
      <c r="AH31" s="4">
        <v>0</v>
      </c>
      <c r="AI31" s="1">
        <v>1</v>
      </c>
      <c r="AK31" s="1" t="s">
        <v>38</v>
      </c>
      <c r="AL31" s="4">
        <v>0</v>
      </c>
      <c r="AM31" s="4">
        <v>1</v>
      </c>
      <c r="AN31" s="4">
        <v>0</v>
      </c>
      <c r="AO31" s="4">
        <v>0</v>
      </c>
      <c r="AP31" s="4">
        <v>0</v>
      </c>
      <c r="AQ31" s="4">
        <v>0</v>
      </c>
      <c r="AR31" s="4">
        <v>0</v>
      </c>
      <c r="AS31" s="4">
        <v>0</v>
      </c>
      <c r="AU31" s="1" t="s">
        <v>48</v>
      </c>
      <c r="AV31" s="1">
        <v>0</v>
      </c>
      <c r="AW31" s="1">
        <v>1</v>
      </c>
      <c r="AX31" s="1">
        <v>0</v>
      </c>
      <c r="AY31" s="1" t="s">
        <v>48</v>
      </c>
      <c r="BA31" s="1" t="s">
        <v>217</v>
      </c>
      <c r="BB31" s="4">
        <v>0</v>
      </c>
      <c r="BC31" s="4">
        <v>0</v>
      </c>
      <c r="BD31" s="4">
        <v>0</v>
      </c>
      <c r="BE31" s="4">
        <v>0</v>
      </c>
      <c r="BF31" s="4">
        <v>0</v>
      </c>
      <c r="BG31" s="4">
        <v>0</v>
      </c>
      <c r="BH31" s="4">
        <v>1</v>
      </c>
      <c r="BI31" s="4">
        <v>1</v>
      </c>
      <c r="BJ31" s="4">
        <v>0</v>
      </c>
      <c r="BK31" s="4">
        <v>2</v>
      </c>
      <c r="BM31" s="1" t="s">
        <v>218</v>
      </c>
      <c r="BN31" s="1" t="s">
        <v>219</v>
      </c>
      <c r="BO31" s="4">
        <v>1</v>
      </c>
      <c r="BP31" s="4">
        <v>0</v>
      </c>
      <c r="BQ31" s="4">
        <v>0</v>
      </c>
      <c r="BR31" s="4">
        <v>0</v>
      </c>
      <c r="BS31" s="4">
        <v>0</v>
      </c>
      <c r="BT31" s="4">
        <v>1</v>
      </c>
      <c r="BU31" s="4">
        <v>0</v>
      </c>
      <c r="BW31" s="1" t="s">
        <v>220</v>
      </c>
      <c r="CM31" s="1" t="s">
        <v>47</v>
      </c>
      <c r="CQ31" s="1" t="s">
        <v>47</v>
      </c>
      <c r="DC31" s="1" t="s">
        <v>180</v>
      </c>
    </row>
    <row r="33" spans="65:68" x14ac:dyDescent="0.25">
      <c r="BM33" t="s">
        <v>812</v>
      </c>
    </row>
    <row r="34" spans="65:68" x14ac:dyDescent="0.25">
      <c r="BM34" t="s">
        <v>808</v>
      </c>
      <c r="BN34" t="s">
        <v>809</v>
      </c>
      <c r="BO34" t="s">
        <v>810</v>
      </c>
      <c r="BP34" t="s">
        <v>811</v>
      </c>
    </row>
    <row r="35" spans="65:68" x14ac:dyDescent="0.25">
      <c r="BM35">
        <v>4</v>
      </c>
      <c r="BN35">
        <v>6</v>
      </c>
      <c r="BO35">
        <v>4</v>
      </c>
      <c r="BP35">
        <v>4</v>
      </c>
    </row>
  </sheetData>
  <conditionalFormatting sqref="A3:A31">
    <cfRule type="cellIs" dxfId="3" priority="1" operator="equal">
      <formula>"FALSE"</formula>
    </cfRule>
    <cfRule type="expression" dxfId="2" priority="2">
      <formula>D1:D146="Game Enthusiast or Collector"</formula>
    </cfRule>
  </conditionalFormatting>
  <conditionalFormatting sqref="W3:AA31">
    <cfRule type="cellIs" dxfId="1" priority="3" operator="equal">
      <formula>"False"</formula>
    </cfRule>
    <cfRule type="cellIs" dxfId="0" priority="4" operator="equal">
      <formula>"True"</formula>
    </cfRule>
  </conditionalFormatting>
  <pageMargins left="0.7" right="0.7" top="0.75" bottom="0.75" header="0.3" footer="0.3"/>
  <pageSetup paperSize="256" orientation="portrait" horizontalDpi="203" verticalDpi="20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Main Sheet (deleted extras)</vt:lpstr>
      <vt:lpstr>Indie Historians</vt:lpstr>
      <vt:lpstr>Profesh Historians</vt:lpstr>
      <vt:lpstr>Profesh Devs</vt:lpstr>
      <vt:lpstr>Indie Devs</vt:lpstr>
      <vt:lpstr>EducatorsStudents</vt:lpstr>
      <vt:lpstr>LAMs</vt:lpstr>
      <vt:lpstr>Enthusies</vt:lpstr>
      <vt:lpstr>Junked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Solon Scott</cp:lastModifiedBy>
  <dcterms:modified xsi:type="dcterms:W3CDTF">2026-06-20T07:04:38Z</dcterms:modified>
</cp:coreProperties>
</file>