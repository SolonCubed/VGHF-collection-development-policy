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lon\Downloads\"/>
    </mc:Choice>
  </mc:AlternateContent>
  <xr:revisionPtr revIDLastSave="0" documentId="13_ncr:1_{C82C831F-DDCB-4E08-BF46-2332903B7617}" xr6:coauthVersionLast="47" xr6:coauthVersionMax="47" xr10:uidLastSave="{00000000-0000-0000-0000-000000000000}"/>
  <bookViews>
    <workbookView xWindow="-108" yWindow="-108" windowWidth="23256" windowHeight="13176" xr2:uid="{00000000-000D-0000-FFFF-FFFF00000000}"/>
  </bookViews>
  <sheets>
    <sheet name="The Video Game History Foundati" sheetId="1" r:id="rId1"/>
    <sheet name="Unaffiliated (Collectors Onl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144" i="1" l="1"/>
  <c r="BT144" i="1"/>
  <c r="BS144" i="1"/>
  <c r="BR144" i="1"/>
  <c r="BQ144" i="1"/>
  <c r="BP144" i="1"/>
  <c r="BO144" i="1"/>
  <c r="BU143" i="1"/>
  <c r="BT143" i="1"/>
  <c r="BS143" i="1"/>
  <c r="BR143" i="1"/>
  <c r="BQ143" i="1"/>
  <c r="BP143" i="1"/>
  <c r="BO143" i="1"/>
  <c r="BU142" i="1"/>
  <c r="BT142" i="1"/>
  <c r="BS142" i="1"/>
  <c r="BR142" i="1"/>
  <c r="BQ142" i="1"/>
  <c r="BP142" i="1"/>
  <c r="BO142" i="1"/>
  <c r="BU141" i="1"/>
  <c r="BT141" i="1"/>
  <c r="BS141" i="1"/>
  <c r="BR141" i="1"/>
  <c r="BQ141" i="1"/>
  <c r="BP141" i="1"/>
  <c r="BO141" i="1"/>
  <c r="BU140" i="1"/>
  <c r="BT140" i="1"/>
  <c r="BS140" i="1"/>
  <c r="BR140" i="1"/>
  <c r="BQ140" i="1"/>
  <c r="BP140" i="1"/>
  <c r="BO140" i="1"/>
  <c r="BU139" i="1"/>
  <c r="BT139" i="1"/>
  <c r="BS139" i="1"/>
  <c r="BR139" i="1"/>
  <c r="BQ139" i="1"/>
  <c r="BP139" i="1"/>
  <c r="BO139" i="1"/>
  <c r="BU138" i="1"/>
  <c r="BT138" i="1"/>
  <c r="BS138" i="1"/>
  <c r="BR138" i="1"/>
  <c r="BQ138" i="1"/>
  <c r="BP138" i="1"/>
  <c r="BO138" i="1"/>
  <c r="BU137" i="1"/>
  <c r="BT137" i="1"/>
  <c r="BS137" i="1"/>
  <c r="BR137" i="1"/>
  <c r="BQ137" i="1"/>
  <c r="BP137" i="1"/>
  <c r="BO137" i="1"/>
  <c r="BU136" i="1"/>
  <c r="BT136" i="1"/>
  <c r="BS136" i="1"/>
  <c r="BR136" i="1"/>
  <c r="BQ136" i="1"/>
  <c r="BP136" i="1"/>
  <c r="BO136" i="1"/>
  <c r="BU135" i="1"/>
  <c r="BT135" i="1"/>
  <c r="BS135" i="1"/>
  <c r="BR135" i="1"/>
  <c r="BQ135" i="1"/>
  <c r="BP135" i="1"/>
  <c r="BO135" i="1"/>
  <c r="BU134" i="1"/>
  <c r="BT134" i="1"/>
  <c r="BS134" i="1"/>
  <c r="BR134" i="1"/>
  <c r="BQ134" i="1"/>
  <c r="BP134" i="1"/>
  <c r="BO134" i="1"/>
  <c r="BU133" i="1"/>
  <c r="BT133" i="1"/>
  <c r="BS133" i="1"/>
  <c r="BR133" i="1"/>
  <c r="BQ133" i="1"/>
  <c r="BP133" i="1"/>
  <c r="BO133" i="1"/>
  <c r="BU132" i="1"/>
  <c r="BT132" i="1"/>
  <c r="BS132" i="1"/>
  <c r="BR132" i="1"/>
  <c r="BQ132" i="1"/>
  <c r="BP132" i="1"/>
  <c r="BO132" i="1"/>
  <c r="BU131" i="1"/>
  <c r="BT131" i="1"/>
  <c r="BS131" i="1"/>
  <c r="BR131" i="1"/>
  <c r="BQ131" i="1"/>
  <c r="BP131" i="1"/>
  <c r="BO131" i="1"/>
  <c r="BU130" i="1"/>
  <c r="BT130" i="1"/>
  <c r="BS130" i="1"/>
  <c r="BR130" i="1"/>
  <c r="BQ130" i="1"/>
  <c r="BP130" i="1"/>
  <c r="BO130" i="1"/>
  <c r="BU129" i="1"/>
  <c r="BT129" i="1"/>
  <c r="BS129" i="1"/>
  <c r="BR129" i="1"/>
  <c r="BQ129" i="1"/>
  <c r="BP129" i="1"/>
  <c r="BO129" i="1"/>
  <c r="BU128" i="1"/>
  <c r="BT128" i="1"/>
  <c r="BS128" i="1"/>
  <c r="BR128" i="1"/>
  <c r="BQ128" i="1"/>
  <c r="BP128" i="1"/>
  <c r="BO128" i="1"/>
  <c r="BU127" i="1"/>
  <c r="BT127" i="1"/>
  <c r="BS127" i="1"/>
  <c r="BR127" i="1"/>
  <c r="BQ127" i="1"/>
  <c r="BP127" i="1"/>
  <c r="BO127" i="1"/>
  <c r="BU126" i="1"/>
  <c r="BT126" i="1"/>
  <c r="BS126" i="1"/>
  <c r="BR126" i="1"/>
  <c r="BQ126" i="1"/>
  <c r="BP126" i="1"/>
  <c r="BO126" i="1"/>
  <c r="BU125" i="1"/>
  <c r="BT125" i="1"/>
  <c r="BS125" i="1"/>
  <c r="BR125" i="1"/>
  <c r="BQ125" i="1"/>
  <c r="BP125" i="1"/>
  <c r="BO125" i="1"/>
  <c r="BU124" i="1"/>
  <c r="BT124" i="1"/>
  <c r="BS124" i="1"/>
  <c r="BR124" i="1"/>
  <c r="BQ124" i="1"/>
  <c r="BP124" i="1"/>
  <c r="BO124" i="1"/>
  <c r="BU123" i="1"/>
  <c r="BT123" i="1"/>
  <c r="BS123" i="1"/>
  <c r="BR123" i="1"/>
  <c r="BQ123" i="1"/>
  <c r="BP123" i="1"/>
  <c r="BO123" i="1"/>
  <c r="BU122" i="1"/>
  <c r="BT122" i="1"/>
  <c r="BS122" i="1"/>
  <c r="BR122" i="1"/>
  <c r="BQ122" i="1"/>
  <c r="BP122" i="1"/>
  <c r="BO122" i="1"/>
  <c r="BU121" i="1"/>
  <c r="BT121" i="1"/>
  <c r="BS121" i="1"/>
  <c r="BR121" i="1"/>
  <c r="BQ121" i="1"/>
  <c r="BP121" i="1"/>
  <c r="BO121" i="1"/>
  <c r="BU120" i="1"/>
  <c r="BT120" i="1"/>
  <c r="BS120" i="1"/>
  <c r="BR120" i="1"/>
  <c r="BQ120" i="1"/>
  <c r="BP120" i="1"/>
  <c r="BO120" i="1"/>
  <c r="BU119" i="1"/>
  <c r="BT119" i="1"/>
  <c r="BS119" i="1"/>
  <c r="BR119" i="1"/>
  <c r="BQ119" i="1"/>
  <c r="BP119" i="1"/>
  <c r="BO119" i="1"/>
  <c r="BU118" i="1"/>
  <c r="BT118" i="1"/>
  <c r="BS118" i="1"/>
  <c r="BR118" i="1"/>
  <c r="BQ118" i="1"/>
  <c r="BP118" i="1"/>
  <c r="BO118" i="1"/>
  <c r="BU117" i="1"/>
  <c r="BT117" i="1"/>
  <c r="BS117" i="1"/>
  <c r="BR117" i="1"/>
  <c r="BQ117" i="1"/>
  <c r="BP117" i="1"/>
  <c r="BO117" i="1"/>
  <c r="BU116" i="1"/>
  <c r="BT116" i="1"/>
  <c r="BS116" i="1"/>
  <c r="BR116" i="1"/>
  <c r="BQ116" i="1"/>
  <c r="BP116" i="1"/>
  <c r="BO116" i="1"/>
  <c r="BU115" i="1"/>
  <c r="BT115" i="1"/>
  <c r="BS115" i="1"/>
  <c r="BR115" i="1"/>
  <c r="BQ115" i="1"/>
  <c r="BP115" i="1"/>
  <c r="BO115" i="1"/>
  <c r="BU114" i="1"/>
  <c r="BT114" i="1"/>
  <c r="BS114" i="1"/>
  <c r="BR114" i="1"/>
  <c r="BQ114" i="1"/>
  <c r="BP114" i="1"/>
  <c r="BO114" i="1"/>
  <c r="BU113" i="1"/>
  <c r="BT113" i="1"/>
  <c r="BS113" i="1"/>
  <c r="BR113" i="1"/>
  <c r="BQ113" i="1"/>
  <c r="BP113" i="1"/>
  <c r="BO113" i="1"/>
  <c r="BU112" i="1"/>
  <c r="BT112" i="1"/>
  <c r="BS112" i="1"/>
  <c r="BR112" i="1"/>
  <c r="BQ112" i="1"/>
  <c r="BP112" i="1"/>
  <c r="BO112" i="1"/>
  <c r="BU111" i="1"/>
  <c r="BT111" i="1"/>
  <c r="BS111" i="1"/>
  <c r="BR111" i="1"/>
  <c r="BQ111" i="1"/>
  <c r="BP111" i="1"/>
  <c r="BO111" i="1"/>
  <c r="BU110" i="1"/>
  <c r="BT110" i="1"/>
  <c r="BS110" i="1"/>
  <c r="BR110" i="1"/>
  <c r="BQ110" i="1"/>
  <c r="BP110" i="1"/>
  <c r="BO110" i="1"/>
  <c r="BU109" i="1"/>
  <c r="BT109" i="1"/>
  <c r="BS109" i="1"/>
  <c r="BR109" i="1"/>
  <c r="BQ109" i="1"/>
  <c r="BP109" i="1"/>
  <c r="BO109" i="1"/>
  <c r="BU108" i="1"/>
  <c r="BT108" i="1"/>
  <c r="BS108" i="1"/>
  <c r="BR108" i="1"/>
  <c r="BQ108" i="1"/>
  <c r="BP108" i="1"/>
  <c r="BO108" i="1"/>
  <c r="BU107" i="1"/>
  <c r="BT107" i="1"/>
  <c r="BS107" i="1"/>
  <c r="BR107" i="1"/>
  <c r="BQ107" i="1"/>
  <c r="BP107" i="1"/>
  <c r="BO107" i="1"/>
  <c r="BU106" i="1"/>
  <c r="BT106" i="1"/>
  <c r="BS106" i="1"/>
  <c r="BR106" i="1"/>
  <c r="BQ106" i="1"/>
  <c r="BP106" i="1"/>
  <c r="BO106" i="1"/>
  <c r="BU105" i="1"/>
  <c r="BT105" i="1"/>
  <c r="BS105" i="1"/>
  <c r="BR105" i="1"/>
  <c r="BQ105" i="1"/>
  <c r="BP105" i="1"/>
  <c r="BO105" i="1"/>
  <c r="BU104" i="1"/>
  <c r="BT104" i="1"/>
  <c r="BS104" i="1"/>
  <c r="BR104" i="1"/>
  <c r="BQ104" i="1"/>
  <c r="BP104" i="1"/>
  <c r="BO104" i="1"/>
  <c r="BU103" i="1"/>
  <c r="BT103" i="1"/>
  <c r="BS103" i="1"/>
  <c r="BR103" i="1"/>
  <c r="BQ103" i="1"/>
  <c r="BP103" i="1"/>
  <c r="BO103" i="1"/>
  <c r="BU102" i="1"/>
  <c r="BT102" i="1"/>
  <c r="BS102" i="1"/>
  <c r="BR102" i="1"/>
  <c r="BQ102" i="1"/>
  <c r="BP102" i="1"/>
  <c r="BO102" i="1"/>
  <c r="BU101" i="1"/>
  <c r="BT101" i="1"/>
  <c r="BS101" i="1"/>
  <c r="BR101" i="1"/>
  <c r="BQ101" i="1"/>
  <c r="BP101" i="1"/>
  <c r="BO101" i="1"/>
  <c r="BU100" i="1"/>
  <c r="BT100" i="1"/>
  <c r="BS100" i="1"/>
  <c r="BR100" i="1"/>
  <c r="BQ100" i="1"/>
  <c r="BP100" i="1"/>
  <c r="BO100" i="1"/>
  <c r="BU99" i="1"/>
  <c r="BT99" i="1"/>
  <c r="BS99" i="1"/>
  <c r="BR99" i="1"/>
  <c r="BQ99" i="1"/>
  <c r="BP99" i="1"/>
  <c r="BO99" i="1"/>
  <c r="BU98" i="1"/>
  <c r="BT98" i="1"/>
  <c r="BS98" i="1"/>
  <c r="BR98" i="1"/>
  <c r="BQ98" i="1"/>
  <c r="BP98" i="1"/>
  <c r="BO98" i="1"/>
  <c r="BU97" i="1"/>
  <c r="BT97" i="1"/>
  <c r="BS97" i="1"/>
  <c r="BR97" i="1"/>
  <c r="BQ97" i="1"/>
  <c r="BP97" i="1"/>
  <c r="BO97" i="1"/>
  <c r="BU96" i="1"/>
  <c r="BT96" i="1"/>
  <c r="BS96" i="1"/>
  <c r="BR96" i="1"/>
  <c r="BQ96" i="1"/>
  <c r="BP96" i="1"/>
  <c r="BO96" i="1"/>
  <c r="BU95" i="1"/>
  <c r="BT95" i="1"/>
  <c r="BS95" i="1"/>
  <c r="BR95" i="1"/>
  <c r="BQ95" i="1"/>
  <c r="BP95" i="1"/>
  <c r="BO95" i="1"/>
  <c r="BU94" i="1"/>
  <c r="BT94" i="1"/>
  <c r="BS94" i="1"/>
  <c r="BR94" i="1"/>
  <c r="BQ94" i="1"/>
  <c r="BP94" i="1"/>
  <c r="BO94" i="1"/>
  <c r="BU93" i="1"/>
  <c r="BT93" i="1"/>
  <c r="BS93" i="1"/>
  <c r="BR93" i="1"/>
  <c r="BQ93" i="1"/>
  <c r="BP93" i="1"/>
  <c r="BO93" i="1"/>
  <c r="BU92" i="1"/>
  <c r="BT92" i="1"/>
  <c r="BS92" i="1"/>
  <c r="BR92" i="1"/>
  <c r="BQ92" i="1"/>
  <c r="BP92" i="1"/>
  <c r="BO92" i="1"/>
  <c r="BU91" i="1"/>
  <c r="BT91" i="1"/>
  <c r="BS91" i="1"/>
  <c r="BR91" i="1"/>
  <c r="BQ91" i="1"/>
  <c r="BP91" i="1"/>
  <c r="BO91" i="1"/>
  <c r="BU90" i="1"/>
  <c r="BT90" i="1"/>
  <c r="BS90" i="1"/>
  <c r="BR90" i="1"/>
  <c r="BQ90" i="1"/>
  <c r="BP90" i="1"/>
  <c r="BO90" i="1"/>
  <c r="BU89" i="1"/>
  <c r="BT89" i="1"/>
  <c r="BS89" i="1"/>
  <c r="BR89" i="1"/>
  <c r="BQ89" i="1"/>
  <c r="BP89" i="1"/>
  <c r="BO89" i="1"/>
  <c r="BU88" i="1"/>
  <c r="BT88" i="1"/>
  <c r="BS88" i="1"/>
  <c r="BR88" i="1"/>
  <c r="BQ88" i="1"/>
  <c r="BP88" i="1"/>
  <c r="BO88" i="1"/>
  <c r="BU87" i="1"/>
  <c r="BT87" i="1"/>
  <c r="BS87" i="1"/>
  <c r="BR87" i="1"/>
  <c r="BQ87" i="1"/>
  <c r="BP87" i="1"/>
  <c r="BO87" i="1"/>
  <c r="BU86" i="1"/>
  <c r="BT86" i="1"/>
  <c r="BS86" i="1"/>
  <c r="BR86" i="1"/>
  <c r="BQ86" i="1"/>
  <c r="BP86" i="1"/>
  <c r="BO86" i="1"/>
  <c r="BU85" i="1"/>
  <c r="BT85" i="1"/>
  <c r="BS85" i="1"/>
  <c r="BR85" i="1"/>
  <c r="BQ85" i="1"/>
  <c r="BP85" i="1"/>
  <c r="BO85" i="1"/>
  <c r="BU84" i="1"/>
  <c r="BT84" i="1"/>
  <c r="BS84" i="1"/>
  <c r="BR84" i="1"/>
  <c r="BQ84" i="1"/>
  <c r="BP84" i="1"/>
  <c r="BO84" i="1"/>
  <c r="BU83" i="1"/>
  <c r="BT83" i="1"/>
  <c r="BS83" i="1"/>
  <c r="BR83" i="1"/>
  <c r="BQ83" i="1"/>
  <c r="BP83" i="1"/>
  <c r="BO83" i="1"/>
  <c r="BU82" i="1"/>
  <c r="BT82" i="1"/>
  <c r="BS82" i="1"/>
  <c r="BR82" i="1"/>
  <c r="BQ82" i="1"/>
  <c r="BP82" i="1"/>
  <c r="BO82" i="1"/>
  <c r="BU81" i="1"/>
  <c r="BT81" i="1"/>
  <c r="BS81" i="1"/>
  <c r="BR81" i="1"/>
  <c r="BQ81" i="1"/>
  <c r="BP81" i="1"/>
  <c r="BO81" i="1"/>
  <c r="BU80" i="1"/>
  <c r="BT80" i="1"/>
  <c r="BS80" i="1"/>
  <c r="BR80" i="1"/>
  <c r="BQ80" i="1"/>
  <c r="BP80" i="1"/>
  <c r="BO80" i="1"/>
  <c r="BU79" i="1"/>
  <c r="BT79" i="1"/>
  <c r="BS79" i="1"/>
  <c r="BR79" i="1"/>
  <c r="BQ79" i="1"/>
  <c r="BP79" i="1"/>
  <c r="BO79" i="1"/>
  <c r="BU78" i="1"/>
  <c r="BT78" i="1"/>
  <c r="BS78" i="1"/>
  <c r="BR78" i="1"/>
  <c r="BQ78" i="1"/>
  <c r="BP78" i="1"/>
  <c r="BO78" i="1"/>
  <c r="BU77" i="1"/>
  <c r="BT77" i="1"/>
  <c r="BS77" i="1"/>
  <c r="BR77" i="1"/>
  <c r="BQ77" i="1"/>
  <c r="BP77" i="1"/>
  <c r="BO77" i="1"/>
  <c r="BU76" i="1"/>
  <c r="BT76" i="1"/>
  <c r="BS76" i="1"/>
  <c r="BR76" i="1"/>
  <c r="BQ76" i="1"/>
  <c r="BP76" i="1"/>
  <c r="BO76" i="1"/>
  <c r="BU75" i="1"/>
  <c r="BT75" i="1"/>
  <c r="BS75" i="1"/>
  <c r="BR75" i="1"/>
  <c r="BQ75" i="1"/>
  <c r="BP75" i="1"/>
  <c r="BO75" i="1"/>
  <c r="BU74" i="1"/>
  <c r="BT74" i="1"/>
  <c r="BS74" i="1"/>
  <c r="BR74" i="1"/>
  <c r="BQ74" i="1"/>
  <c r="BP74" i="1"/>
  <c r="BO74" i="1"/>
  <c r="BU73" i="1"/>
  <c r="BT73" i="1"/>
  <c r="BS73" i="1"/>
  <c r="BR73" i="1"/>
  <c r="BQ73" i="1"/>
  <c r="BP73" i="1"/>
  <c r="BO73" i="1"/>
  <c r="BU72" i="1"/>
  <c r="BT72" i="1"/>
  <c r="BS72" i="1"/>
  <c r="BR72" i="1"/>
  <c r="BQ72" i="1"/>
  <c r="BP72" i="1"/>
  <c r="BO72" i="1"/>
  <c r="BU71" i="1"/>
  <c r="BT71" i="1"/>
  <c r="BS71" i="1"/>
  <c r="BR71" i="1"/>
  <c r="BQ71" i="1"/>
  <c r="BP71" i="1"/>
  <c r="BO71" i="1"/>
  <c r="BU70" i="1"/>
  <c r="BT70" i="1"/>
  <c r="BS70" i="1"/>
  <c r="BR70" i="1"/>
  <c r="BQ70" i="1"/>
  <c r="BP70" i="1"/>
  <c r="BO70" i="1"/>
  <c r="BU69" i="1"/>
  <c r="BT69" i="1"/>
  <c r="BS69" i="1"/>
  <c r="BR69" i="1"/>
  <c r="BQ69" i="1"/>
  <c r="BP69" i="1"/>
  <c r="BO69" i="1"/>
  <c r="BU68" i="1"/>
  <c r="BT68" i="1"/>
  <c r="BS68" i="1"/>
  <c r="BR68" i="1"/>
  <c r="BQ68" i="1"/>
  <c r="BP68" i="1"/>
  <c r="BO68" i="1"/>
  <c r="BU67" i="1"/>
  <c r="BT67" i="1"/>
  <c r="BS67" i="1"/>
  <c r="BR67" i="1"/>
  <c r="BQ67" i="1"/>
  <c r="BP67" i="1"/>
  <c r="BO67" i="1"/>
  <c r="BU66" i="1"/>
  <c r="BT66" i="1"/>
  <c r="BS66" i="1"/>
  <c r="BR66" i="1"/>
  <c r="BQ66" i="1"/>
  <c r="BP66" i="1"/>
  <c r="BO66" i="1"/>
  <c r="BU65" i="1"/>
  <c r="BT65" i="1"/>
  <c r="BS65" i="1"/>
  <c r="BR65" i="1"/>
  <c r="BQ65" i="1"/>
  <c r="BP65" i="1"/>
  <c r="BO65" i="1"/>
  <c r="BU64" i="1"/>
  <c r="BT64" i="1"/>
  <c r="BS64" i="1"/>
  <c r="BR64" i="1"/>
  <c r="BQ64" i="1"/>
  <c r="BP64" i="1"/>
  <c r="BO64" i="1"/>
  <c r="BU63" i="1"/>
  <c r="BT63" i="1"/>
  <c r="BS63" i="1"/>
  <c r="BR63" i="1"/>
  <c r="BQ63" i="1"/>
  <c r="BP63" i="1"/>
  <c r="BO63" i="1"/>
  <c r="BU62" i="1"/>
  <c r="BT62" i="1"/>
  <c r="BS62" i="1"/>
  <c r="BR62" i="1"/>
  <c r="BQ62" i="1"/>
  <c r="BP62" i="1"/>
  <c r="BO62" i="1"/>
  <c r="BU61" i="1"/>
  <c r="BT61" i="1"/>
  <c r="BS61" i="1"/>
  <c r="BR61" i="1"/>
  <c r="BQ61" i="1"/>
  <c r="BP61" i="1"/>
  <c r="BO61" i="1"/>
  <c r="BU60" i="1"/>
  <c r="BT60" i="1"/>
  <c r="BS60" i="1"/>
  <c r="BR60" i="1"/>
  <c r="BQ60" i="1"/>
  <c r="BP60" i="1"/>
  <c r="BO60" i="1"/>
  <c r="BU59" i="1"/>
  <c r="BT59" i="1"/>
  <c r="BS59" i="1"/>
  <c r="BR59" i="1"/>
  <c r="BQ59" i="1"/>
  <c r="BP59" i="1"/>
  <c r="BO59" i="1"/>
  <c r="BU58" i="1"/>
  <c r="BT58" i="1"/>
  <c r="BS58" i="1"/>
  <c r="BR58" i="1"/>
  <c r="BQ58" i="1"/>
  <c r="BP58" i="1"/>
  <c r="BO58" i="1"/>
  <c r="BU57" i="1"/>
  <c r="BT57" i="1"/>
  <c r="BS57" i="1"/>
  <c r="BR57" i="1"/>
  <c r="BQ57" i="1"/>
  <c r="BP57" i="1"/>
  <c r="BO57" i="1"/>
  <c r="BU56" i="1"/>
  <c r="BT56" i="1"/>
  <c r="BS56" i="1"/>
  <c r="BR56" i="1"/>
  <c r="BQ56" i="1"/>
  <c r="BP56" i="1"/>
  <c r="BO56" i="1"/>
  <c r="BU55" i="1"/>
  <c r="BT55" i="1"/>
  <c r="BS55" i="1"/>
  <c r="BR55" i="1"/>
  <c r="BQ55" i="1"/>
  <c r="BP55" i="1"/>
  <c r="BO55" i="1"/>
  <c r="BU54" i="1"/>
  <c r="BT54" i="1"/>
  <c r="BS54" i="1"/>
  <c r="BR54" i="1"/>
  <c r="BQ54" i="1"/>
  <c r="BP54" i="1"/>
  <c r="BO54" i="1"/>
  <c r="BU53" i="1"/>
  <c r="BT53" i="1"/>
  <c r="BS53" i="1"/>
  <c r="BR53" i="1"/>
  <c r="BQ53" i="1"/>
  <c r="BP53" i="1"/>
  <c r="BO53" i="1"/>
  <c r="BU52" i="1"/>
  <c r="BT52" i="1"/>
  <c r="BS52" i="1"/>
  <c r="BR52" i="1"/>
  <c r="BQ52" i="1"/>
  <c r="BP52" i="1"/>
  <c r="BO52" i="1"/>
  <c r="BU51" i="1"/>
  <c r="BT51" i="1"/>
  <c r="BS51" i="1"/>
  <c r="BR51" i="1"/>
  <c r="BQ51" i="1"/>
  <c r="BP51" i="1"/>
  <c r="BO51" i="1"/>
  <c r="BU50" i="1"/>
  <c r="BT50" i="1"/>
  <c r="BS50" i="1"/>
  <c r="BR50" i="1"/>
  <c r="BQ50" i="1"/>
  <c r="BP50" i="1"/>
  <c r="BO50" i="1"/>
  <c r="BU49" i="1"/>
  <c r="BT49" i="1"/>
  <c r="BS49" i="1"/>
  <c r="BR49" i="1"/>
  <c r="BQ49" i="1"/>
  <c r="BP49" i="1"/>
  <c r="BO49" i="1"/>
  <c r="BU48" i="1"/>
  <c r="BT48" i="1"/>
  <c r="BS48" i="1"/>
  <c r="BR48" i="1"/>
  <c r="BQ48" i="1"/>
  <c r="BP48" i="1"/>
  <c r="BO48" i="1"/>
  <c r="BU47" i="1"/>
  <c r="BT47" i="1"/>
  <c r="BS47" i="1"/>
  <c r="BR47" i="1"/>
  <c r="BQ47" i="1"/>
  <c r="BP47" i="1"/>
  <c r="BO47" i="1"/>
  <c r="BU46" i="1"/>
  <c r="BT46" i="1"/>
  <c r="BS46" i="1"/>
  <c r="BR46" i="1"/>
  <c r="BQ46" i="1"/>
  <c r="BP46" i="1"/>
  <c r="BO46" i="1"/>
  <c r="BU45" i="1"/>
  <c r="BT45" i="1"/>
  <c r="BS45" i="1"/>
  <c r="BR45" i="1"/>
  <c r="BQ45" i="1"/>
  <c r="BP45" i="1"/>
  <c r="BO45" i="1"/>
  <c r="BU44" i="1"/>
  <c r="BT44" i="1"/>
  <c r="BS44" i="1"/>
  <c r="BR44" i="1"/>
  <c r="BQ44" i="1"/>
  <c r="BP44" i="1"/>
  <c r="BO44" i="1"/>
  <c r="BU43" i="1"/>
  <c r="BT43" i="1"/>
  <c r="BS43" i="1"/>
  <c r="BR43" i="1"/>
  <c r="BQ43" i="1"/>
  <c r="BP43" i="1"/>
  <c r="BO43" i="1"/>
  <c r="BU42" i="1"/>
  <c r="BT42" i="1"/>
  <c r="BS42" i="1"/>
  <c r="BR42" i="1"/>
  <c r="BQ42" i="1"/>
  <c r="BP42" i="1"/>
  <c r="BO42" i="1"/>
  <c r="BU41" i="1"/>
  <c r="BT41" i="1"/>
  <c r="BS41" i="1"/>
  <c r="BR41" i="1"/>
  <c r="BQ41" i="1"/>
  <c r="BP41" i="1"/>
  <c r="BO41" i="1"/>
  <c r="BU40" i="1"/>
  <c r="BT40" i="1"/>
  <c r="BS40" i="1"/>
  <c r="BR40" i="1"/>
  <c r="BQ40" i="1"/>
  <c r="BP40" i="1"/>
  <c r="BO40" i="1"/>
  <c r="BU39" i="1"/>
  <c r="BT39" i="1"/>
  <c r="BS39" i="1"/>
  <c r="BR39" i="1"/>
  <c r="BQ39" i="1"/>
  <c r="BP39" i="1"/>
  <c r="BO39" i="1"/>
  <c r="BU38" i="1"/>
  <c r="BT38" i="1"/>
  <c r="BS38" i="1"/>
  <c r="BR38" i="1"/>
  <c r="BQ38" i="1"/>
  <c r="BP38" i="1"/>
  <c r="BO38" i="1"/>
  <c r="BU37" i="1"/>
  <c r="BT37" i="1"/>
  <c r="BS37" i="1"/>
  <c r="BR37" i="1"/>
  <c r="BQ37" i="1"/>
  <c r="BP37" i="1"/>
  <c r="BO37" i="1"/>
  <c r="BU36" i="1"/>
  <c r="BT36" i="1"/>
  <c r="BS36" i="1"/>
  <c r="BR36" i="1"/>
  <c r="BQ36" i="1"/>
  <c r="BP36" i="1"/>
  <c r="BO36" i="1"/>
  <c r="BU35" i="1"/>
  <c r="BT35" i="1"/>
  <c r="BS35" i="1"/>
  <c r="BR35" i="1"/>
  <c r="BQ35" i="1"/>
  <c r="BP35" i="1"/>
  <c r="BO35" i="1"/>
  <c r="BU34" i="1"/>
  <c r="BT34" i="1"/>
  <c r="BS34" i="1"/>
  <c r="BR34" i="1"/>
  <c r="BQ34" i="1"/>
  <c r="BP34" i="1"/>
  <c r="BO34" i="1"/>
  <c r="BU33" i="1"/>
  <c r="BT33" i="1"/>
  <c r="BS33" i="1"/>
  <c r="BR33" i="1"/>
  <c r="BQ33" i="1"/>
  <c r="BP33" i="1"/>
  <c r="BO33" i="1"/>
  <c r="BU32" i="1"/>
  <c r="BT32" i="1"/>
  <c r="BS32" i="1"/>
  <c r="BR32" i="1"/>
  <c r="BQ32" i="1"/>
  <c r="BP32" i="1"/>
  <c r="BO32" i="1"/>
  <c r="BU31" i="1"/>
  <c r="BT31" i="1"/>
  <c r="BS31" i="1"/>
  <c r="BR31" i="1"/>
  <c r="BQ31" i="1"/>
  <c r="BP31" i="1"/>
  <c r="BO31" i="1"/>
  <c r="BU30" i="1"/>
  <c r="BT30" i="1"/>
  <c r="BS30" i="1"/>
  <c r="BR30" i="1"/>
  <c r="BQ30" i="1"/>
  <c r="BP30" i="1"/>
  <c r="BO30" i="1"/>
  <c r="BU29" i="1"/>
  <c r="BT29" i="1"/>
  <c r="BS29" i="1"/>
  <c r="BR29" i="1"/>
  <c r="BQ29" i="1"/>
  <c r="BP29" i="1"/>
  <c r="BO29" i="1"/>
  <c r="BU28" i="1"/>
  <c r="BT28" i="1"/>
  <c r="BS28" i="1"/>
  <c r="BR28" i="1"/>
  <c r="BQ28" i="1"/>
  <c r="BP28" i="1"/>
  <c r="BO28" i="1"/>
  <c r="BU27" i="1"/>
  <c r="BT27" i="1"/>
  <c r="BS27" i="1"/>
  <c r="BR27" i="1"/>
  <c r="BQ27" i="1"/>
  <c r="BP27" i="1"/>
  <c r="BO27" i="1"/>
  <c r="BU26" i="1"/>
  <c r="BT26" i="1"/>
  <c r="BS26" i="1"/>
  <c r="BR26" i="1"/>
  <c r="BQ26" i="1"/>
  <c r="BP26" i="1"/>
  <c r="BO26" i="1"/>
  <c r="BU25" i="1"/>
  <c r="BT25" i="1"/>
  <c r="BS25" i="1"/>
  <c r="BR25" i="1"/>
  <c r="BQ25" i="1"/>
  <c r="BP25" i="1"/>
  <c r="BO25" i="1"/>
  <c r="BU24" i="1"/>
  <c r="BT24" i="1"/>
  <c r="BS24" i="1"/>
  <c r="BR24" i="1"/>
  <c r="BQ24" i="1"/>
  <c r="BP24" i="1"/>
  <c r="BO24" i="1"/>
  <c r="BU23" i="1"/>
  <c r="BT23" i="1"/>
  <c r="BS23" i="1"/>
  <c r="BR23" i="1"/>
  <c r="BQ23" i="1"/>
  <c r="BP23" i="1"/>
  <c r="BO23" i="1"/>
  <c r="BU22" i="1"/>
  <c r="BT22" i="1"/>
  <c r="BS22" i="1"/>
  <c r="BR22" i="1"/>
  <c r="BQ22" i="1"/>
  <c r="BP22" i="1"/>
  <c r="BO22" i="1"/>
  <c r="BU21" i="1"/>
  <c r="BT21" i="1"/>
  <c r="BS21" i="1"/>
  <c r="BR21" i="1"/>
  <c r="BQ21" i="1"/>
  <c r="BP21" i="1"/>
  <c r="BO21" i="1"/>
  <c r="BU20" i="1"/>
  <c r="BT20" i="1"/>
  <c r="BS20" i="1"/>
  <c r="BR20" i="1"/>
  <c r="BQ20" i="1"/>
  <c r="BP20" i="1"/>
  <c r="BO20" i="1"/>
  <c r="BU19" i="1"/>
  <c r="BT19" i="1"/>
  <c r="BS19" i="1"/>
  <c r="BR19" i="1"/>
  <c r="BQ19" i="1"/>
  <c r="BP19" i="1"/>
  <c r="BO19" i="1"/>
  <c r="BU18" i="1"/>
  <c r="BT18" i="1"/>
  <c r="BS18" i="1"/>
  <c r="BR18" i="1"/>
  <c r="BQ18" i="1"/>
  <c r="BP18" i="1"/>
  <c r="BO18" i="1"/>
  <c r="BU17" i="1"/>
  <c r="BT17" i="1"/>
  <c r="BS17" i="1"/>
  <c r="BR17" i="1"/>
  <c r="BQ17" i="1"/>
  <c r="BP17" i="1"/>
  <c r="BO17" i="1"/>
  <c r="BU16" i="1"/>
  <c r="BT16" i="1"/>
  <c r="BS16" i="1"/>
  <c r="BR16" i="1"/>
  <c r="BQ16" i="1"/>
  <c r="BP16" i="1"/>
  <c r="BO16" i="1"/>
  <c r="BU15" i="1"/>
  <c r="BT15" i="1"/>
  <c r="BS15" i="1"/>
  <c r="BR15" i="1"/>
  <c r="BQ15" i="1"/>
  <c r="BP15" i="1"/>
  <c r="BO15" i="1"/>
  <c r="BU14" i="1"/>
  <c r="BT14" i="1"/>
  <c r="BS14" i="1"/>
  <c r="BR14" i="1"/>
  <c r="BQ14" i="1"/>
  <c r="BP14" i="1"/>
  <c r="BO14" i="1"/>
  <c r="BU13" i="1"/>
  <c r="BT13" i="1"/>
  <c r="BS13" i="1"/>
  <c r="BR13" i="1"/>
  <c r="BQ13" i="1"/>
  <c r="BP13" i="1"/>
  <c r="BO13" i="1"/>
  <c r="BU12" i="1"/>
  <c r="BT12" i="1"/>
  <c r="BS12" i="1"/>
  <c r="BR12" i="1"/>
  <c r="BQ12" i="1"/>
  <c r="BP12" i="1"/>
  <c r="BO12" i="1"/>
  <c r="BU11" i="1"/>
  <c r="BT11" i="1"/>
  <c r="BS11" i="1"/>
  <c r="BR11" i="1"/>
  <c r="BQ11" i="1"/>
  <c r="BP11" i="1"/>
  <c r="BO11" i="1"/>
  <c r="BU10" i="1"/>
  <c r="BT10" i="1"/>
  <c r="BS10" i="1"/>
  <c r="BR10" i="1"/>
  <c r="BQ10" i="1"/>
  <c r="BP10" i="1"/>
  <c r="BO10" i="1"/>
  <c r="BU9" i="1"/>
  <c r="BT9" i="1"/>
  <c r="BS9" i="1"/>
  <c r="BR9" i="1"/>
  <c r="BQ9" i="1"/>
  <c r="BP9" i="1"/>
  <c r="BO9" i="1"/>
  <c r="BU8" i="1"/>
  <c r="BT8" i="1"/>
  <c r="BS8" i="1"/>
  <c r="BR8" i="1"/>
  <c r="BQ8" i="1"/>
  <c r="BP8" i="1"/>
  <c r="BO8" i="1"/>
  <c r="BU7" i="1"/>
  <c r="BT7" i="1"/>
  <c r="BS7" i="1"/>
  <c r="BR7" i="1"/>
  <c r="BQ7" i="1"/>
  <c r="BP7" i="1"/>
  <c r="BO7" i="1"/>
  <c r="BU6" i="1"/>
  <c r="BT6" i="1"/>
  <c r="BS6" i="1"/>
  <c r="BR6" i="1"/>
  <c r="BQ6" i="1"/>
  <c r="BP6" i="1"/>
  <c r="BO6" i="1"/>
  <c r="BU5" i="1"/>
  <c r="BT5" i="1"/>
  <c r="BS5" i="1"/>
  <c r="BR5" i="1"/>
  <c r="BQ5" i="1"/>
  <c r="BP5" i="1"/>
  <c r="BO5" i="1"/>
  <c r="BU4" i="1"/>
  <c r="BT4" i="1"/>
  <c r="BS4" i="1"/>
  <c r="BR4" i="1"/>
  <c r="BQ4" i="1"/>
  <c r="BP4" i="1"/>
  <c r="BO4" i="1"/>
  <c r="BU3" i="1"/>
  <c r="BT3" i="1"/>
  <c r="BS3" i="1"/>
  <c r="BR3" i="1"/>
  <c r="BQ3" i="1"/>
  <c r="BP3" i="1"/>
  <c r="BO3" i="1"/>
  <c r="BK144" i="1"/>
  <c r="BK143" i="1"/>
  <c r="BK142" i="1"/>
  <c r="BK141" i="1"/>
  <c r="BK140" i="1"/>
  <c r="BK139" i="1"/>
  <c r="BK138" i="1"/>
  <c r="BK137" i="1"/>
  <c r="BK136" i="1"/>
  <c r="BK135" i="1"/>
  <c r="BK134" i="1"/>
  <c r="BK133" i="1"/>
  <c r="BK132" i="1"/>
  <c r="BK131" i="1"/>
  <c r="BK130" i="1"/>
  <c r="BK129" i="1"/>
  <c r="BK128" i="1"/>
  <c r="BK127" i="1"/>
  <c r="BK126" i="1"/>
  <c r="BK125" i="1"/>
  <c r="BK124" i="1"/>
  <c r="BK123" i="1"/>
  <c r="BK122" i="1"/>
  <c r="BK121" i="1"/>
  <c r="BK120" i="1"/>
  <c r="BK119" i="1"/>
  <c r="BK118" i="1"/>
  <c r="BK117" i="1"/>
  <c r="BK116" i="1"/>
  <c r="BK115" i="1"/>
  <c r="BK114" i="1"/>
  <c r="BK113" i="1"/>
  <c r="BK112" i="1"/>
  <c r="BK111" i="1"/>
  <c r="BK110" i="1"/>
  <c r="BK109" i="1"/>
  <c r="BK108" i="1"/>
  <c r="BK107" i="1"/>
  <c r="BK106" i="1"/>
  <c r="BK105" i="1"/>
  <c r="BK104" i="1"/>
  <c r="BK103" i="1"/>
  <c r="BK102" i="1"/>
  <c r="BK101" i="1"/>
  <c r="BK100" i="1"/>
  <c r="BK99" i="1"/>
  <c r="BK98" i="1"/>
  <c r="BK97" i="1"/>
  <c r="BK96" i="1"/>
  <c r="BK95" i="1"/>
  <c r="BK94" i="1"/>
  <c r="BK93" i="1"/>
  <c r="BK92" i="1"/>
  <c r="BK91" i="1"/>
  <c r="BK90" i="1"/>
  <c r="BK89" i="1"/>
  <c r="BK88" i="1"/>
  <c r="BK87" i="1"/>
  <c r="BK86" i="1"/>
  <c r="BK85" i="1"/>
  <c r="BK84" i="1"/>
  <c r="BK83" i="1"/>
  <c r="BK82" i="1"/>
  <c r="BK81" i="1"/>
  <c r="BK80" i="1"/>
  <c r="BK79" i="1"/>
  <c r="BK78" i="1"/>
  <c r="BK77" i="1"/>
  <c r="BK76" i="1"/>
  <c r="BK75" i="1"/>
  <c r="BK74" i="1"/>
  <c r="BK73" i="1"/>
  <c r="BK72" i="1"/>
  <c r="BK71" i="1"/>
  <c r="BK70" i="1"/>
  <c r="BK69" i="1"/>
  <c r="BK68" i="1"/>
  <c r="BK67" i="1"/>
  <c r="BK66" i="1"/>
  <c r="BK65" i="1"/>
  <c r="BK64" i="1"/>
  <c r="BK63" i="1"/>
  <c r="BK62" i="1"/>
  <c r="BK61" i="1"/>
  <c r="BK60" i="1"/>
  <c r="BK59" i="1"/>
  <c r="BK58" i="1"/>
  <c r="BK57" i="1"/>
  <c r="BK56" i="1"/>
  <c r="BK55" i="1"/>
  <c r="BK54" i="1"/>
  <c r="BK53" i="1"/>
  <c r="BK52" i="1"/>
  <c r="BK51" i="1"/>
  <c r="BK50" i="1"/>
  <c r="BK49" i="1"/>
  <c r="BK48" i="1"/>
  <c r="BK47" i="1"/>
  <c r="BK46" i="1"/>
  <c r="BK45" i="1"/>
  <c r="BK44" i="1"/>
  <c r="BK43" i="1"/>
  <c r="BK42" i="1"/>
  <c r="BK41" i="1"/>
  <c r="BK40" i="1"/>
  <c r="BK39" i="1"/>
  <c r="BK38" i="1"/>
  <c r="BK37" i="1"/>
  <c r="BK36" i="1"/>
  <c r="BK35" i="1"/>
  <c r="BK34" i="1"/>
  <c r="BK33" i="1"/>
  <c r="BK32" i="1"/>
  <c r="BK31" i="1"/>
  <c r="BK30" i="1"/>
  <c r="BK29" i="1"/>
  <c r="BK28" i="1"/>
  <c r="BK27" i="1"/>
  <c r="BK26" i="1"/>
  <c r="BK25" i="1"/>
  <c r="BK24" i="1"/>
  <c r="BK23" i="1"/>
  <c r="BK22" i="1"/>
  <c r="BK21" i="1"/>
  <c r="BK20" i="1"/>
  <c r="BK19" i="1"/>
  <c r="BK18" i="1"/>
  <c r="BK17" i="1"/>
  <c r="BK16" i="1"/>
  <c r="BK15" i="1"/>
  <c r="BK14" i="1"/>
  <c r="BK13" i="1"/>
  <c r="BK12" i="1"/>
  <c r="BK11" i="1"/>
  <c r="BK10" i="1"/>
  <c r="BK9" i="1"/>
  <c r="BK8" i="1"/>
  <c r="BK7" i="1"/>
  <c r="BK6" i="1"/>
  <c r="BK5" i="1"/>
  <c r="BK4" i="1"/>
  <c r="BK3" i="1"/>
  <c r="BJ144" i="1"/>
  <c r="BI144" i="1"/>
  <c r="BH144" i="1"/>
  <c r="BG144" i="1"/>
  <c r="BF144" i="1"/>
  <c r="BE144" i="1"/>
  <c r="BD144" i="1"/>
  <c r="BC144" i="1"/>
  <c r="BB144" i="1"/>
  <c r="BJ143" i="1"/>
  <c r="BI143" i="1"/>
  <c r="BH143" i="1"/>
  <c r="BG143" i="1"/>
  <c r="BF143" i="1"/>
  <c r="BE143" i="1"/>
  <c r="BD143" i="1"/>
  <c r="BC143" i="1"/>
  <c r="BB143" i="1"/>
  <c r="BJ142" i="1"/>
  <c r="BI142" i="1"/>
  <c r="BH142" i="1"/>
  <c r="BG142" i="1"/>
  <c r="BF142" i="1"/>
  <c r="BE142" i="1"/>
  <c r="BD142" i="1"/>
  <c r="BC142" i="1"/>
  <c r="BB142" i="1"/>
  <c r="BJ141" i="1"/>
  <c r="BI141" i="1"/>
  <c r="BH141" i="1"/>
  <c r="BG141" i="1"/>
  <c r="BF141" i="1"/>
  <c r="BE141" i="1"/>
  <c r="BD141" i="1"/>
  <c r="BC141" i="1"/>
  <c r="BB141" i="1"/>
  <c r="BJ140" i="1"/>
  <c r="BI140" i="1"/>
  <c r="BH140" i="1"/>
  <c r="BG140" i="1"/>
  <c r="BF140" i="1"/>
  <c r="BE140" i="1"/>
  <c r="BD140" i="1"/>
  <c r="BC140" i="1"/>
  <c r="BB140" i="1"/>
  <c r="BJ139" i="1"/>
  <c r="BI139" i="1"/>
  <c r="BH139" i="1"/>
  <c r="BG139" i="1"/>
  <c r="BF139" i="1"/>
  <c r="BE139" i="1"/>
  <c r="BD139" i="1"/>
  <c r="BC139" i="1"/>
  <c r="BB139" i="1"/>
  <c r="BJ138" i="1"/>
  <c r="BI138" i="1"/>
  <c r="BH138" i="1"/>
  <c r="BG138" i="1"/>
  <c r="BF138" i="1"/>
  <c r="BE138" i="1"/>
  <c r="BD138" i="1"/>
  <c r="BC138" i="1"/>
  <c r="BB138" i="1"/>
  <c r="BJ137" i="1"/>
  <c r="BI137" i="1"/>
  <c r="BH137" i="1"/>
  <c r="BG137" i="1"/>
  <c r="BF137" i="1"/>
  <c r="BE137" i="1"/>
  <c r="BD137" i="1"/>
  <c r="BC137" i="1"/>
  <c r="BB137" i="1"/>
  <c r="BJ136" i="1"/>
  <c r="BI136" i="1"/>
  <c r="BH136" i="1"/>
  <c r="BG136" i="1"/>
  <c r="BF136" i="1"/>
  <c r="BE136" i="1"/>
  <c r="BD136" i="1"/>
  <c r="BC136" i="1"/>
  <c r="BB136" i="1"/>
  <c r="BJ135" i="1"/>
  <c r="BI135" i="1"/>
  <c r="BH135" i="1"/>
  <c r="BG135" i="1"/>
  <c r="BF135" i="1"/>
  <c r="BE135" i="1"/>
  <c r="BD135" i="1"/>
  <c r="BC135" i="1"/>
  <c r="BB135" i="1"/>
  <c r="BJ134" i="1"/>
  <c r="BI134" i="1"/>
  <c r="BH134" i="1"/>
  <c r="BG134" i="1"/>
  <c r="BF134" i="1"/>
  <c r="BE134" i="1"/>
  <c r="BD134" i="1"/>
  <c r="BC134" i="1"/>
  <c r="BB134" i="1"/>
  <c r="BJ133" i="1"/>
  <c r="BI133" i="1"/>
  <c r="BH133" i="1"/>
  <c r="BG133" i="1"/>
  <c r="BF133" i="1"/>
  <c r="BE133" i="1"/>
  <c r="BD133" i="1"/>
  <c r="BC133" i="1"/>
  <c r="BB133" i="1"/>
  <c r="BJ132" i="1"/>
  <c r="BI132" i="1"/>
  <c r="BH132" i="1"/>
  <c r="BG132" i="1"/>
  <c r="BF132" i="1"/>
  <c r="BE132" i="1"/>
  <c r="BD132" i="1"/>
  <c r="BC132" i="1"/>
  <c r="BB132" i="1"/>
  <c r="BJ131" i="1"/>
  <c r="BI131" i="1"/>
  <c r="BH131" i="1"/>
  <c r="BG131" i="1"/>
  <c r="BF131" i="1"/>
  <c r="BE131" i="1"/>
  <c r="BD131" i="1"/>
  <c r="BC131" i="1"/>
  <c r="BB131" i="1"/>
  <c r="BJ130" i="1"/>
  <c r="BI130" i="1"/>
  <c r="BH130" i="1"/>
  <c r="BG130" i="1"/>
  <c r="BF130" i="1"/>
  <c r="BE130" i="1"/>
  <c r="BD130" i="1"/>
  <c r="BC130" i="1"/>
  <c r="BB130" i="1"/>
  <c r="BJ129" i="1"/>
  <c r="BI129" i="1"/>
  <c r="BH129" i="1"/>
  <c r="BG129" i="1"/>
  <c r="BF129" i="1"/>
  <c r="BE129" i="1"/>
  <c r="BD129" i="1"/>
  <c r="BC129" i="1"/>
  <c r="BB129" i="1"/>
  <c r="BJ128" i="1"/>
  <c r="BI128" i="1"/>
  <c r="BH128" i="1"/>
  <c r="BG128" i="1"/>
  <c r="BF128" i="1"/>
  <c r="BE128" i="1"/>
  <c r="BD128" i="1"/>
  <c r="BC128" i="1"/>
  <c r="BB128" i="1"/>
  <c r="BJ127" i="1"/>
  <c r="BI127" i="1"/>
  <c r="BH127" i="1"/>
  <c r="BG127" i="1"/>
  <c r="BF127" i="1"/>
  <c r="BE127" i="1"/>
  <c r="BD127" i="1"/>
  <c r="BC127" i="1"/>
  <c r="BB127" i="1"/>
  <c r="BJ126" i="1"/>
  <c r="BI126" i="1"/>
  <c r="BH126" i="1"/>
  <c r="BG126" i="1"/>
  <c r="BF126" i="1"/>
  <c r="BE126" i="1"/>
  <c r="BD126" i="1"/>
  <c r="BC126" i="1"/>
  <c r="BB126" i="1"/>
  <c r="BJ125" i="1"/>
  <c r="BI125" i="1"/>
  <c r="BH125" i="1"/>
  <c r="BG125" i="1"/>
  <c r="BF125" i="1"/>
  <c r="BE125" i="1"/>
  <c r="BD125" i="1"/>
  <c r="BC125" i="1"/>
  <c r="BB125" i="1"/>
  <c r="BJ124" i="1"/>
  <c r="BI124" i="1"/>
  <c r="BH124" i="1"/>
  <c r="BG124" i="1"/>
  <c r="BF124" i="1"/>
  <c r="BE124" i="1"/>
  <c r="BD124" i="1"/>
  <c r="BC124" i="1"/>
  <c r="BB124" i="1"/>
  <c r="BJ123" i="1"/>
  <c r="BI123" i="1"/>
  <c r="BH123" i="1"/>
  <c r="BG123" i="1"/>
  <c r="BF123" i="1"/>
  <c r="BE123" i="1"/>
  <c r="BD123" i="1"/>
  <c r="BC123" i="1"/>
  <c r="BB123" i="1"/>
  <c r="BJ122" i="1"/>
  <c r="BI122" i="1"/>
  <c r="BH122" i="1"/>
  <c r="BG122" i="1"/>
  <c r="BF122" i="1"/>
  <c r="BE122" i="1"/>
  <c r="BD122" i="1"/>
  <c r="BC122" i="1"/>
  <c r="BB122" i="1"/>
  <c r="BJ121" i="1"/>
  <c r="BI121" i="1"/>
  <c r="BH121" i="1"/>
  <c r="BG121" i="1"/>
  <c r="BF121" i="1"/>
  <c r="BE121" i="1"/>
  <c r="BD121" i="1"/>
  <c r="BC121" i="1"/>
  <c r="BB121" i="1"/>
  <c r="BJ120" i="1"/>
  <c r="BI120" i="1"/>
  <c r="BH120" i="1"/>
  <c r="BG120" i="1"/>
  <c r="BF120" i="1"/>
  <c r="BE120" i="1"/>
  <c r="BD120" i="1"/>
  <c r="BC120" i="1"/>
  <c r="BB120" i="1"/>
  <c r="BJ119" i="1"/>
  <c r="BI119" i="1"/>
  <c r="BH119" i="1"/>
  <c r="BG119" i="1"/>
  <c r="BF119" i="1"/>
  <c r="BE119" i="1"/>
  <c r="BD119" i="1"/>
  <c r="BC119" i="1"/>
  <c r="BB119" i="1"/>
  <c r="BJ118" i="1"/>
  <c r="BI118" i="1"/>
  <c r="BH118" i="1"/>
  <c r="BG118" i="1"/>
  <c r="BF118" i="1"/>
  <c r="BE118" i="1"/>
  <c r="BD118" i="1"/>
  <c r="BC118" i="1"/>
  <c r="BB118" i="1"/>
  <c r="BJ117" i="1"/>
  <c r="BI117" i="1"/>
  <c r="BH117" i="1"/>
  <c r="BG117" i="1"/>
  <c r="BF117" i="1"/>
  <c r="BE117" i="1"/>
  <c r="BD117" i="1"/>
  <c r="BC117" i="1"/>
  <c r="BB117" i="1"/>
  <c r="BJ116" i="1"/>
  <c r="BI116" i="1"/>
  <c r="BH116" i="1"/>
  <c r="BG116" i="1"/>
  <c r="BF116" i="1"/>
  <c r="BE116" i="1"/>
  <c r="BD116" i="1"/>
  <c r="BC116" i="1"/>
  <c r="BB116" i="1"/>
  <c r="BJ115" i="1"/>
  <c r="BI115" i="1"/>
  <c r="BH115" i="1"/>
  <c r="BG115" i="1"/>
  <c r="BF115" i="1"/>
  <c r="BE115" i="1"/>
  <c r="BD115" i="1"/>
  <c r="BC115" i="1"/>
  <c r="BB115" i="1"/>
  <c r="BJ114" i="1"/>
  <c r="BI114" i="1"/>
  <c r="BH114" i="1"/>
  <c r="BG114" i="1"/>
  <c r="BF114" i="1"/>
  <c r="BE114" i="1"/>
  <c r="BD114" i="1"/>
  <c r="BC114" i="1"/>
  <c r="BB114" i="1"/>
  <c r="BJ113" i="1"/>
  <c r="BI113" i="1"/>
  <c r="BH113" i="1"/>
  <c r="BG113" i="1"/>
  <c r="BF113" i="1"/>
  <c r="BE113" i="1"/>
  <c r="BD113" i="1"/>
  <c r="BC113" i="1"/>
  <c r="BB113" i="1"/>
  <c r="BJ112" i="1"/>
  <c r="BI112" i="1"/>
  <c r="BH112" i="1"/>
  <c r="BG112" i="1"/>
  <c r="BF112" i="1"/>
  <c r="BE112" i="1"/>
  <c r="BD112" i="1"/>
  <c r="BC112" i="1"/>
  <c r="BB112" i="1"/>
  <c r="BJ111" i="1"/>
  <c r="BI111" i="1"/>
  <c r="BH111" i="1"/>
  <c r="BG111" i="1"/>
  <c r="BF111" i="1"/>
  <c r="BE111" i="1"/>
  <c r="BD111" i="1"/>
  <c r="BC111" i="1"/>
  <c r="BB111" i="1"/>
  <c r="BJ110" i="1"/>
  <c r="BI110" i="1"/>
  <c r="BH110" i="1"/>
  <c r="BG110" i="1"/>
  <c r="BF110" i="1"/>
  <c r="BE110" i="1"/>
  <c r="BD110" i="1"/>
  <c r="BC110" i="1"/>
  <c r="BB110" i="1"/>
  <c r="BJ109" i="1"/>
  <c r="BI109" i="1"/>
  <c r="BH109" i="1"/>
  <c r="BG109" i="1"/>
  <c r="BF109" i="1"/>
  <c r="BE109" i="1"/>
  <c r="BD109" i="1"/>
  <c r="BC109" i="1"/>
  <c r="BB109" i="1"/>
  <c r="BJ108" i="1"/>
  <c r="BI108" i="1"/>
  <c r="BH108" i="1"/>
  <c r="BG108" i="1"/>
  <c r="BF108" i="1"/>
  <c r="BE108" i="1"/>
  <c r="BD108" i="1"/>
  <c r="BC108" i="1"/>
  <c r="BB108" i="1"/>
  <c r="BJ107" i="1"/>
  <c r="BI107" i="1"/>
  <c r="BH107" i="1"/>
  <c r="BG107" i="1"/>
  <c r="BF107" i="1"/>
  <c r="BE107" i="1"/>
  <c r="BD107" i="1"/>
  <c r="BC107" i="1"/>
  <c r="BB107" i="1"/>
  <c r="BJ106" i="1"/>
  <c r="BI106" i="1"/>
  <c r="BH106" i="1"/>
  <c r="BG106" i="1"/>
  <c r="BF106" i="1"/>
  <c r="BE106" i="1"/>
  <c r="BD106" i="1"/>
  <c r="BC106" i="1"/>
  <c r="BB106" i="1"/>
  <c r="BJ105" i="1"/>
  <c r="BI105" i="1"/>
  <c r="BH105" i="1"/>
  <c r="BG105" i="1"/>
  <c r="BF105" i="1"/>
  <c r="BE105" i="1"/>
  <c r="BD105" i="1"/>
  <c r="BC105" i="1"/>
  <c r="BB105" i="1"/>
  <c r="BJ104" i="1"/>
  <c r="BI104" i="1"/>
  <c r="BH104" i="1"/>
  <c r="BG104" i="1"/>
  <c r="BF104" i="1"/>
  <c r="BE104" i="1"/>
  <c r="BD104" i="1"/>
  <c r="BC104" i="1"/>
  <c r="BB104" i="1"/>
  <c r="BJ103" i="1"/>
  <c r="BI103" i="1"/>
  <c r="BH103" i="1"/>
  <c r="BG103" i="1"/>
  <c r="BF103" i="1"/>
  <c r="BE103" i="1"/>
  <c r="BD103" i="1"/>
  <c r="BC103" i="1"/>
  <c r="BB103" i="1"/>
  <c r="BJ102" i="1"/>
  <c r="BI102" i="1"/>
  <c r="BH102" i="1"/>
  <c r="BG102" i="1"/>
  <c r="BF102" i="1"/>
  <c r="BE102" i="1"/>
  <c r="BD102" i="1"/>
  <c r="BC102" i="1"/>
  <c r="BB102" i="1"/>
  <c r="BJ101" i="1"/>
  <c r="BI101" i="1"/>
  <c r="BH101" i="1"/>
  <c r="BG101" i="1"/>
  <c r="BF101" i="1"/>
  <c r="BE101" i="1"/>
  <c r="BD101" i="1"/>
  <c r="BC101" i="1"/>
  <c r="BB101" i="1"/>
  <c r="BJ100" i="1"/>
  <c r="BI100" i="1"/>
  <c r="BH100" i="1"/>
  <c r="BG100" i="1"/>
  <c r="BF100" i="1"/>
  <c r="BE100" i="1"/>
  <c r="BD100" i="1"/>
  <c r="BC100" i="1"/>
  <c r="BB100" i="1"/>
  <c r="BJ99" i="1"/>
  <c r="BI99" i="1"/>
  <c r="BH99" i="1"/>
  <c r="BG99" i="1"/>
  <c r="BF99" i="1"/>
  <c r="BE99" i="1"/>
  <c r="BD99" i="1"/>
  <c r="BC99" i="1"/>
  <c r="BB99" i="1"/>
  <c r="BJ98" i="1"/>
  <c r="BI98" i="1"/>
  <c r="BH98" i="1"/>
  <c r="BG98" i="1"/>
  <c r="BF98" i="1"/>
  <c r="BE98" i="1"/>
  <c r="BD98" i="1"/>
  <c r="BC98" i="1"/>
  <c r="BB98" i="1"/>
  <c r="BJ97" i="1"/>
  <c r="BI97" i="1"/>
  <c r="BH97" i="1"/>
  <c r="BG97" i="1"/>
  <c r="BF97" i="1"/>
  <c r="BE97" i="1"/>
  <c r="BD97" i="1"/>
  <c r="BC97" i="1"/>
  <c r="BB97" i="1"/>
  <c r="BJ96" i="1"/>
  <c r="BI96" i="1"/>
  <c r="BH96" i="1"/>
  <c r="BG96" i="1"/>
  <c r="BF96" i="1"/>
  <c r="BE96" i="1"/>
  <c r="BD96" i="1"/>
  <c r="BC96" i="1"/>
  <c r="BB96" i="1"/>
  <c r="BJ95" i="1"/>
  <c r="BI95" i="1"/>
  <c r="BH95" i="1"/>
  <c r="BG95" i="1"/>
  <c r="BF95" i="1"/>
  <c r="BE95" i="1"/>
  <c r="BD95" i="1"/>
  <c r="BC95" i="1"/>
  <c r="BB95" i="1"/>
  <c r="BJ94" i="1"/>
  <c r="BI94" i="1"/>
  <c r="BH94" i="1"/>
  <c r="BG94" i="1"/>
  <c r="BF94" i="1"/>
  <c r="BE94" i="1"/>
  <c r="BD94" i="1"/>
  <c r="BC94" i="1"/>
  <c r="BB94" i="1"/>
  <c r="BJ93" i="1"/>
  <c r="BI93" i="1"/>
  <c r="BH93" i="1"/>
  <c r="BG93" i="1"/>
  <c r="BF93" i="1"/>
  <c r="BE93" i="1"/>
  <c r="BD93" i="1"/>
  <c r="BC93" i="1"/>
  <c r="BB93" i="1"/>
  <c r="BJ92" i="1"/>
  <c r="BI92" i="1"/>
  <c r="BH92" i="1"/>
  <c r="BG92" i="1"/>
  <c r="BF92" i="1"/>
  <c r="BE92" i="1"/>
  <c r="BD92" i="1"/>
  <c r="BC92" i="1"/>
  <c r="BB92" i="1"/>
  <c r="BJ91" i="1"/>
  <c r="BI91" i="1"/>
  <c r="BH91" i="1"/>
  <c r="BG91" i="1"/>
  <c r="BF91" i="1"/>
  <c r="BE91" i="1"/>
  <c r="BD91" i="1"/>
  <c r="BC91" i="1"/>
  <c r="BB91" i="1"/>
  <c r="BJ90" i="1"/>
  <c r="BI90" i="1"/>
  <c r="BH90" i="1"/>
  <c r="BG90" i="1"/>
  <c r="BF90" i="1"/>
  <c r="BE90" i="1"/>
  <c r="BD90" i="1"/>
  <c r="BC90" i="1"/>
  <c r="BB90" i="1"/>
  <c r="BJ89" i="1"/>
  <c r="BI89" i="1"/>
  <c r="BH89" i="1"/>
  <c r="BG89" i="1"/>
  <c r="BF89" i="1"/>
  <c r="BE89" i="1"/>
  <c r="BD89" i="1"/>
  <c r="BC89" i="1"/>
  <c r="BB89" i="1"/>
  <c r="BJ88" i="1"/>
  <c r="BI88" i="1"/>
  <c r="BH88" i="1"/>
  <c r="BG88" i="1"/>
  <c r="BF88" i="1"/>
  <c r="BE88" i="1"/>
  <c r="BD88" i="1"/>
  <c r="BC88" i="1"/>
  <c r="BB88" i="1"/>
  <c r="BJ87" i="1"/>
  <c r="BI87" i="1"/>
  <c r="BH87" i="1"/>
  <c r="BG87" i="1"/>
  <c r="BF87" i="1"/>
  <c r="BE87" i="1"/>
  <c r="BD87" i="1"/>
  <c r="BC87" i="1"/>
  <c r="BB87" i="1"/>
  <c r="BJ86" i="1"/>
  <c r="BI86" i="1"/>
  <c r="BH86" i="1"/>
  <c r="BG86" i="1"/>
  <c r="BF86" i="1"/>
  <c r="BE86" i="1"/>
  <c r="BD86" i="1"/>
  <c r="BC86" i="1"/>
  <c r="BB86" i="1"/>
  <c r="BJ85" i="1"/>
  <c r="BI85" i="1"/>
  <c r="BH85" i="1"/>
  <c r="BG85" i="1"/>
  <c r="BF85" i="1"/>
  <c r="BE85" i="1"/>
  <c r="BD85" i="1"/>
  <c r="BC85" i="1"/>
  <c r="BB85" i="1"/>
  <c r="BJ84" i="1"/>
  <c r="BI84" i="1"/>
  <c r="BH84" i="1"/>
  <c r="BG84" i="1"/>
  <c r="BF84" i="1"/>
  <c r="BE84" i="1"/>
  <c r="BD84" i="1"/>
  <c r="BC84" i="1"/>
  <c r="BB84" i="1"/>
  <c r="BJ83" i="1"/>
  <c r="BI83" i="1"/>
  <c r="BH83" i="1"/>
  <c r="BG83" i="1"/>
  <c r="BF83" i="1"/>
  <c r="BE83" i="1"/>
  <c r="BD83" i="1"/>
  <c r="BC83" i="1"/>
  <c r="BB83" i="1"/>
  <c r="BJ82" i="1"/>
  <c r="BI82" i="1"/>
  <c r="BH82" i="1"/>
  <c r="BG82" i="1"/>
  <c r="BF82" i="1"/>
  <c r="BE82" i="1"/>
  <c r="BD82" i="1"/>
  <c r="BC82" i="1"/>
  <c r="BB82" i="1"/>
  <c r="BJ81" i="1"/>
  <c r="BI81" i="1"/>
  <c r="BH81" i="1"/>
  <c r="BG81" i="1"/>
  <c r="BF81" i="1"/>
  <c r="BE81" i="1"/>
  <c r="BD81" i="1"/>
  <c r="BC81" i="1"/>
  <c r="BB81" i="1"/>
  <c r="BJ80" i="1"/>
  <c r="BI80" i="1"/>
  <c r="BH80" i="1"/>
  <c r="BG80" i="1"/>
  <c r="BF80" i="1"/>
  <c r="BE80" i="1"/>
  <c r="BD80" i="1"/>
  <c r="BC80" i="1"/>
  <c r="BB80" i="1"/>
  <c r="BJ79" i="1"/>
  <c r="BI79" i="1"/>
  <c r="BH79" i="1"/>
  <c r="BG79" i="1"/>
  <c r="BF79" i="1"/>
  <c r="BE79" i="1"/>
  <c r="BD79" i="1"/>
  <c r="BC79" i="1"/>
  <c r="BB79" i="1"/>
  <c r="BJ78" i="1"/>
  <c r="BI78" i="1"/>
  <c r="BH78" i="1"/>
  <c r="BG78" i="1"/>
  <c r="BF78" i="1"/>
  <c r="BE78" i="1"/>
  <c r="BD78" i="1"/>
  <c r="BC78" i="1"/>
  <c r="BB78" i="1"/>
  <c r="BJ77" i="1"/>
  <c r="BI77" i="1"/>
  <c r="BH77" i="1"/>
  <c r="BG77" i="1"/>
  <c r="BF77" i="1"/>
  <c r="BE77" i="1"/>
  <c r="BD77" i="1"/>
  <c r="BC77" i="1"/>
  <c r="BB77" i="1"/>
  <c r="BJ76" i="1"/>
  <c r="BI76" i="1"/>
  <c r="BH76" i="1"/>
  <c r="BG76" i="1"/>
  <c r="BF76" i="1"/>
  <c r="BE76" i="1"/>
  <c r="BD76" i="1"/>
  <c r="BC76" i="1"/>
  <c r="BB76" i="1"/>
  <c r="BJ75" i="1"/>
  <c r="BI75" i="1"/>
  <c r="BH75" i="1"/>
  <c r="BG75" i="1"/>
  <c r="BF75" i="1"/>
  <c r="BE75" i="1"/>
  <c r="BD75" i="1"/>
  <c r="BC75" i="1"/>
  <c r="BB75" i="1"/>
  <c r="BJ74" i="1"/>
  <c r="BI74" i="1"/>
  <c r="BH74" i="1"/>
  <c r="BG74" i="1"/>
  <c r="BF74" i="1"/>
  <c r="BE74" i="1"/>
  <c r="BD74" i="1"/>
  <c r="BC74" i="1"/>
  <c r="BB74" i="1"/>
  <c r="BJ73" i="1"/>
  <c r="BI73" i="1"/>
  <c r="BH73" i="1"/>
  <c r="BG73" i="1"/>
  <c r="BF73" i="1"/>
  <c r="BE73" i="1"/>
  <c r="BD73" i="1"/>
  <c r="BC73" i="1"/>
  <c r="BB73" i="1"/>
  <c r="BJ72" i="1"/>
  <c r="BI72" i="1"/>
  <c r="BH72" i="1"/>
  <c r="BG72" i="1"/>
  <c r="BF72" i="1"/>
  <c r="BE72" i="1"/>
  <c r="BD72" i="1"/>
  <c r="BC72" i="1"/>
  <c r="BB72" i="1"/>
  <c r="BJ71" i="1"/>
  <c r="BI71" i="1"/>
  <c r="BH71" i="1"/>
  <c r="BG71" i="1"/>
  <c r="BF71" i="1"/>
  <c r="BE71" i="1"/>
  <c r="BD71" i="1"/>
  <c r="BC71" i="1"/>
  <c r="BB71" i="1"/>
  <c r="BJ70" i="1"/>
  <c r="BI70" i="1"/>
  <c r="BH70" i="1"/>
  <c r="BG70" i="1"/>
  <c r="BF70" i="1"/>
  <c r="BE70" i="1"/>
  <c r="BD70" i="1"/>
  <c r="BC70" i="1"/>
  <c r="BB70" i="1"/>
  <c r="BJ69" i="1"/>
  <c r="BI69" i="1"/>
  <c r="BH69" i="1"/>
  <c r="BG69" i="1"/>
  <c r="BF69" i="1"/>
  <c r="BE69" i="1"/>
  <c r="BD69" i="1"/>
  <c r="BC69" i="1"/>
  <c r="BB69" i="1"/>
  <c r="BJ68" i="1"/>
  <c r="BI68" i="1"/>
  <c r="BH68" i="1"/>
  <c r="BG68" i="1"/>
  <c r="BF68" i="1"/>
  <c r="BE68" i="1"/>
  <c r="BD68" i="1"/>
  <c r="BC68" i="1"/>
  <c r="BB68" i="1"/>
  <c r="BJ67" i="1"/>
  <c r="BI67" i="1"/>
  <c r="BH67" i="1"/>
  <c r="BG67" i="1"/>
  <c r="BF67" i="1"/>
  <c r="BE67" i="1"/>
  <c r="BD67" i="1"/>
  <c r="BC67" i="1"/>
  <c r="BB67" i="1"/>
  <c r="BJ66" i="1"/>
  <c r="BI66" i="1"/>
  <c r="BH66" i="1"/>
  <c r="BG66" i="1"/>
  <c r="BF66" i="1"/>
  <c r="BE66" i="1"/>
  <c r="BD66" i="1"/>
  <c r="BC66" i="1"/>
  <c r="BB66" i="1"/>
  <c r="BJ65" i="1"/>
  <c r="BI65" i="1"/>
  <c r="BH65" i="1"/>
  <c r="BG65" i="1"/>
  <c r="BF65" i="1"/>
  <c r="BE65" i="1"/>
  <c r="BD65" i="1"/>
  <c r="BC65" i="1"/>
  <c r="BB65" i="1"/>
  <c r="BJ64" i="1"/>
  <c r="BI64" i="1"/>
  <c r="BH64" i="1"/>
  <c r="BG64" i="1"/>
  <c r="BF64" i="1"/>
  <c r="BE64" i="1"/>
  <c r="BD64" i="1"/>
  <c r="BC64" i="1"/>
  <c r="BB64" i="1"/>
  <c r="BJ63" i="1"/>
  <c r="BI63" i="1"/>
  <c r="BH63" i="1"/>
  <c r="BG63" i="1"/>
  <c r="BF63" i="1"/>
  <c r="BE63" i="1"/>
  <c r="BD63" i="1"/>
  <c r="BC63" i="1"/>
  <c r="BB63" i="1"/>
  <c r="BJ62" i="1"/>
  <c r="BI62" i="1"/>
  <c r="BH62" i="1"/>
  <c r="BG62" i="1"/>
  <c r="BF62" i="1"/>
  <c r="BE62" i="1"/>
  <c r="BD62" i="1"/>
  <c r="BC62" i="1"/>
  <c r="BB62" i="1"/>
  <c r="BJ61" i="1"/>
  <c r="BI61" i="1"/>
  <c r="BH61" i="1"/>
  <c r="BG61" i="1"/>
  <c r="BF61" i="1"/>
  <c r="BE61" i="1"/>
  <c r="BD61" i="1"/>
  <c r="BC61" i="1"/>
  <c r="BB61" i="1"/>
  <c r="BJ60" i="1"/>
  <c r="BI60" i="1"/>
  <c r="BH60" i="1"/>
  <c r="BG60" i="1"/>
  <c r="BF60" i="1"/>
  <c r="BE60" i="1"/>
  <c r="BD60" i="1"/>
  <c r="BC60" i="1"/>
  <c r="BB60" i="1"/>
  <c r="BJ59" i="1"/>
  <c r="BI59" i="1"/>
  <c r="BH59" i="1"/>
  <c r="BG59" i="1"/>
  <c r="BF59" i="1"/>
  <c r="BE59" i="1"/>
  <c r="BD59" i="1"/>
  <c r="BC59" i="1"/>
  <c r="BB59" i="1"/>
  <c r="BJ58" i="1"/>
  <c r="BI58" i="1"/>
  <c r="BH58" i="1"/>
  <c r="BG58" i="1"/>
  <c r="BF58" i="1"/>
  <c r="BE58" i="1"/>
  <c r="BD58" i="1"/>
  <c r="BC58" i="1"/>
  <c r="BB58" i="1"/>
  <c r="BJ57" i="1"/>
  <c r="BI57" i="1"/>
  <c r="BH57" i="1"/>
  <c r="BG57" i="1"/>
  <c r="BF57" i="1"/>
  <c r="BE57" i="1"/>
  <c r="BD57" i="1"/>
  <c r="BC57" i="1"/>
  <c r="BB57" i="1"/>
  <c r="BJ56" i="1"/>
  <c r="BI56" i="1"/>
  <c r="BH56" i="1"/>
  <c r="BG56" i="1"/>
  <c r="BF56" i="1"/>
  <c r="BE56" i="1"/>
  <c r="BD56" i="1"/>
  <c r="BC56" i="1"/>
  <c r="BB56" i="1"/>
  <c r="BJ55" i="1"/>
  <c r="BI55" i="1"/>
  <c r="BH55" i="1"/>
  <c r="BG55" i="1"/>
  <c r="BF55" i="1"/>
  <c r="BE55" i="1"/>
  <c r="BD55" i="1"/>
  <c r="BC55" i="1"/>
  <c r="BB55" i="1"/>
  <c r="BJ54" i="1"/>
  <c r="BI54" i="1"/>
  <c r="BH54" i="1"/>
  <c r="BG54" i="1"/>
  <c r="BF54" i="1"/>
  <c r="BE54" i="1"/>
  <c r="BD54" i="1"/>
  <c r="BC54" i="1"/>
  <c r="BB54" i="1"/>
  <c r="BJ53" i="1"/>
  <c r="BI53" i="1"/>
  <c r="BH53" i="1"/>
  <c r="BG53" i="1"/>
  <c r="BF53" i="1"/>
  <c r="BE53" i="1"/>
  <c r="BD53" i="1"/>
  <c r="BC53" i="1"/>
  <c r="BB53" i="1"/>
  <c r="BJ52" i="1"/>
  <c r="BI52" i="1"/>
  <c r="BH52" i="1"/>
  <c r="BG52" i="1"/>
  <c r="BF52" i="1"/>
  <c r="BE52" i="1"/>
  <c r="BD52" i="1"/>
  <c r="BC52" i="1"/>
  <c r="BB52" i="1"/>
  <c r="BJ51" i="1"/>
  <c r="BI51" i="1"/>
  <c r="BH51" i="1"/>
  <c r="BG51" i="1"/>
  <c r="BF51" i="1"/>
  <c r="BE51" i="1"/>
  <c r="BD51" i="1"/>
  <c r="BC51" i="1"/>
  <c r="BB51" i="1"/>
  <c r="BJ50" i="1"/>
  <c r="BI50" i="1"/>
  <c r="BH50" i="1"/>
  <c r="BG50" i="1"/>
  <c r="BF50" i="1"/>
  <c r="BE50" i="1"/>
  <c r="BD50" i="1"/>
  <c r="BC50" i="1"/>
  <c r="BB50" i="1"/>
  <c r="BJ49" i="1"/>
  <c r="BI49" i="1"/>
  <c r="BH49" i="1"/>
  <c r="BG49" i="1"/>
  <c r="BF49" i="1"/>
  <c r="BE49" i="1"/>
  <c r="BD49" i="1"/>
  <c r="BC49" i="1"/>
  <c r="BB49" i="1"/>
  <c r="BJ48" i="1"/>
  <c r="BI48" i="1"/>
  <c r="BH48" i="1"/>
  <c r="BG48" i="1"/>
  <c r="BF48" i="1"/>
  <c r="BE48" i="1"/>
  <c r="BD48" i="1"/>
  <c r="BC48" i="1"/>
  <c r="BB48" i="1"/>
  <c r="BJ47" i="1"/>
  <c r="BI47" i="1"/>
  <c r="BH47" i="1"/>
  <c r="BG47" i="1"/>
  <c r="BF47" i="1"/>
  <c r="BE47" i="1"/>
  <c r="BD47" i="1"/>
  <c r="BC47" i="1"/>
  <c r="BB47" i="1"/>
  <c r="BJ46" i="1"/>
  <c r="BI46" i="1"/>
  <c r="BH46" i="1"/>
  <c r="BG46" i="1"/>
  <c r="BF46" i="1"/>
  <c r="BE46" i="1"/>
  <c r="BD46" i="1"/>
  <c r="BC46" i="1"/>
  <c r="BB46" i="1"/>
  <c r="BJ45" i="1"/>
  <c r="BI45" i="1"/>
  <c r="BH45" i="1"/>
  <c r="BG45" i="1"/>
  <c r="BF45" i="1"/>
  <c r="BE45" i="1"/>
  <c r="BD45" i="1"/>
  <c r="BC45" i="1"/>
  <c r="BB45" i="1"/>
  <c r="BJ44" i="1"/>
  <c r="BI44" i="1"/>
  <c r="BH44" i="1"/>
  <c r="BG44" i="1"/>
  <c r="BF44" i="1"/>
  <c r="BE44" i="1"/>
  <c r="BD44" i="1"/>
  <c r="BC44" i="1"/>
  <c r="BB44" i="1"/>
  <c r="BJ43" i="1"/>
  <c r="BI43" i="1"/>
  <c r="BH43" i="1"/>
  <c r="BG43" i="1"/>
  <c r="BF43" i="1"/>
  <c r="BE43" i="1"/>
  <c r="BD43" i="1"/>
  <c r="BC43" i="1"/>
  <c r="BB43" i="1"/>
  <c r="BJ42" i="1"/>
  <c r="BI42" i="1"/>
  <c r="BH42" i="1"/>
  <c r="BG42" i="1"/>
  <c r="BF42" i="1"/>
  <c r="BE42" i="1"/>
  <c r="BD42" i="1"/>
  <c r="BC42" i="1"/>
  <c r="BB42" i="1"/>
  <c r="BJ41" i="1"/>
  <c r="BI41" i="1"/>
  <c r="BH41" i="1"/>
  <c r="BG41" i="1"/>
  <c r="BF41" i="1"/>
  <c r="BE41" i="1"/>
  <c r="BD41" i="1"/>
  <c r="BC41" i="1"/>
  <c r="BB41" i="1"/>
  <c r="BJ40" i="1"/>
  <c r="BI40" i="1"/>
  <c r="BH40" i="1"/>
  <c r="BG40" i="1"/>
  <c r="BF40" i="1"/>
  <c r="BE40" i="1"/>
  <c r="BD40" i="1"/>
  <c r="BC40" i="1"/>
  <c r="BB40" i="1"/>
  <c r="BJ39" i="1"/>
  <c r="BI39" i="1"/>
  <c r="BH39" i="1"/>
  <c r="BG39" i="1"/>
  <c r="BF39" i="1"/>
  <c r="BE39" i="1"/>
  <c r="BD39" i="1"/>
  <c r="BC39" i="1"/>
  <c r="BB39" i="1"/>
  <c r="BJ38" i="1"/>
  <c r="BI38" i="1"/>
  <c r="BH38" i="1"/>
  <c r="BG38" i="1"/>
  <c r="BF38" i="1"/>
  <c r="BE38" i="1"/>
  <c r="BD38" i="1"/>
  <c r="BC38" i="1"/>
  <c r="BB38" i="1"/>
  <c r="BJ37" i="1"/>
  <c r="BI37" i="1"/>
  <c r="BH37" i="1"/>
  <c r="BG37" i="1"/>
  <c r="BF37" i="1"/>
  <c r="BE37" i="1"/>
  <c r="BD37" i="1"/>
  <c r="BC37" i="1"/>
  <c r="BB37" i="1"/>
  <c r="BJ36" i="1"/>
  <c r="BI36" i="1"/>
  <c r="BH36" i="1"/>
  <c r="BG36" i="1"/>
  <c r="BF36" i="1"/>
  <c r="BE36" i="1"/>
  <c r="BD36" i="1"/>
  <c r="BC36" i="1"/>
  <c r="BB36" i="1"/>
  <c r="BJ35" i="1"/>
  <c r="BI35" i="1"/>
  <c r="BH35" i="1"/>
  <c r="BG35" i="1"/>
  <c r="BF35" i="1"/>
  <c r="BE35" i="1"/>
  <c r="BD35" i="1"/>
  <c r="BC35" i="1"/>
  <c r="BB35" i="1"/>
  <c r="BJ34" i="1"/>
  <c r="BI34" i="1"/>
  <c r="BH34" i="1"/>
  <c r="BG34" i="1"/>
  <c r="BF34" i="1"/>
  <c r="BE34" i="1"/>
  <c r="BD34" i="1"/>
  <c r="BC34" i="1"/>
  <c r="BB34" i="1"/>
  <c r="BJ33" i="1"/>
  <c r="BI33" i="1"/>
  <c r="BH33" i="1"/>
  <c r="BG33" i="1"/>
  <c r="BF33" i="1"/>
  <c r="BE33" i="1"/>
  <c r="BD33" i="1"/>
  <c r="BC33" i="1"/>
  <c r="BB33" i="1"/>
  <c r="BJ32" i="1"/>
  <c r="BI32" i="1"/>
  <c r="BH32" i="1"/>
  <c r="BG32" i="1"/>
  <c r="BF32" i="1"/>
  <c r="BE32" i="1"/>
  <c r="BD32" i="1"/>
  <c r="BC32" i="1"/>
  <c r="BB32" i="1"/>
  <c r="BJ31" i="1"/>
  <c r="BI31" i="1"/>
  <c r="BH31" i="1"/>
  <c r="BG31" i="1"/>
  <c r="BF31" i="1"/>
  <c r="BE31" i="1"/>
  <c r="BD31" i="1"/>
  <c r="BC31" i="1"/>
  <c r="BB31" i="1"/>
  <c r="BJ30" i="1"/>
  <c r="BI30" i="1"/>
  <c r="BH30" i="1"/>
  <c r="BG30" i="1"/>
  <c r="BF30" i="1"/>
  <c r="BE30" i="1"/>
  <c r="BD30" i="1"/>
  <c r="BC30" i="1"/>
  <c r="BB30" i="1"/>
  <c r="BJ29" i="1"/>
  <c r="BI29" i="1"/>
  <c r="BH29" i="1"/>
  <c r="BG29" i="1"/>
  <c r="BF29" i="1"/>
  <c r="BE29" i="1"/>
  <c r="BD29" i="1"/>
  <c r="BC29" i="1"/>
  <c r="BB29" i="1"/>
  <c r="BJ28" i="1"/>
  <c r="BI28" i="1"/>
  <c r="BH28" i="1"/>
  <c r="BG28" i="1"/>
  <c r="BF28" i="1"/>
  <c r="BE28" i="1"/>
  <c r="BD28" i="1"/>
  <c r="BC28" i="1"/>
  <c r="BB28" i="1"/>
  <c r="BJ27" i="1"/>
  <c r="BI27" i="1"/>
  <c r="BH27" i="1"/>
  <c r="BG27" i="1"/>
  <c r="BF27" i="1"/>
  <c r="BE27" i="1"/>
  <c r="BD27" i="1"/>
  <c r="BC27" i="1"/>
  <c r="BB27" i="1"/>
  <c r="BJ26" i="1"/>
  <c r="BI26" i="1"/>
  <c r="BH26" i="1"/>
  <c r="BG26" i="1"/>
  <c r="BF26" i="1"/>
  <c r="BE26" i="1"/>
  <c r="BD26" i="1"/>
  <c r="BC26" i="1"/>
  <c r="BB26" i="1"/>
  <c r="BJ25" i="1"/>
  <c r="BI25" i="1"/>
  <c r="BH25" i="1"/>
  <c r="BG25" i="1"/>
  <c r="BF25" i="1"/>
  <c r="BE25" i="1"/>
  <c r="BD25" i="1"/>
  <c r="BC25" i="1"/>
  <c r="BB25" i="1"/>
  <c r="BJ24" i="1"/>
  <c r="BI24" i="1"/>
  <c r="BH24" i="1"/>
  <c r="BG24" i="1"/>
  <c r="BF24" i="1"/>
  <c r="BE24" i="1"/>
  <c r="BD24" i="1"/>
  <c r="BC24" i="1"/>
  <c r="BB24" i="1"/>
  <c r="BJ23" i="1"/>
  <c r="BI23" i="1"/>
  <c r="BH23" i="1"/>
  <c r="BG23" i="1"/>
  <c r="BF23" i="1"/>
  <c r="BE23" i="1"/>
  <c r="BD23" i="1"/>
  <c r="BC23" i="1"/>
  <c r="BB23" i="1"/>
  <c r="BJ22" i="1"/>
  <c r="BI22" i="1"/>
  <c r="BH22" i="1"/>
  <c r="BG22" i="1"/>
  <c r="BF22" i="1"/>
  <c r="BE22" i="1"/>
  <c r="BD22" i="1"/>
  <c r="BC22" i="1"/>
  <c r="BB22" i="1"/>
  <c r="BJ21" i="1"/>
  <c r="BI21" i="1"/>
  <c r="BH21" i="1"/>
  <c r="BG21" i="1"/>
  <c r="BF21" i="1"/>
  <c r="BE21" i="1"/>
  <c r="BD21" i="1"/>
  <c r="BC21" i="1"/>
  <c r="BB21" i="1"/>
  <c r="BJ20" i="1"/>
  <c r="BI20" i="1"/>
  <c r="BH20" i="1"/>
  <c r="BG20" i="1"/>
  <c r="BF20" i="1"/>
  <c r="BE20" i="1"/>
  <c r="BD20" i="1"/>
  <c r="BC20" i="1"/>
  <c r="BB20" i="1"/>
  <c r="BJ19" i="1"/>
  <c r="BI19" i="1"/>
  <c r="BH19" i="1"/>
  <c r="BG19" i="1"/>
  <c r="BF19" i="1"/>
  <c r="BE19" i="1"/>
  <c r="BD19" i="1"/>
  <c r="BC19" i="1"/>
  <c r="BB19" i="1"/>
  <c r="BJ18" i="1"/>
  <c r="BI18" i="1"/>
  <c r="BH18" i="1"/>
  <c r="BG18" i="1"/>
  <c r="BF18" i="1"/>
  <c r="BE18" i="1"/>
  <c r="BD18" i="1"/>
  <c r="BC18" i="1"/>
  <c r="BB18" i="1"/>
  <c r="BJ17" i="1"/>
  <c r="BI17" i="1"/>
  <c r="BH17" i="1"/>
  <c r="BG17" i="1"/>
  <c r="BF17" i="1"/>
  <c r="BE17" i="1"/>
  <c r="BD17" i="1"/>
  <c r="BC17" i="1"/>
  <c r="BB17" i="1"/>
  <c r="BJ16" i="1"/>
  <c r="BI16" i="1"/>
  <c r="BH16" i="1"/>
  <c r="BG16" i="1"/>
  <c r="BF16" i="1"/>
  <c r="BE16" i="1"/>
  <c r="BD16" i="1"/>
  <c r="BC16" i="1"/>
  <c r="BB16" i="1"/>
  <c r="BJ15" i="1"/>
  <c r="BI15" i="1"/>
  <c r="BH15" i="1"/>
  <c r="BG15" i="1"/>
  <c r="BF15" i="1"/>
  <c r="BE15" i="1"/>
  <c r="BD15" i="1"/>
  <c r="BC15" i="1"/>
  <c r="BB15" i="1"/>
  <c r="BJ14" i="1"/>
  <c r="BI14" i="1"/>
  <c r="BH14" i="1"/>
  <c r="BG14" i="1"/>
  <c r="BF14" i="1"/>
  <c r="BE14" i="1"/>
  <c r="BD14" i="1"/>
  <c r="BC14" i="1"/>
  <c r="BB14" i="1"/>
  <c r="BJ13" i="1"/>
  <c r="BI13" i="1"/>
  <c r="BH13" i="1"/>
  <c r="BG13" i="1"/>
  <c r="BF13" i="1"/>
  <c r="BE13" i="1"/>
  <c r="BD13" i="1"/>
  <c r="BC13" i="1"/>
  <c r="BB13" i="1"/>
  <c r="BJ12" i="1"/>
  <c r="BI12" i="1"/>
  <c r="BH12" i="1"/>
  <c r="BG12" i="1"/>
  <c r="BF12" i="1"/>
  <c r="BE12" i="1"/>
  <c r="BD12" i="1"/>
  <c r="BC12" i="1"/>
  <c r="BB12" i="1"/>
  <c r="BJ11" i="1"/>
  <c r="BI11" i="1"/>
  <c r="BH11" i="1"/>
  <c r="BG11" i="1"/>
  <c r="BF11" i="1"/>
  <c r="BE11" i="1"/>
  <c r="BD11" i="1"/>
  <c r="BC11" i="1"/>
  <c r="BB11" i="1"/>
  <c r="BJ10" i="1"/>
  <c r="BI10" i="1"/>
  <c r="BH10" i="1"/>
  <c r="BG10" i="1"/>
  <c r="BF10" i="1"/>
  <c r="BE10" i="1"/>
  <c r="BD10" i="1"/>
  <c r="BC10" i="1"/>
  <c r="BB10" i="1"/>
  <c r="BJ9" i="1"/>
  <c r="BI9" i="1"/>
  <c r="BH9" i="1"/>
  <c r="BG9" i="1"/>
  <c r="BF9" i="1"/>
  <c r="BE9" i="1"/>
  <c r="BD9" i="1"/>
  <c r="BC9" i="1"/>
  <c r="BB9" i="1"/>
  <c r="BJ8" i="1"/>
  <c r="BI8" i="1"/>
  <c r="BH8" i="1"/>
  <c r="BG8" i="1"/>
  <c r="BF8" i="1"/>
  <c r="BE8" i="1"/>
  <c r="BD8" i="1"/>
  <c r="BC8" i="1"/>
  <c r="BB8" i="1"/>
  <c r="BJ7" i="1"/>
  <c r="BI7" i="1"/>
  <c r="BH7" i="1"/>
  <c r="BG7" i="1"/>
  <c r="BF7" i="1"/>
  <c r="BE7" i="1"/>
  <c r="BD7" i="1"/>
  <c r="BC7" i="1"/>
  <c r="BB7" i="1"/>
  <c r="BJ6" i="1"/>
  <c r="BI6" i="1"/>
  <c r="BH6" i="1"/>
  <c r="BG6" i="1"/>
  <c r="BF6" i="1"/>
  <c r="BE6" i="1"/>
  <c r="BD6" i="1"/>
  <c r="BC6" i="1"/>
  <c r="BB6" i="1"/>
  <c r="BJ5" i="1"/>
  <c r="BI5" i="1"/>
  <c r="BH5" i="1"/>
  <c r="BG5" i="1"/>
  <c r="BF5" i="1"/>
  <c r="BE5" i="1"/>
  <c r="BD5" i="1"/>
  <c r="BC5" i="1"/>
  <c r="BB5" i="1"/>
  <c r="BJ4" i="1"/>
  <c r="BI4" i="1"/>
  <c r="BH4" i="1"/>
  <c r="BG4" i="1"/>
  <c r="BF4" i="1"/>
  <c r="BE4" i="1"/>
  <c r="BD4" i="1"/>
  <c r="BC4" i="1"/>
  <c r="BB4" i="1"/>
  <c r="BJ3" i="1"/>
  <c r="BI3" i="1"/>
  <c r="BH3" i="1"/>
  <c r="BG3" i="1"/>
  <c r="BF3" i="1"/>
  <c r="BE3" i="1"/>
  <c r="BD3" i="1"/>
  <c r="BC3" i="1"/>
  <c r="BB3" i="1"/>
  <c r="AX144" i="1"/>
  <c r="AW144" i="1"/>
  <c r="AV144" i="1"/>
  <c r="AX143" i="1"/>
  <c r="AW143" i="1"/>
  <c r="AV143" i="1"/>
  <c r="AX142" i="1"/>
  <c r="AW142" i="1"/>
  <c r="AV142" i="1"/>
  <c r="AX141" i="1"/>
  <c r="AW141" i="1"/>
  <c r="AV141" i="1"/>
  <c r="AX140" i="1"/>
  <c r="AW140" i="1"/>
  <c r="AV140" i="1"/>
  <c r="AX139" i="1"/>
  <c r="AW139" i="1"/>
  <c r="AV139" i="1"/>
  <c r="AX138" i="1"/>
  <c r="AW138" i="1"/>
  <c r="AV138" i="1"/>
  <c r="AX137" i="1"/>
  <c r="AW137" i="1"/>
  <c r="AV137" i="1"/>
  <c r="AX136" i="1"/>
  <c r="AW136" i="1"/>
  <c r="AV136" i="1"/>
  <c r="AX135" i="1"/>
  <c r="AW135" i="1"/>
  <c r="AV135" i="1"/>
  <c r="AX134" i="1"/>
  <c r="AW134" i="1"/>
  <c r="AV134" i="1"/>
  <c r="AX133" i="1"/>
  <c r="AW133" i="1"/>
  <c r="AV133" i="1"/>
  <c r="AX132" i="1"/>
  <c r="AW132" i="1"/>
  <c r="AV132" i="1"/>
  <c r="AX131" i="1"/>
  <c r="AW131" i="1"/>
  <c r="AV131" i="1"/>
  <c r="AX130" i="1"/>
  <c r="AW130" i="1"/>
  <c r="AV130" i="1"/>
  <c r="AX129" i="1"/>
  <c r="AW129" i="1"/>
  <c r="AV129" i="1"/>
  <c r="AX128" i="1"/>
  <c r="AW128" i="1"/>
  <c r="AV128" i="1"/>
  <c r="AX127" i="1"/>
  <c r="AW127" i="1"/>
  <c r="AV127" i="1"/>
  <c r="AX126" i="1"/>
  <c r="AW126" i="1"/>
  <c r="AV126" i="1"/>
  <c r="AX125" i="1"/>
  <c r="AW125" i="1"/>
  <c r="AV125" i="1"/>
  <c r="AX124" i="1"/>
  <c r="AW124" i="1"/>
  <c r="AV124" i="1"/>
  <c r="AX123" i="1"/>
  <c r="AW123" i="1"/>
  <c r="AV123" i="1"/>
  <c r="AX122" i="1"/>
  <c r="AW122" i="1"/>
  <c r="AV122" i="1"/>
  <c r="AX121" i="1"/>
  <c r="AW121" i="1"/>
  <c r="AV121" i="1"/>
  <c r="AX120" i="1"/>
  <c r="AW120" i="1"/>
  <c r="AV120" i="1"/>
  <c r="AX119" i="1"/>
  <c r="AW119" i="1"/>
  <c r="AV119" i="1"/>
  <c r="AX118" i="1"/>
  <c r="AW118" i="1"/>
  <c r="AV118" i="1"/>
  <c r="AX117" i="1"/>
  <c r="AW117" i="1"/>
  <c r="AV117" i="1"/>
  <c r="AX116" i="1"/>
  <c r="AW116" i="1"/>
  <c r="AV116" i="1"/>
  <c r="AX115" i="1"/>
  <c r="AW115" i="1"/>
  <c r="AV115" i="1"/>
  <c r="AX114" i="1"/>
  <c r="AW114" i="1"/>
  <c r="AV114" i="1"/>
  <c r="AX113" i="1"/>
  <c r="AW113" i="1"/>
  <c r="AV113" i="1"/>
  <c r="AX112" i="1"/>
  <c r="AW112" i="1"/>
  <c r="AV112" i="1"/>
  <c r="AX111" i="1"/>
  <c r="AW111" i="1"/>
  <c r="AV111" i="1"/>
  <c r="AX110" i="1"/>
  <c r="AW110" i="1"/>
  <c r="AV110" i="1"/>
  <c r="AX109" i="1"/>
  <c r="AW109" i="1"/>
  <c r="AV109" i="1"/>
  <c r="AX108" i="1"/>
  <c r="AW108" i="1"/>
  <c r="AV108" i="1"/>
  <c r="AX107" i="1"/>
  <c r="AW107" i="1"/>
  <c r="AV107" i="1"/>
  <c r="AX106" i="1"/>
  <c r="AW106" i="1"/>
  <c r="AV106" i="1"/>
  <c r="AX105" i="1"/>
  <c r="AW105" i="1"/>
  <c r="AV105" i="1"/>
  <c r="AX104" i="1"/>
  <c r="AW104" i="1"/>
  <c r="AV104" i="1"/>
  <c r="AX103" i="1"/>
  <c r="AW103" i="1"/>
  <c r="AV103" i="1"/>
  <c r="AX102" i="1"/>
  <c r="AW102" i="1"/>
  <c r="AV102" i="1"/>
  <c r="AX101" i="1"/>
  <c r="AW101" i="1"/>
  <c r="AV101" i="1"/>
  <c r="AX100" i="1"/>
  <c r="AW100" i="1"/>
  <c r="AV100" i="1"/>
  <c r="AX99" i="1"/>
  <c r="AW99" i="1"/>
  <c r="AV99" i="1"/>
  <c r="AX98" i="1"/>
  <c r="AW98" i="1"/>
  <c r="AV98" i="1"/>
  <c r="AX97" i="1"/>
  <c r="AW97" i="1"/>
  <c r="AV97" i="1"/>
  <c r="AX96" i="1"/>
  <c r="AW96" i="1"/>
  <c r="AV96" i="1"/>
  <c r="AX95" i="1"/>
  <c r="AW95" i="1"/>
  <c r="AV95" i="1"/>
  <c r="AX94" i="1"/>
  <c r="AW94" i="1"/>
  <c r="AV94" i="1"/>
  <c r="AX93" i="1"/>
  <c r="AW93" i="1"/>
  <c r="AV93" i="1"/>
  <c r="AX92" i="1"/>
  <c r="AW92" i="1"/>
  <c r="AV92" i="1"/>
  <c r="AX91" i="1"/>
  <c r="AW91" i="1"/>
  <c r="AV91" i="1"/>
  <c r="AX90" i="1"/>
  <c r="AW90" i="1"/>
  <c r="AV90" i="1"/>
  <c r="AX89" i="1"/>
  <c r="AW89" i="1"/>
  <c r="AV89" i="1"/>
  <c r="AX88" i="1"/>
  <c r="AW88" i="1"/>
  <c r="AV88" i="1"/>
  <c r="AX87" i="1"/>
  <c r="AW87" i="1"/>
  <c r="AV87" i="1"/>
  <c r="AX86" i="1"/>
  <c r="AW86" i="1"/>
  <c r="AV86" i="1"/>
  <c r="AX85" i="1"/>
  <c r="AW85" i="1"/>
  <c r="AV85" i="1"/>
  <c r="AX84" i="1"/>
  <c r="AW84" i="1"/>
  <c r="AV84" i="1"/>
  <c r="AX83" i="1"/>
  <c r="AW83" i="1"/>
  <c r="AV83" i="1"/>
  <c r="AX82" i="1"/>
  <c r="AW82" i="1"/>
  <c r="AV82" i="1"/>
  <c r="AX81" i="1"/>
  <c r="AW81" i="1"/>
  <c r="AV81" i="1"/>
  <c r="AX80" i="1"/>
  <c r="AW80" i="1"/>
  <c r="AV80" i="1"/>
  <c r="AX79" i="1"/>
  <c r="AW79" i="1"/>
  <c r="AV79" i="1"/>
  <c r="AX78" i="1"/>
  <c r="AW78" i="1"/>
  <c r="AV78" i="1"/>
  <c r="AX77" i="1"/>
  <c r="AW77" i="1"/>
  <c r="AV77" i="1"/>
  <c r="AX76" i="1"/>
  <c r="AW76" i="1"/>
  <c r="AV76" i="1"/>
  <c r="AX75" i="1"/>
  <c r="AW75" i="1"/>
  <c r="AV75" i="1"/>
  <c r="AX74" i="1"/>
  <c r="AW74" i="1"/>
  <c r="AV74" i="1"/>
  <c r="AX73" i="1"/>
  <c r="AW73" i="1"/>
  <c r="AV73" i="1"/>
  <c r="AX72" i="1"/>
  <c r="AW72" i="1"/>
  <c r="AV72" i="1"/>
  <c r="AX71" i="1"/>
  <c r="AW71" i="1"/>
  <c r="AV71" i="1"/>
  <c r="AX70" i="1"/>
  <c r="AW70" i="1"/>
  <c r="AV70" i="1"/>
  <c r="AX69" i="1"/>
  <c r="AW69" i="1"/>
  <c r="AV69" i="1"/>
  <c r="AX68" i="1"/>
  <c r="AW68" i="1"/>
  <c r="AV68" i="1"/>
  <c r="AX67" i="1"/>
  <c r="AW67" i="1"/>
  <c r="AV67" i="1"/>
  <c r="AX66" i="1"/>
  <c r="AW66" i="1"/>
  <c r="AV66" i="1"/>
  <c r="AX65" i="1"/>
  <c r="AW65" i="1"/>
  <c r="AV65" i="1"/>
  <c r="AX64" i="1"/>
  <c r="AW64" i="1"/>
  <c r="AV64" i="1"/>
  <c r="AX63" i="1"/>
  <c r="AW63" i="1"/>
  <c r="AV63" i="1"/>
  <c r="AX62" i="1"/>
  <c r="AW62" i="1"/>
  <c r="AV62" i="1"/>
  <c r="AX61" i="1"/>
  <c r="AW61" i="1"/>
  <c r="AV61" i="1"/>
  <c r="AX60" i="1"/>
  <c r="AW60" i="1"/>
  <c r="AV60" i="1"/>
  <c r="AX59" i="1"/>
  <c r="AW59" i="1"/>
  <c r="AV59" i="1"/>
  <c r="AX58" i="1"/>
  <c r="AW58" i="1"/>
  <c r="AV58" i="1"/>
  <c r="AX57" i="1"/>
  <c r="AW57" i="1"/>
  <c r="AV57" i="1"/>
  <c r="AX56" i="1"/>
  <c r="AW56" i="1"/>
  <c r="AV56" i="1"/>
  <c r="AX55" i="1"/>
  <c r="AW55" i="1"/>
  <c r="AV55" i="1"/>
  <c r="AX54" i="1"/>
  <c r="AW54" i="1"/>
  <c r="AV54" i="1"/>
  <c r="AX53" i="1"/>
  <c r="AW53" i="1"/>
  <c r="AV53" i="1"/>
  <c r="AX52" i="1"/>
  <c r="AW52" i="1"/>
  <c r="AV52" i="1"/>
  <c r="AX51" i="1"/>
  <c r="AW51" i="1"/>
  <c r="AV51" i="1"/>
  <c r="AX50" i="1"/>
  <c r="AW50" i="1"/>
  <c r="AV50" i="1"/>
  <c r="AX49" i="1"/>
  <c r="AW49" i="1"/>
  <c r="AV49" i="1"/>
  <c r="AX48" i="1"/>
  <c r="AW48" i="1"/>
  <c r="AV48" i="1"/>
  <c r="AX47" i="1"/>
  <c r="AW47" i="1"/>
  <c r="AV47" i="1"/>
  <c r="AX46" i="1"/>
  <c r="AW46" i="1"/>
  <c r="AV46" i="1"/>
  <c r="AX45" i="1"/>
  <c r="AW45" i="1"/>
  <c r="AV45" i="1"/>
  <c r="AX44" i="1"/>
  <c r="AW44" i="1"/>
  <c r="AV44" i="1"/>
  <c r="AX43" i="1"/>
  <c r="AW43" i="1"/>
  <c r="AV43" i="1"/>
  <c r="AX42" i="1"/>
  <c r="AW42" i="1"/>
  <c r="AV42" i="1"/>
  <c r="AX41" i="1"/>
  <c r="AW41" i="1"/>
  <c r="AV41" i="1"/>
  <c r="AX40" i="1"/>
  <c r="AW40" i="1"/>
  <c r="AV40" i="1"/>
  <c r="AX39" i="1"/>
  <c r="AW39" i="1"/>
  <c r="AV39" i="1"/>
  <c r="AX38" i="1"/>
  <c r="AW38" i="1"/>
  <c r="AV38" i="1"/>
  <c r="AX37" i="1"/>
  <c r="AW37" i="1"/>
  <c r="AV37" i="1"/>
  <c r="AX36" i="1"/>
  <c r="AW36" i="1"/>
  <c r="AV36" i="1"/>
  <c r="AX35" i="1"/>
  <c r="AW35" i="1"/>
  <c r="AV35" i="1"/>
  <c r="AX34" i="1"/>
  <c r="AW34" i="1"/>
  <c r="AV34" i="1"/>
  <c r="AX33" i="1"/>
  <c r="AW33" i="1"/>
  <c r="AV33" i="1"/>
  <c r="AX32" i="1"/>
  <c r="AW32" i="1"/>
  <c r="AV32" i="1"/>
  <c r="AX31" i="1"/>
  <c r="AW31" i="1"/>
  <c r="AV31" i="1"/>
  <c r="AX30" i="1"/>
  <c r="AW30" i="1"/>
  <c r="AV30" i="1"/>
  <c r="AX29" i="1"/>
  <c r="AW29" i="1"/>
  <c r="AV29" i="1"/>
  <c r="AX28" i="1"/>
  <c r="AW28" i="1"/>
  <c r="AV28" i="1"/>
  <c r="AX27" i="1"/>
  <c r="AW27" i="1"/>
  <c r="AV27" i="1"/>
  <c r="AX26" i="1"/>
  <c r="AW26" i="1"/>
  <c r="AV26" i="1"/>
  <c r="AX25" i="1"/>
  <c r="AW25" i="1"/>
  <c r="AV25" i="1"/>
  <c r="AX24" i="1"/>
  <c r="AW24" i="1"/>
  <c r="AV24" i="1"/>
  <c r="AX23" i="1"/>
  <c r="AW23" i="1"/>
  <c r="AV23" i="1"/>
  <c r="AX22" i="1"/>
  <c r="AW22" i="1"/>
  <c r="AV22" i="1"/>
  <c r="AX21" i="1"/>
  <c r="AW21" i="1"/>
  <c r="AV21" i="1"/>
  <c r="AX20" i="1"/>
  <c r="AW20" i="1"/>
  <c r="AV20" i="1"/>
  <c r="AX19" i="1"/>
  <c r="AW19" i="1"/>
  <c r="AV19" i="1"/>
  <c r="AX18" i="1"/>
  <c r="AW18" i="1"/>
  <c r="AV18" i="1"/>
  <c r="AX17" i="1"/>
  <c r="AW17" i="1"/>
  <c r="AV17" i="1"/>
  <c r="AX16" i="1"/>
  <c r="AW16" i="1"/>
  <c r="AV16" i="1"/>
  <c r="AX15" i="1"/>
  <c r="AW15" i="1"/>
  <c r="AV15" i="1"/>
  <c r="AX14" i="1"/>
  <c r="AW14" i="1"/>
  <c r="AV14" i="1"/>
  <c r="AX13" i="1"/>
  <c r="AW13" i="1"/>
  <c r="AV13" i="1"/>
  <c r="AX12" i="1"/>
  <c r="AW12" i="1"/>
  <c r="AV12" i="1"/>
  <c r="AX11" i="1"/>
  <c r="AW11" i="1"/>
  <c r="AV11" i="1"/>
  <c r="AX10" i="1"/>
  <c r="AW10" i="1"/>
  <c r="AV10" i="1"/>
  <c r="AX9" i="1"/>
  <c r="AW9" i="1"/>
  <c r="AV9" i="1"/>
  <c r="AX8" i="1"/>
  <c r="AW8" i="1"/>
  <c r="AV8" i="1"/>
  <c r="AX7" i="1"/>
  <c r="AW7" i="1"/>
  <c r="AV7" i="1"/>
  <c r="AX6" i="1"/>
  <c r="AW6" i="1"/>
  <c r="AV6" i="1"/>
  <c r="AX5" i="1"/>
  <c r="AW5" i="1"/>
  <c r="AV5" i="1"/>
  <c r="AX4" i="1"/>
  <c r="AW4" i="1"/>
  <c r="AV4" i="1"/>
  <c r="AX3" i="1"/>
  <c r="AW3" i="1"/>
  <c r="AV3" i="1"/>
  <c r="AS144" i="1"/>
  <c r="AR144" i="1"/>
  <c r="AQ144" i="1"/>
  <c r="AP144" i="1"/>
  <c r="AO144" i="1"/>
  <c r="AN144" i="1"/>
  <c r="AM144" i="1"/>
  <c r="AL144" i="1"/>
  <c r="AS143" i="1"/>
  <c r="AR143" i="1"/>
  <c r="AQ143" i="1"/>
  <c r="AP143" i="1"/>
  <c r="AO143" i="1"/>
  <c r="AN143" i="1"/>
  <c r="AM143" i="1"/>
  <c r="AL143" i="1"/>
  <c r="AS142" i="1"/>
  <c r="AR142" i="1"/>
  <c r="AQ142" i="1"/>
  <c r="AP142" i="1"/>
  <c r="AO142" i="1"/>
  <c r="AN142" i="1"/>
  <c r="AM142" i="1"/>
  <c r="AL142" i="1"/>
  <c r="AS141" i="1"/>
  <c r="AR141" i="1"/>
  <c r="AQ141" i="1"/>
  <c r="AP141" i="1"/>
  <c r="AO141" i="1"/>
  <c r="AN141" i="1"/>
  <c r="AM141" i="1"/>
  <c r="AL141" i="1"/>
  <c r="AS140" i="1"/>
  <c r="AR140" i="1"/>
  <c r="AQ140" i="1"/>
  <c r="AP140" i="1"/>
  <c r="AO140" i="1"/>
  <c r="AN140" i="1"/>
  <c r="AM140" i="1"/>
  <c r="AL140" i="1"/>
  <c r="AS139" i="1"/>
  <c r="AR139" i="1"/>
  <c r="AQ139" i="1"/>
  <c r="AP139" i="1"/>
  <c r="AO139" i="1"/>
  <c r="AN139" i="1"/>
  <c r="AM139" i="1"/>
  <c r="AL139" i="1"/>
  <c r="AS138" i="1"/>
  <c r="AR138" i="1"/>
  <c r="AQ138" i="1"/>
  <c r="AP138" i="1"/>
  <c r="AO138" i="1"/>
  <c r="AN138" i="1"/>
  <c r="AM138" i="1"/>
  <c r="AL138" i="1"/>
  <c r="AS137" i="1"/>
  <c r="AR137" i="1"/>
  <c r="AQ137" i="1"/>
  <c r="AP137" i="1"/>
  <c r="AO137" i="1"/>
  <c r="AN137" i="1"/>
  <c r="AM137" i="1"/>
  <c r="AL137" i="1"/>
  <c r="AS136" i="1"/>
  <c r="AR136" i="1"/>
  <c r="AQ136" i="1"/>
  <c r="AP136" i="1"/>
  <c r="AO136" i="1"/>
  <c r="AN136" i="1"/>
  <c r="AM136" i="1"/>
  <c r="AL136" i="1"/>
  <c r="AS135" i="1"/>
  <c r="AR135" i="1"/>
  <c r="AQ135" i="1"/>
  <c r="AP135" i="1"/>
  <c r="AO135" i="1"/>
  <c r="AN135" i="1"/>
  <c r="AM135" i="1"/>
  <c r="AL135" i="1"/>
  <c r="AS134" i="1"/>
  <c r="AR134" i="1"/>
  <c r="AQ134" i="1"/>
  <c r="AP134" i="1"/>
  <c r="AO134" i="1"/>
  <c r="AN134" i="1"/>
  <c r="AM134" i="1"/>
  <c r="AL134" i="1"/>
  <c r="AS133" i="1"/>
  <c r="AR133" i="1"/>
  <c r="AQ133" i="1"/>
  <c r="AP133" i="1"/>
  <c r="AO133" i="1"/>
  <c r="AN133" i="1"/>
  <c r="AM133" i="1"/>
  <c r="AL133" i="1"/>
  <c r="AS132" i="1"/>
  <c r="AR132" i="1"/>
  <c r="AQ132" i="1"/>
  <c r="AP132" i="1"/>
  <c r="AO132" i="1"/>
  <c r="AN132" i="1"/>
  <c r="AM132" i="1"/>
  <c r="AL132" i="1"/>
  <c r="AS131" i="1"/>
  <c r="AR131" i="1"/>
  <c r="AQ131" i="1"/>
  <c r="AP131" i="1"/>
  <c r="AO131" i="1"/>
  <c r="AN131" i="1"/>
  <c r="AM131" i="1"/>
  <c r="AL131" i="1"/>
  <c r="AS130" i="1"/>
  <c r="AR130" i="1"/>
  <c r="AQ130" i="1"/>
  <c r="AP130" i="1"/>
  <c r="AO130" i="1"/>
  <c r="AN130" i="1"/>
  <c r="AM130" i="1"/>
  <c r="AL130" i="1"/>
  <c r="AS129" i="1"/>
  <c r="AR129" i="1"/>
  <c r="AQ129" i="1"/>
  <c r="AP129" i="1"/>
  <c r="AO129" i="1"/>
  <c r="AN129" i="1"/>
  <c r="AM129" i="1"/>
  <c r="AL129" i="1"/>
  <c r="AS128" i="1"/>
  <c r="AR128" i="1"/>
  <c r="AQ128" i="1"/>
  <c r="AP128" i="1"/>
  <c r="AO128" i="1"/>
  <c r="AN128" i="1"/>
  <c r="AM128" i="1"/>
  <c r="AL128" i="1"/>
  <c r="AS127" i="1"/>
  <c r="AR127" i="1"/>
  <c r="AQ127" i="1"/>
  <c r="AP127" i="1"/>
  <c r="AO127" i="1"/>
  <c r="AN127" i="1"/>
  <c r="AM127" i="1"/>
  <c r="AL127" i="1"/>
  <c r="AS126" i="1"/>
  <c r="AR126" i="1"/>
  <c r="AQ126" i="1"/>
  <c r="AP126" i="1"/>
  <c r="AO126" i="1"/>
  <c r="AN126" i="1"/>
  <c r="AM126" i="1"/>
  <c r="AL126" i="1"/>
  <c r="AS125" i="1"/>
  <c r="AR125" i="1"/>
  <c r="AQ125" i="1"/>
  <c r="AP125" i="1"/>
  <c r="AO125" i="1"/>
  <c r="AN125" i="1"/>
  <c r="AM125" i="1"/>
  <c r="AL125" i="1"/>
  <c r="AS124" i="1"/>
  <c r="AR124" i="1"/>
  <c r="AQ124" i="1"/>
  <c r="AP124" i="1"/>
  <c r="AO124" i="1"/>
  <c r="AN124" i="1"/>
  <c r="AM124" i="1"/>
  <c r="AL124" i="1"/>
  <c r="AS123" i="1"/>
  <c r="AR123" i="1"/>
  <c r="AQ123" i="1"/>
  <c r="AP123" i="1"/>
  <c r="AO123" i="1"/>
  <c r="AN123" i="1"/>
  <c r="AM123" i="1"/>
  <c r="AL123" i="1"/>
  <c r="AS122" i="1"/>
  <c r="AR122" i="1"/>
  <c r="AQ122" i="1"/>
  <c r="AP122" i="1"/>
  <c r="AO122" i="1"/>
  <c r="AN122" i="1"/>
  <c r="AM122" i="1"/>
  <c r="AL122" i="1"/>
  <c r="AS121" i="1"/>
  <c r="AR121" i="1"/>
  <c r="AQ121" i="1"/>
  <c r="AP121" i="1"/>
  <c r="AO121" i="1"/>
  <c r="AN121" i="1"/>
  <c r="AM121" i="1"/>
  <c r="AL121" i="1"/>
  <c r="AS120" i="1"/>
  <c r="AR120" i="1"/>
  <c r="AQ120" i="1"/>
  <c r="AP120" i="1"/>
  <c r="AO120" i="1"/>
  <c r="AN120" i="1"/>
  <c r="AM120" i="1"/>
  <c r="AL120" i="1"/>
  <c r="AS119" i="1"/>
  <c r="AR119" i="1"/>
  <c r="AQ119" i="1"/>
  <c r="AP119" i="1"/>
  <c r="AO119" i="1"/>
  <c r="AN119" i="1"/>
  <c r="AM119" i="1"/>
  <c r="AL119" i="1"/>
  <c r="AS118" i="1"/>
  <c r="AR118" i="1"/>
  <c r="AQ118" i="1"/>
  <c r="AP118" i="1"/>
  <c r="AO118" i="1"/>
  <c r="AN118" i="1"/>
  <c r="AM118" i="1"/>
  <c r="AL118" i="1"/>
  <c r="AS117" i="1"/>
  <c r="AR117" i="1"/>
  <c r="AQ117" i="1"/>
  <c r="AP117" i="1"/>
  <c r="AO117" i="1"/>
  <c r="AN117" i="1"/>
  <c r="AM117" i="1"/>
  <c r="AL117" i="1"/>
  <c r="AS116" i="1"/>
  <c r="AR116" i="1"/>
  <c r="AQ116" i="1"/>
  <c r="AP116" i="1"/>
  <c r="AO116" i="1"/>
  <c r="AN116" i="1"/>
  <c r="AM116" i="1"/>
  <c r="AL116" i="1"/>
  <c r="AS115" i="1"/>
  <c r="AR115" i="1"/>
  <c r="AQ115" i="1"/>
  <c r="AP115" i="1"/>
  <c r="AO115" i="1"/>
  <c r="AN115" i="1"/>
  <c r="AM115" i="1"/>
  <c r="AL115" i="1"/>
  <c r="AS114" i="1"/>
  <c r="AR114" i="1"/>
  <c r="AQ114" i="1"/>
  <c r="AP114" i="1"/>
  <c r="AO114" i="1"/>
  <c r="AN114" i="1"/>
  <c r="AM114" i="1"/>
  <c r="AL114" i="1"/>
  <c r="AS113" i="1"/>
  <c r="AR113" i="1"/>
  <c r="AQ113" i="1"/>
  <c r="AP113" i="1"/>
  <c r="AO113" i="1"/>
  <c r="AN113" i="1"/>
  <c r="AM113" i="1"/>
  <c r="AL113" i="1"/>
  <c r="AS112" i="1"/>
  <c r="AR112" i="1"/>
  <c r="AQ112" i="1"/>
  <c r="AP112" i="1"/>
  <c r="AO112" i="1"/>
  <c r="AN112" i="1"/>
  <c r="AM112" i="1"/>
  <c r="AL112" i="1"/>
  <c r="AS111" i="1"/>
  <c r="AR111" i="1"/>
  <c r="AQ111" i="1"/>
  <c r="AP111" i="1"/>
  <c r="AO111" i="1"/>
  <c r="AN111" i="1"/>
  <c r="AM111" i="1"/>
  <c r="AL111" i="1"/>
  <c r="AS110" i="1"/>
  <c r="AR110" i="1"/>
  <c r="AQ110" i="1"/>
  <c r="AP110" i="1"/>
  <c r="AO110" i="1"/>
  <c r="AN110" i="1"/>
  <c r="AM110" i="1"/>
  <c r="AL110" i="1"/>
  <c r="AS109" i="1"/>
  <c r="AR109" i="1"/>
  <c r="AQ109" i="1"/>
  <c r="AP109" i="1"/>
  <c r="AO109" i="1"/>
  <c r="AN109" i="1"/>
  <c r="AM109" i="1"/>
  <c r="AL109" i="1"/>
  <c r="AS108" i="1"/>
  <c r="AR108" i="1"/>
  <c r="AQ108" i="1"/>
  <c r="AP108" i="1"/>
  <c r="AO108" i="1"/>
  <c r="AN108" i="1"/>
  <c r="AM108" i="1"/>
  <c r="AL108" i="1"/>
  <c r="AS107" i="1"/>
  <c r="AR107" i="1"/>
  <c r="AQ107" i="1"/>
  <c r="AP107" i="1"/>
  <c r="AO107" i="1"/>
  <c r="AN107" i="1"/>
  <c r="AM107" i="1"/>
  <c r="AL107" i="1"/>
  <c r="AS106" i="1"/>
  <c r="AR106" i="1"/>
  <c r="AQ106" i="1"/>
  <c r="AP106" i="1"/>
  <c r="AO106" i="1"/>
  <c r="AN106" i="1"/>
  <c r="AM106" i="1"/>
  <c r="AL106" i="1"/>
  <c r="AS105" i="1"/>
  <c r="AR105" i="1"/>
  <c r="AQ105" i="1"/>
  <c r="AP105" i="1"/>
  <c r="AO105" i="1"/>
  <c r="AN105" i="1"/>
  <c r="AM105" i="1"/>
  <c r="AL105" i="1"/>
  <c r="AS104" i="1"/>
  <c r="AR104" i="1"/>
  <c r="AQ104" i="1"/>
  <c r="AP104" i="1"/>
  <c r="AO104" i="1"/>
  <c r="AN104" i="1"/>
  <c r="AM104" i="1"/>
  <c r="AL104" i="1"/>
  <c r="AS103" i="1"/>
  <c r="AR103" i="1"/>
  <c r="AQ103" i="1"/>
  <c r="AP103" i="1"/>
  <c r="AO103" i="1"/>
  <c r="AN103" i="1"/>
  <c r="AM103" i="1"/>
  <c r="AL103" i="1"/>
  <c r="AS102" i="1"/>
  <c r="AR102" i="1"/>
  <c r="AQ102" i="1"/>
  <c r="AP102" i="1"/>
  <c r="AO102" i="1"/>
  <c r="AN102" i="1"/>
  <c r="AM102" i="1"/>
  <c r="AL102" i="1"/>
  <c r="AS101" i="1"/>
  <c r="AR101" i="1"/>
  <c r="AQ101" i="1"/>
  <c r="AP101" i="1"/>
  <c r="AO101" i="1"/>
  <c r="AN101" i="1"/>
  <c r="AM101" i="1"/>
  <c r="AL101" i="1"/>
  <c r="AS100" i="1"/>
  <c r="AR100" i="1"/>
  <c r="AQ100" i="1"/>
  <c r="AP100" i="1"/>
  <c r="AO100" i="1"/>
  <c r="AN100" i="1"/>
  <c r="AM100" i="1"/>
  <c r="AL100" i="1"/>
  <c r="AS99" i="1"/>
  <c r="AR99" i="1"/>
  <c r="AQ99" i="1"/>
  <c r="AP99" i="1"/>
  <c r="AO99" i="1"/>
  <c r="AN99" i="1"/>
  <c r="AM99" i="1"/>
  <c r="AL99" i="1"/>
  <c r="AS98" i="1"/>
  <c r="AR98" i="1"/>
  <c r="AQ98" i="1"/>
  <c r="AP98" i="1"/>
  <c r="AO98" i="1"/>
  <c r="AN98" i="1"/>
  <c r="AM98" i="1"/>
  <c r="AL98" i="1"/>
  <c r="AS97" i="1"/>
  <c r="AR97" i="1"/>
  <c r="AQ97" i="1"/>
  <c r="AP97" i="1"/>
  <c r="AO97" i="1"/>
  <c r="AN97" i="1"/>
  <c r="AM97" i="1"/>
  <c r="AL97" i="1"/>
  <c r="AS96" i="1"/>
  <c r="AR96" i="1"/>
  <c r="AQ96" i="1"/>
  <c r="AP96" i="1"/>
  <c r="AO96" i="1"/>
  <c r="AN96" i="1"/>
  <c r="AM96" i="1"/>
  <c r="AL96" i="1"/>
  <c r="AS95" i="1"/>
  <c r="AR95" i="1"/>
  <c r="AQ95" i="1"/>
  <c r="AP95" i="1"/>
  <c r="AO95" i="1"/>
  <c r="AN95" i="1"/>
  <c r="AM95" i="1"/>
  <c r="AL95" i="1"/>
  <c r="AS94" i="1"/>
  <c r="AR94" i="1"/>
  <c r="AQ94" i="1"/>
  <c r="AP94" i="1"/>
  <c r="AO94" i="1"/>
  <c r="AN94" i="1"/>
  <c r="AM94" i="1"/>
  <c r="AL94" i="1"/>
  <c r="AS93" i="1"/>
  <c r="AR93" i="1"/>
  <c r="AQ93" i="1"/>
  <c r="AP93" i="1"/>
  <c r="AO93" i="1"/>
  <c r="AN93" i="1"/>
  <c r="AM93" i="1"/>
  <c r="AL93" i="1"/>
  <c r="AS92" i="1"/>
  <c r="AR92" i="1"/>
  <c r="AQ92" i="1"/>
  <c r="AP92" i="1"/>
  <c r="AO92" i="1"/>
  <c r="AN92" i="1"/>
  <c r="AM92" i="1"/>
  <c r="AL92" i="1"/>
  <c r="AS91" i="1"/>
  <c r="AR91" i="1"/>
  <c r="AQ91" i="1"/>
  <c r="AP91" i="1"/>
  <c r="AO91" i="1"/>
  <c r="AN91" i="1"/>
  <c r="AM91" i="1"/>
  <c r="AL91" i="1"/>
  <c r="AS90" i="1"/>
  <c r="AR90" i="1"/>
  <c r="AQ90" i="1"/>
  <c r="AP90" i="1"/>
  <c r="AO90" i="1"/>
  <c r="AN90" i="1"/>
  <c r="AM90" i="1"/>
  <c r="AL90" i="1"/>
  <c r="AS89" i="1"/>
  <c r="AR89" i="1"/>
  <c r="AQ89" i="1"/>
  <c r="AP89" i="1"/>
  <c r="AO89" i="1"/>
  <c r="AN89" i="1"/>
  <c r="AM89" i="1"/>
  <c r="AL89" i="1"/>
  <c r="AS88" i="1"/>
  <c r="AR88" i="1"/>
  <c r="AQ88" i="1"/>
  <c r="AP88" i="1"/>
  <c r="AO88" i="1"/>
  <c r="AN88" i="1"/>
  <c r="AM88" i="1"/>
  <c r="AL88" i="1"/>
  <c r="AS87" i="1"/>
  <c r="AR87" i="1"/>
  <c r="AQ87" i="1"/>
  <c r="AP87" i="1"/>
  <c r="AO87" i="1"/>
  <c r="AN87" i="1"/>
  <c r="AM87" i="1"/>
  <c r="AL87" i="1"/>
  <c r="AS86" i="1"/>
  <c r="AR86" i="1"/>
  <c r="AQ86" i="1"/>
  <c r="AP86" i="1"/>
  <c r="AO86" i="1"/>
  <c r="AN86" i="1"/>
  <c r="AM86" i="1"/>
  <c r="AL86" i="1"/>
  <c r="AS85" i="1"/>
  <c r="AR85" i="1"/>
  <c r="AQ85" i="1"/>
  <c r="AP85" i="1"/>
  <c r="AO85" i="1"/>
  <c r="AN85" i="1"/>
  <c r="AM85" i="1"/>
  <c r="AL85" i="1"/>
  <c r="AS84" i="1"/>
  <c r="AR84" i="1"/>
  <c r="AQ84" i="1"/>
  <c r="AP84" i="1"/>
  <c r="AO84" i="1"/>
  <c r="AN84" i="1"/>
  <c r="AM84" i="1"/>
  <c r="AL84" i="1"/>
  <c r="AS83" i="1"/>
  <c r="AR83" i="1"/>
  <c r="AQ83" i="1"/>
  <c r="AP83" i="1"/>
  <c r="AO83" i="1"/>
  <c r="AN83" i="1"/>
  <c r="AM83" i="1"/>
  <c r="AL83" i="1"/>
  <c r="AS82" i="1"/>
  <c r="AR82" i="1"/>
  <c r="AQ82" i="1"/>
  <c r="AP82" i="1"/>
  <c r="AO82" i="1"/>
  <c r="AN82" i="1"/>
  <c r="AM82" i="1"/>
  <c r="AL82" i="1"/>
  <c r="AS81" i="1"/>
  <c r="AR81" i="1"/>
  <c r="AQ81" i="1"/>
  <c r="AP81" i="1"/>
  <c r="AO81" i="1"/>
  <c r="AN81" i="1"/>
  <c r="AM81" i="1"/>
  <c r="AL81" i="1"/>
  <c r="AS80" i="1"/>
  <c r="AR80" i="1"/>
  <c r="AQ80" i="1"/>
  <c r="AP80" i="1"/>
  <c r="AO80" i="1"/>
  <c r="AN80" i="1"/>
  <c r="AM80" i="1"/>
  <c r="AL80" i="1"/>
  <c r="AS79" i="1"/>
  <c r="AR79" i="1"/>
  <c r="AQ79" i="1"/>
  <c r="AP79" i="1"/>
  <c r="AO79" i="1"/>
  <c r="AN79" i="1"/>
  <c r="AM79" i="1"/>
  <c r="AL79" i="1"/>
  <c r="AS78" i="1"/>
  <c r="AR78" i="1"/>
  <c r="AQ78" i="1"/>
  <c r="AP78" i="1"/>
  <c r="AO78" i="1"/>
  <c r="AN78" i="1"/>
  <c r="AM78" i="1"/>
  <c r="AL78" i="1"/>
  <c r="AS77" i="1"/>
  <c r="AR77" i="1"/>
  <c r="AQ77" i="1"/>
  <c r="AP77" i="1"/>
  <c r="AO77" i="1"/>
  <c r="AN77" i="1"/>
  <c r="AM77" i="1"/>
  <c r="AL77" i="1"/>
  <c r="AS76" i="1"/>
  <c r="AR76" i="1"/>
  <c r="AQ76" i="1"/>
  <c r="AP76" i="1"/>
  <c r="AO76" i="1"/>
  <c r="AN76" i="1"/>
  <c r="AM76" i="1"/>
  <c r="AL76" i="1"/>
  <c r="AS75" i="1"/>
  <c r="AR75" i="1"/>
  <c r="AQ75" i="1"/>
  <c r="AP75" i="1"/>
  <c r="AO75" i="1"/>
  <c r="AN75" i="1"/>
  <c r="AM75" i="1"/>
  <c r="AL75" i="1"/>
  <c r="AS74" i="1"/>
  <c r="AR74" i="1"/>
  <c r="AQ74" i="1"/>
  <c r="AP74" i="1"/>
  <c r="AO74" i="1"/>
  <c r="AN74" i="1"/>
  <c r="AM74" i="1"/>
  <c r="AL74" i="1"/>
  <c r="AS73" i="1"/>
  <c r="AR73" i="1"/>
  <c r="AQ73" i="1"/>
  <c r="AP73" i="1"/>
  <c r="AO73" i="1"/>
  <c r="AN73" i="1"/>
  <c r="AM73" i="1"/>
  <c r="AL73" i="1"/>
  <c r="AS72" i="1"/>
  <c r="AR72" i="1"/>
  <c r="AQ72" i="1"/>
  <c r="AP72" i="1"/>
  <c r="AO72" i="1"/>
  <c r="AN72" i="1"/>
  <c r="AM72" i="1"/>
  <c r="AL72" i="1"/>
  <c r="AS71" i="1"/>
  <c r="AR71" i="1"/>
  <c r="AQ71" i="1"/>
  <c r="AP71" i="1"/>
  <c r="AO71" i="1"/>
  <c r="AN71" i="1"/>
  <c r="AM71" i="1"/>
  <c r="AL71" i="1"/>
  <c r="AS70" i="1"/>
  <c r="AR70" i="1"/>
  <c r="AQ70" i="1"/>
  <c r="AP70" i="1"/>
  <c r="AO70" i="1"/>
  <c r="AN70" i="1"/>
  <c r="AM70" i="1"/>
  <c r="AL70" i="1"/>
  <c r="AS69" i="1"/>
  <c r="AR69" i="1"/>
  <c r="AQ69" i="1"/>
  <c r="AP69" i="1"/>
  <c r="AO69" i="1"/>
  <c r="AN69" i="1"/>
  <c r="AM69" i="1"/>
  <c r="AL69" i="1"/>
  <c r="AS68" i="1"/>
  <c r="AR68" i="1"/>
  <c r="AQ68" i="1"/>
  <c r="AP68" i="1"/>
  <c r="AO68" i="1"/>
  <c r="AN68" i="1"/>
  <c r="AM68" i="1"/>
  <c r="AL68" i="1"/>
  <c r="AS67" i="1"/>
  <c r="AR67" i="1"/>
  <c r="AQ67" i="1"/>
  <c r="AP67" i="1"/>
  <c r="AO67" i="1"/>
  <c r="AN67" i="1"/>
  <c r="AM67" i="1"/>
  <c r="AL67" i="1"/>
  <c r="AS66" i="1"/>
  <c r="AR66" i="1"/>
  <c r="AQ66" i="1"/>
  <c r="AP66" i="1"/>
  <c r="AO66" i="1"/>
  <c r="AN66" i="1"/>
  <c r="AM66" i="1"/>
  <c r="AL66" i="1"/>
  <c r="AS65" i="1"/>
  <c r="AR65" i="1"/>
  <c r="AQ65" i="1"/>
  <c r="AP65" i="1"/>
  <c r="AO65" i="1"/>
  <c r="AN65" i="1"/>
  <c r="AM65" i="1"/>
  <c r="AL65" i="1"/>
  <c r="AS64" i="1"/>
  <c r="AR64" i="1"/>
  <c r="AQ64" i="1"/>
  <c r="AP64" i="1"/>
  <c r="AO64" i="1"/>
  <c r="AN64" i="1"/>
  <c r="AM64" i="1"/>
  <c r="AL64" i="1"/>
  <c r="AS63" i="1"/>
  <c r="AR63" i="1"/>
  <c r="AQ63" i="1"/>
  <c r="AP63" i="1"/>
  <c r="AO63" i="1"/>
  <c r="AN63" i="1"/>
  <c r="AM63" i="1"/>
  <c r="AL63" i="1"/>
  <c r="AS62" i="1"/>
  <c r="AR62" i="1"/>
  <c r="AQ62" i="1"/>
  <c r="AP62" i="1"/>
  <c r="AO62" i="1"/>
  <c r="AN62" i="1"/>
  <c r="AM62" i="1"/>
  <c r="AL62" i="1"/>
  <c r="AS61" i="1"/>
  <c r="AR61" i="1"/>
  <c r="AQ61" i="1"/>
  <c r="AP61" i="1"/>
  <c r="AO61" i="1"/>
  <c r="AN61" i="1"/>
  <c r="AM61" i="1"/>
  <c r="AL61" i="1"/>
  <c r="AS60" i="1"/>
  <c r="AR60" i="1"/>
  <c r="AQ60" i="1"/>
  <c r="AP60" i="1"/>
  <c r="AO60" i="1"/>
  <c r="AN60" i="1"/>
  <c r="AM60" i="1"/>
  <c r="AL60" i="1"/>
  <c r="AS59" i="1"/>
  <c r="AR59" i="1"/>
  <c r="AQ59" i="1"/>
  <c r="AP59" i="1"/>
  <c r="AO59" i="1"/>
  <c r="AN59" i="1"/>
  <c r="AM59" i="1"/>
  <c r="AL59" i="1"/>
  <c r="AS58" i="1"/>
  <c r="AR58" i="1"/>
  <c r="AQ58" i="1"/>
  <c r="AP58" i="1"/>
  <c r="AO58" i="1"/>
  <c r="AN58" i="1"/>
  <c r="AM58" i="1"/>
  <c r="AL58" i="1"/>
  <c r="AS57" i="1"/>
  <c r="AR57" i="1"/>
  <c r="AQ57" i="1"/>
  <c r="AP57" i="1"/>
  <c r="AO57" i="1"/>
  <c r="AN57" i="1"/>
  <c r="AM57" i="1"/>
  <c r="AL57" i="1"/>
  <c r="AS56" i="1"/>
  <c r="AR56" i="1"/>
  <c r="AQ56" i="1"/>
  <c r="AP56" i="1"/>
  <c r="AO56" i="1"/>
  <c r="AN56" i="1"/>
  <c r="AM56" i="1"/>
  <c r="AL56" i="1"/>
  <c r="AS55" i="1"/>
  <c r="AR55" i="1"/>
  <c r="AQ55" i="1"/>
  <c r="AP55" i="1"/>
  <c r="AO55" i="1"/>
  <c r="AN55" i="1"/>
  <c r="AM55" i="1"/>
  <c r="AL55" i="1"/>
  <c r="AS54" i="1"/>
  <c r="AR54" i="1"/>
  <c r="AQ54" i="1"/>
  <c r="AP54" i="1"/>
  <c r="AO54" i="1"/>
  <c r="AN54" i="1"/>
  <c r="AM54" i="1"/>
  <c r="AL54" i="1"/>
  <c r="AS53" i="1"/>
  <c r="AR53" i="1"/>
  <c r="AQ53" i="1"/>
  <c r="AP53" i="1"/>
  <c r="AO53" i="1"/>
  <c r="AN53" i="1"/>
  <c r="AM53" i="1"/>
  <c r="AL53" i="1"/>
  <c r="AS52" i="1"/>
  <c r="AR52" i="1"/>
  <c r="AQ52" i="1"/>
  <c r="AP52" i="1"/>
  <c r="AO52" i="1"/>
  <c r="AN52" i="1"/>
  <c r="AM52" i="1"/>
  <c r="AL52" i="1"/>
  <c r="AS51" i="1"/>
  <c r="AR51" i="1"/>
  <c r="AQ51" i="1"/>
  <c r="AP51" i="1"/>
  <c r="AO51" i="1"/>
  <c r="AN51" i="1"/>
  <c r="AM51" i="1"/>
  <c r="AL51" i="1"/>
  <c r="AS50" i="1"/>
  <c r="AR50" i="1"/>
  <c r="AQ50" i="1"/>
  <c r="AP50" i="1"/>
  <c r="AO50" i="1"/>
  <c r="AN50" i="1"/>
  <c r="AM50" i="1"/>
  <c r="AL50" i="1"/>
  <c r="AS49" i="1"/>
  <c r="AR49" i="1"/>
  <c r="AQ49" i="1"/>
  <c r="AP49" i="1"/>
  <c r="AO49" i="1"/>
  <c r="AN49" i="1"/>
  <c r="AM49" i="1"/>
  <c r="AL49" i="1"/>
  <c r="AS48" i="1"/>
  <c r="AR48" i="1"/>
  <c r="AQ48" i="1"/>
  <c r="AP48" i="1"/>
  <c r="AO48" i="1"/>
  <c r="AN48" i="1"/>
  <c r="AM48" i="1"/>
  <c r="AL48" i="1"/>
  <c r="AS47" i="1"/>
  <c r="AR47" i="1"/>
  <c r="AQ47" i="1"/>
  <c r="AP47" i="1"/>
  <c r="AO47" i="1"/>
  <c r="AN47" i="1"/>
  <c r="AM47" i="1"/>
  <c r="AL47" i="1"/>
  <c r="AS46" i="1"/>
  <c r="AR46" i="1"/>
  <c r="AQ46" i="1"/>
  <c r="AP46" i="1"/>
  <c r="AO46" i="1"/>
  <c r="AN46" i="1"/>
  <c r="AM46" i="1"/>
  <c r="AL46" i="1"/>
  <c r="AS45" i="1"/>
  <c r="AR45" i="1"/>
  <c r="AQ45" i="1"/>
  <c r="AP45" i="1"/>
  <c r="AO45" i="1"/>
  <c r="AN45" i="1"/>
  <c r="AM45" i="1"/>
  <c r="AL45" i="1"/>
  <c r="AS44" i="1"/>
  <c r="AR44" i="1"/>
  <c r="AQ44" i="1"/>
  <c r="AP44" i="1"/>
  <c r="AO44" i="1"/>
  <c r="AN44" i="1"/>
  <c r="AM44" i="1"/>
  <c r="AL44" i="1"/>
  <c r="AS43" i="1"/>
  <c r="AR43" i="1"/>
  <c r="AQ43" i="1"/>
  <c r="AP43" i="1"/>
  <c r="AO43" i="1"/>
  <c r="AN43" i="1"/>
  <c r="AM43" i="1"/>
  <c r="AL43" i="1"/>
  <c r="AS42" i="1"/>
  <c r="AR42" i="1"/>
  <c r="AQ42" i="1"/>
  <c r="AP42" i="1"/>
  <c r="AO42" i="1"/>
  <c r="AN42" i="1"/>
  <c r="AM42" i="1"/>
  <c r="AL42" i="1"/>
  <c r="AS41" i="1"/>
  <c r="AR41" i="1"/>
  <c r="AQ41" i="1"/>
  <c r="AP41" i="1"/>
  <c r="AO41" i="1"/>
  <c r="AN41" i="1"/>
  <c r="AM41" i="1"/>
  <c r="AL41" i="1"/>
  <c r="AS40" i="1"/>
  <c r="AR40" i="1"/>
  <c r="AQ40" i="1"/>
  <c r="AP40" i="1"/>
  <c r="AO40" i="1"/>
  <c r="AN40" i="1"/>
  <c r="AM40" i="1"/>
  <c r="AL40" i="1"/>
  <c r="AS39" i="1"/>
  <c r="AR39" i="1"/>
  <c r="AQ39" i="1"/>
  <c r="AP39" i="1"/>
  <c r="AO39" i="1"/>
  <c r="AN39" i="1"/>
  <c r="AM39" i="1"/>
  <c r="AL39" i="1"/>
  <c r="AS38" i="1"/>
  <c r="AR38" i="1"/>
  <c r="AQ38" i="1"/>
  <c r="AP38" i="1"/>
  <c r="AO38" i="1"/>
  <c r="AN38" i="1"/>
  <c r="AM38" i="1"/>
  <c r="AL38" i="1"/>
  <c r="AS37" i="1"/>
  <c r="AR37" i="1"/>
  <c r="AQ37" i="1"/>
  <c r="AP37" i="1"/>
  <c r="AO37" i="1"/>
  <c r="AN37" i="1"/>
  <c r="AM37" i="1"/>
  <c r="AL37" i="1"/>
  <c r="AS36" i="1"/>
  <c r="AR36" i="1"/>
  <c r="AQ36" i="1"/>
  <c r="AP36" i="1"/>
  <c r="AO36" i="1"/>
  <c r="AN36" i="1"/>
  <c r="AM36" i="1"/>
  <c r="AL36" i="1"/>
  <c r="AS35" i="1"/>
  <c r="AR35" i="1"/>
  <c r="AQ35" i="1"/>
  <c r="AP35" i="1"/>
  <c r="AO35" i="1"/>
  <c r="AN35" i="1"/>
  <c r="AM35" i="1"/>
  <c r="AL35" i="1"/>
  <c r="AS34" i="1"/>
  <c r="AR34" i="1"/>
  <c r="AQ34" i="1"/>
  <c r="AP34" i="1"/>
  <c r="AO34" i="1"/>
  <c r="AN34" i="1"/>
  <c r="AM34" i="1"/>
  <c r="AL34" i="1"/>
  <c r="AS33" i="1"/>
  <c r="AR33" i="1"/>
  <c r="AQ33" i="1"/>
  <c r="AP33" i="1"/>
  <c r="AO33" i="1"/>
  <c r="AN33" i="1"/>
  <c r="AM33" i="1"/>
  <c r="AL33" i="1"/>
  <c r="AS32" i="1"/>
  <c r="AR32" i="1"/>
  <c r="AQ32" i="1"/>
  <c r="AP32" i="1"/>
  <c r="AO32" i="1"/>
  <c r="AN32" i="1"/>
  <c r="AM32" i="1"/>
  <c r="AL32" i="1"/>
  <c r="AS31" i="1"/>
  <c r="AR31" i="1"/>
  <c r="AQ31" i="1"/>
  <c r="AP31" i="1"/>
  <c r="AO31" i="1"/>
  <c r="AN31" i="1"/>
  <c r="AM31" i="1"/>
  <c r="AL31" i="1"/>
  <c r="AS30" i="1"/>
  <c r="AR30" i="1"/>
  <c r="AQ30" i="1"/>
  <c r="AP30" i="1"/>
  <c r="AO30" i="1"/>
  <c r="AN30" i="1"/>
  <c r="AM30" i="1"/>
  <c r="AL30" i="1"/>
  <c r="AS29" i="1"/>
  <c r="AR29" i="1"/>
  <c r="AQ29" i="1"/>
  <c r="AP29" i="1"/>
  <c r="AO29" i="1"/>
  <c r="AN29" i="1"/>
  <c r="AM29" i="1"/>
  <c r="AL29" i="1"/>
  <c r="AS28" i="1"/>
  <c r="AR28" i="1"/>
  <c r="AQ28" i="1"/>
  <c r="AP28" i="1"/>
  <c r="AO28" i="1"/>
  <c r="AN28" i="1"/>
  <c r="AM28" i="1"/>
  <c r="AL28" i="1"/>
  <c r="AS27" i="1"/>
  <c r="AR27" i="1"/>
  <c r="AQ27" i="1"/>
  <c r="AP27" i="1"/>
  <c r="AO27" i="1"/>
  <c r="AN27" i="1"/>
  <c r="AM27" i="1"/>
  <c r="AL27" i="1"/>
  <c r="AS26" i="1"/>
  <c r="AR26" i="1"/>
  <c r="AQ26" i="1"/>
  <c r="AP26" i="1"/>
  <c r="AO26" i="1"/>
  <c r="AN26" i="1"/>
  <c r="AM26" i="1"/>
  <c r="AL26" i="1"/>
  <c r="AS25" i="1"/>
  <c r="AR25" i="1"/>
  <c r="AQ25" i="1"/>
  <c r="AP25" i="1"/>
  <c r="AO25" i="1"/>
  <c r="AN25" i="1"/>
  <c r="AM25" i="1"/>
  <c r="AL25" i="1"/>
  <c r="AS24" i="1"/>
  <c r="AR24" i="1"/>
  <c r="AQ24" i="1"/>
  <c r="AP24" i="1"/>
  <c r="AO24" i="1"/>
  <c r="AN24" i="1"/>
  <c r="AM24" i="1"/>
  <c r="AL24" i="1"/>
  <c r="AS23" i="1"/>
  <c r="AR23" i="1"/>
  <c r="AQ23" i="1"/>
  <c r="AP23" i="1"/>
  <c r="AO23" i="1"/>
  <c r="AN23" i="1"/>
  <c r="AM23" i="1"/>
  <c r="AL23" i="1"/>
  <c r="AS22" i="1"/>
  <c r="AR22" i="1"/>
  <c r="AQ22" i="1"/>
  <c r="AP22" i="1"/>
  <c r="AO22" i="1"/>
  <c r="AN22" i="1"/>
  <c r="AM22" i="1"/>
  <c r="AL22" i="1"/>
  <c r="AS21" i="1"/>
  <c r="AR21" i="1"/>
  <c r="AQ21" i="1"/>
  <c r="AP21" i="1"/>
  <c r="AO21" i="1"/>
  <c r="AN21" i="1"/>
  <c r="AM21" i="1"/>
  <c r="AL21" i="1"/>
  <c r="AS20" i="1"/>
  <c r="AR20" i="1"/>
  <c r="AQ20" i="1"/>
  <c r="AP20" i="1"/>
  <c r="AO20" i="1"/>
  <c r="AN20" i="1"/>
  <c r="AM20" i="1"/>
  <c r="AL20" i="1"/>
  <c r="AS19" i="1"/>
  <c r="AR19" i="1"/>
  <c r="AQ19" i="1"/>
  <c r="AP19" i="1"/>
  <c r="AO19" i="1"/>
  <c r="AN19" i="1"/>
  <c r="AM19" i="1"/>
  <c r="AL19" i="1"/>
  <c r="AS18" i="1"/>
  <c r="AR18" i="1"/>
  <c r="AQ18" i="1"/>
  <c r="AP18" i="1"/>
  <c r="AO18" i="1"/>
  <c r="AN18" i="1"/>
  <c r="AM18" i="1"/>
  <c r="AL18" i="1"/>
  <c r="AS17" i="1"/>
  <c r="AR17" i="1"/>
  <c r="AQ17" i="1"/>
  <c r="AP17" i="1"/>
  <c r="AO17" i="1"/>
  <c r="AN17" i="1"/>
  <c r="AM17" i="1"/>
  <c r="AL17" i="1"/>
  <c r="AS16" i="1"/>
  <c r="AR16" i="1"/>
  <c r="AQ16" i="1"/>
  <c r="AP16" i="1"/>
  <c r="AO16" i="1"/>
  <c r="AN16" i="1"/>
  <c r="AM16" i="1"/>
  <c r="AL16" i="1"/>
  <c r="AS15" i="1"/>
  <c r="AR15" i="1"/>
  <c r="AQ15" i="1"/>
  <c r="AP15" i="1"/>
  <c r="AO15" i="1"/>
  <c r="AN15" i="1"/>
  <c r="AM15" i="1"/>
  <c r="AL15" i="1"/>
  <c r="AS14" i="1"/>
  <c r="AR14" i="1"/>
  <c r="AQ14" i="1"/>
  <c r="AP14" i="1"/>
  <c r="AO14" i="1"/>
  <c r="AN14" i="1"/>
  <c r="AM14" i="1"/>
  <c r="AL14" i="1"/>
  <c r="AS13" i="1"/>
  <c r="AR13" i="1"/>
  <c r="AQ13" i="1"/>
  <c r="AP13" i="1"/>
  <c r="AO13" i="1"/>
  <c r="AN13" i="1"/>
  <c r="AM13" i="1"/>
  <c r="AL13" i="1"/>
  <c r="AS12" i="1"/>
  <c r="AR12" i="1"/>
  <c r="AQ12" i="1"/>
  <c r="AP12" i="1"/>
  <c r="AO12" i="1"/>
  <c r="AN12" i="1"/>
  <c r="AM12" i="1"/>
  <c r="AL12" i="1"/>
  <c r="AS11" i="1"/>
  <c r="AR11" i="1"/>
  <c r="AQ11" i="1"/>
  <c r="AP11" i="1"/>
  <c r="AO11" i="1"/>
  <c r="AN11" i="1"/>
  <c r="AM11" i="1"/>
  <c r="AL11" i="1"/>
  <c r="AS10" i="1"/>
  <c r="AR10" i="1"/>
  <c r="AQ10" i="1"/>
  <c r="AP10" i="1"/>
  <c r="AO10" i="1"/>
  <c r="AN10" i="1"/>
  <c r="AM10" i="1"/>
  <c r="AL10" i="1"/>
  <c r="AS9" i="1"/>
  <c r="AR9" i="1"/>
  <c r="AQ9" i="1"/>
  <c r="AP9" i="1"/>
  <c r="AO9" i="1"/>
  <c r="AN9" i="1"/>
  <c r="AM9" i="1"/>
  <c r="AL9" i="1"/>
  <c r="AS8" i="1"/>
  <c r="AR8" i="1"/>
  <c r="AQ8" i="1"/>
  <c r="AP8" i="1"/>
  <c r="AO8" i="1"/>
  <c r="AN8" i="1"/>
  <c r="AM8" i="1"/>
  <c r="AL8" i="1"/>
  <c r="AS7" i="1"/>
  <c r="AR7" i="1"/>
  <c r="AQ7" i="1"/>
  <c r="AP7" i="1"/>
  <c r="AO7" i="1"/>
  <c r="AN7" i="1"/>
  <c r="AM7" i="1"/>
  <c r="AL7" i="1"/>
  <c r="AS6" i="1"/>
  <c r="AR6" i="1"/>
  <c r="AQ6" i="1"/>
  <c r="AP6" i="1"/>
  <c r="AO6" i="1"/>
  <c r="AN6" i="1"/>
  <c r="AM6" i="1"/>
  <c r="AL6" i="1"/>
  <c r="AS5" i="1"/>
  <c r="AR5" i="1"/>
  <c r="AQ5" i="1"/>
  <c r="AP5" i="1"/>
  <c r="AO5" i="1"/>
  <c r="AN5" i="1"/>
  <c r="AM5" i="1"/>
  <c r="AL5" i="1"/>
  <c r="AS4" i="1"/>
  <c r="AR4" i="1"/>
  <c r="AQ4" i="1"/>
  <c r="AP4" i="1"/>
  <c r="AO4" i="1"/>
  <c r="AN4" i="1"/>
  <c r="AM4" i="1"/>
  <c r="AL4" i="1"/>
  <c r="AS3" i="1"/>
  <c r="AR3" i="1"/>
  <c r="AQ3" i="1"/>
  <c r="AP3" i="1"/>
  <c r="AO3" i="1"/>
  <c r="AN3" i="1"/>
  <c r="AM3" i="1"/>
  <c r="AL3"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H144" i="1"/>
  <c r="AG144" i="1"/>
  <c r="AF144" i="1"/>
  <c r="AE144" i="1"/>
  <c r="AD144" i="1"/>
  <c r="AC144" i="1"/>
  <c r="AH143" i="1"/>
  <c r="AG143" i="1"/>
  <c r="AF143" i="1"/>
  <c r="AE143" i="1"/>
  <c r="AD143" i="1"/>
  <c r="AC143" i="1"/>
  <c r="AH142" i="1"/>
  <c r="AG142" i="1"/>
  <c r="AF142" i="1"/>
  <c r="AE142" i="1"/>
  <c r="AD142" i="1"/>
  <c r="AC142" i="1"/>
  <c r="AH141" i="1"/>
  <c r="AG141" i="1"/>
  <c r="AF141" i="1"/>
  <c r="AE141" i="1"/>
  <c r="AD141" i="1"/>
  <c r="AC141" i="1"/>
  <c r="AH140" i="1"/>
  <c r="AG140" i="1"/>
  <c r="AF140" i="1"/>
  <c r="AE140" i="1"/>
  <c r="AD140" i="1"/>
  <c r="AC140" i="1"/>
  <c r="AH139" i="1"/>
  <c r="AG139" i="1"/>
  <c r="AF139" i="1"/>
  <c r="AE139" i="1"/>
  <c r="AD139" i="1"/>
  <c r="AC139" i="1"/>
  <c r="AH138" i="1"/>
  <c r="AG138" i="1"/>
  <c r="AF138" i="1"/>
  <c r="AE138" i="1"/>
  <c r="AD138" i="1"/>
  <c r="AC138" i="1"/>
  <c r="AH137" i="1"/>
  <c r="AG137" i="1"/>
  <c r="AF137" i="1"/>
  <c r="AE137" i="1"/>
  <c r="AD137" i="1"/>
  <c r="AC137" i="1"/>
  <c r="AH136" i="1"/>
  <c r="AG136" i="1"/>
  <c r="AF136" i="1"/>
  <c r="AE136" i="1"/>
  <c r="AD136" i="1"/>
  <c r="AC136" i="1"/>
  <c r="AH135" i="1"/>
  <c r="AG135" i="1"/>
  <c r="AF135" i="1"/>
  <c r="AE135" i="1"/>
  <c r="AD135" i="1"/>
  <c r="AC135" i="1"/>
  <c r="AH134" i="1"/>
  <c r="AG134" i="1"/>
  <c r="AF134" i="1"/>
  <c r="AE134" i="1"/>
  <c r="AD134" i="1"/>
  <c r="AC134" i="1"/>
  <c r="AH133" i="1"/>
  <c r="AG133" i="1"/>
  <c r="AF133" i="1"/>
  <c r="AE133" i="1"/>
  <c r="AD133" i="1"/>
  <c r="AC133" i="1"/>
  <c r="AH132" i="1"/>
  <c r="AG132" i="1"/>
  <c r="AF132" i="1"/>
  <c r="AE132" i="1"/>
  <c r="AD132" i="1"/>
  <c r="AC132" i="1"/>
  <c r="AH131" i="1"/>
  <c r="AG131" i="1"/>
  <c r="AF131" i="1"/>
  <c r="AE131" i="1"/>
  <c r="AD131" i="1"/>
  <c r="AC131" i="1"/>
  <c r="AH130" i="1"/>
  <c r="AG130" i="1"/>
  <c r="AF130" i="1"/>
  <c r="AE130" i="1"/>
  <c r="AD130" i="1"/>
  <c r="AC130" i="1"/>
  <c r="AH129" i="1"/>
  <c r="AG129" i="1"/>
  <c r="AF129" i="1"/>
  <c r="AE129" i="1"/>
  <c r="AD129" i="1"/>
  <c r="AC129" i="1"/>
  <c r="AH128" i="1"/>
  <c r="AG128" i="1"/>
  <c r="AF128" i="1"/>
  <c r="AE128" i="1"/>
  <c r="AD128" i="1"/>
  <c r="AC128" i="1"/>
  <c r="AH127" i="1"/>
  <c r="AG127" i="1"/>
  <c r="AF127" i="1"/>
  <c r="AE127" i="1"/>
  <c r="AD127" i="1"/>
  <c r="AC127" i="1"/>
  <c r="AH126" i="1"/>
  <c r="AG126" i="1"/>
  <c r="AF126" i="1"/>
  <c r="AE126" i="1"/>
  <c r="AD126" i="1"/>
  <c r="AC126" i="1"/>
  <c r="AH125" i="1"/>
  <c r="AG125" i="1"/>
  <c r="AF125" i="1"/>
  <c r="AE125" i="1"/>
  <c r="AD125" i="1"/>
  <c r="AC125" i="1"/>
  <c r="AH124" i="1"/>
  <c r="AG124" i="1"/>
  <c r="AF124" i="1"/>
  <c r="AE124" i="1"/>
  <c r="AD124" i="1"/>
  <c r="AC124" i="1"/>
  <c r="AH123" i="1"/>
  <c r="AG123" i="1"/>
  <c r="AF123" i="1"/>
  <c r="AE123" i="1"/>
  <c r="AD123" i="1"/>
  <c r="AC123" i="1"/>
  <c r="AH122" i="1"/>
  <c r="AG122" i="1"/>
  <c r="AF122" i="1"/>
  <c r="AE122" i="1"/>
  <c r="AD122" i="1"/>
  <c r="AC122" i="1"/>
  <c r="AH121" i="1"/>
  <c r="AG121" i="1"/>
  <c r="AF121" i="1"/>
  <c r="AE121" i="1"/>
  <c r="AD121" i="1"/>
  <c r="AC121" i="1"/>
  <c r="AH120" i="1"/>
  <c r="AG120" i="1"/>
  <c r="AF120" i="1"/>
  <c r="AE120" i="1"/>
  <c r="AD120" i="1"/>
  <c r="AC120" i="1"/>
  <c r="AH119" i="1"/>
  <c r="AG119" i="1"/>
  <c r="AF119" i="1"/>
  <c r="AE119" i="1"/>
  <c r="AD119" i="1"/>
  <c r="AC119" i="1"/>
  <c r="AH118" i="1"/>
  <c r="AG118" i="1"/>
  <c r="AF118" i="1"/>
  <c r="AE118" i="1"/>
  <c r="AD118" i="1"/>
  <c r="AC118" i="1"/>
  <c r="AH117" i="1"/>
  <c r="AG117" i="1"/>
  <c r="AF117" i="1"/>
  <c r="AE117" i="1"/>
  <c r="AD117" i="1"/>
  <c r="AC117" i="1"/>
  <c r="AH116" i="1"/>
  <c r="AG116" i="1"/>
  <c r="AF116" i="1"/>
  <c r="AE116" i="1"/>
  <c r="AD116" i="1"/>
  <c r="AC116" i="1"/>
  <c r="AH115" i="1"/>
  <c r="AG115" i="1"/>
  <c r="AF115" i="1"/>
  <c r="AE115" i="1"/>
  <c r="AD115" i="1"/>
  <c r="AC115" i="1"/>
  <c r="AH114" i="1"/>
  <c r="AG114" i="1"/>
  <c r="AF114" i="1"/>
  <c r="AE114" i="1"/>
  <c r="AD114" i="1"/>
  <c r="AC114" i="1"/>
  <c r="AH113" i="1"/>
  <c r="AG113" i="1"/>
  <c r="AF113" i="1"/>
  <c r="AE113" i="1"/>
  <c r="AD113" i="1"/>
  <c r="AC113" i="1"/>
  <c r="AH112" i="1"/>
  <c r="AG112" i="1"/>
  <c r="AF112" i="1"/>
  <c r="AE112" i="1"/>
  <c r="AD112" i="1"/>
  <c r="AC112" i="1"/>
  <c r="AH111" i="1"/>
  <c r="AG111" i="1"/>
  <c r="AF111" i="1"/>
  <c r="AE111" i="1"/>
  <c r="AD111" i="1"/>
  <c r="AC111" i="1"/>
  <c r="AH110" i="1"/>
  <c r="AG110" i="1"/>
  <c r="AF110" i="1"/>
  <c r="AE110" i="1"/>
  <c r="AD110" i="1"/>
  <c r="AC110" i="1"/>
  <c r="AH109" i="1"/>
  <c r="AG109" i="1"/>
  <c r="AF109" i="1"/>
  <c r="AE109" i="1"/>
  <c r="AD109" i="1"/>
  <c r="AC109" i="1"/>
  <c r="AH108" i="1"/>
  <c r="AG108" i="1"/>
  <c r="AF108" i="1"/>
  <c r="AE108" i="1"/>
  <c r="AD108" i="1"/>
  <c r="AC108" i="1"/>
  <c r="AH107" i="1"/>
  <c r="AG107" i="1"/>
  <c r="AF107" i="1"/>
  <c r="AE107" i="1"/>
  <c r="AD107" i="1"/>
  <c r="AC107" i="1"/>
  <c r="AH106" i="1"/>
  <c r="AG106" i="1"/>
  <c r="AF106" i="1"/>
  <c r="AE106" i="1"/>
  <c r="AD106" i="1"/>
  <c r="AC106" i="1"/>
  <c r="AH105" i="1"/>
  <c r="AG105" i="1"/>
  <c r="AF105" i="1"/>
  <c r="AE105" i="1"/>
  <c r="AD105" i="1"/>
  <c r="AC105" i="1"/>
  <c r="AH104" i="1"/>
  <c r="AG104" i="1"/>
  <c r="AF104" i="1"/>
  <c r="AE104" i="1"/>
  <c r="AD104" i="1"/>
  <c r="AC104" i="1"/>
  <c r="AH103" i="1"/>
  <c r="AG103" i="1"/>
  <c r="AF103" i="1"/>
  <c r="AE103" i="1"/>
  <c r="AD103" i="1"/>
  <c r="AC103" i="1"/>
  <c r="AH102" i="1"/>
  <c r="AG102" i="1"/>
  <c r="AF102" i="1"/>
  <c r="AE102" i="1"/>
  <c r="AD102" i="1"/>
  <c r="AC102" i="1"/>
  <c r="AH101" i="1"/>
  <c r="AG101" i="1"/>
  <c r="AF101" i="1"/>
  <c r="AE101" i="1"/>
  <c r="AD101" i="1"/>
  <c r="AC101" i="1"/>
  <c r="AH100" i="1"/>
  <c r="AG100" i="1"/>
  <c r="AF100" i="1"/>
  <c r="AE100" i="1"/>
  <c r="AD100" i="1"/>
  <c r="AC100" i="1"/>
  <c r="AH99" i="1"/>
  <c r="AG99" i="1"/>
  <c r="AF99" i="1"/>
  <c r="AE99" i="1"/>
  <c r="AD99" i="1"/>
  <c r="AC99" i="1"/>
  <c r="AH98" i="1"/>
  <c r="AG98" i="1"/>
  <c r="AF98" i="1"/>
  <c r="AE98" i="1"/>
  <c r="AD98" i="1"/>
  <c r="AC98" i="1"/>
  <c r="AH97" i="1"/>
  <c r="AG97" i="1"/>
  <c r="AF97" i="1"/>
  <c r="AE97" i="1"/>
  <c r="AD97" i="1"/>
  <c r="AC97" i="1"/>
  <c r="AH96" i="1"/>
  <c r="AG96" i="1"/>
  <c r="AF96" i="1"/>
  <c r="AE96" i="1"/>
  <c r="AD96" i="1"/>
  <c r="AC96" i="1"/>
  <c r="AH95" i="1"/>
  <c r="AG95" i="1"/>
  <c r="AF95" i="1"/>
  <c r="AE95" i="1"/>
  <c r="AD95" i="1"/>
  <c r="AC95" i="1"/>
  <c r="AH94" i="1"/>
  <c r="AG94" i="1"/>
  <c r="AF94" i="1"/>
  <c r="AE94" i="1"/>
  <c r="AD94" i="1"/>
  <c r="AC94" i="1"/>
  <c r="AH93" i="1"/>
  <c r="AG93" i="1"/>
  <c r="AF93" i="1"/>
  <c r="AE93" i="1"/>
  <c r="AD93" i="1"/>
  <c r="AC93" i="1"/>
  <c r="AH92" i="1"/>
  <c r="AG92" i="1"/>
  <c r="AF92" i="1"/>
  <c r="AE92" i="1"/>
  <c r="AD92" i="1"/>
  <c r="AC92" i="1"/>
  <c r="AH91" i="1"/>
  <c r="AG91" i="1"/>
  <c r="AF91" i="1"/>
  <c r="AE91" i="1"/>
  <c r="AD91" i="1"/>
  <c r="AC91" i="1"/>
  <c r="AH90" i="1"/>
  <c r="AG90" i="1"/>
  <c r="AF90" i="1"/>
  <c r="AE90" i="1"/>
  <c r="AD90" i="1"/>
  <c r="AC90" i="1"/>
  <c r="AH89" i="1"/>
  <c r="AG89" i="1"/>
  <c r="AF89" i="1"/>
  <c r="AE89" i="1"/>
  <c r="AD89" i="1"/>
  <c r="AC89" i="1"/>
  <c r="AH88" i="1"/>
  <c r="AG88" i="1"/>
  <c r="AF88" i="1"/>
  <c r="AE88" i="1"/>
  <c r="AD88" i="1"/>
  <c r="AC88" i="1"/>
  <c r="AH87" i="1"/>
  <c r="AG87" i="1"/>
  <c r="AF87" i="1"/>
  <c r="AE87" i="1"/>
  <c r="AD87" i="1"/>
  <c r="AC87" i="1"/>
  <c r="AH86" i="1"/>
  <c r="AG86" i="1"/>
  <c r="AF86" i="1"/>
  <c r="AE86" i="1"/>
  <c r="AD86" i="1"/>
  <c r="AC86" i="1"/>
  <c r="AH85" i="1"/>
  <c r="AG85" i="1"/>
  <c r="AF85" i="1"/>
  <c r="AE85" i="1"/>
  <c r="AD85" i="1"/>
  <c r="AC85" i="1"/>
  <c r="AH84" i="1"/>
  <c r="AG84" i="1"/>
  <c r="AF84" i="1"/>
  <c r="AE84" i="1"/>
  <c r="AD84" i="1"/>
  <c r="AC84" i="1"/>
  <c r="AH83" i="1"/>
  <c r="AG83" i="1"/>
  <c r="AF83" i="1"/>
  <c r="AE83" i="1"/>
  <c r="AD83" i="1"/>
  <c r="AC83" i="1"/>
  <c r="AH82" i="1"/>
  <c r="AG82" i="1"/>
  <c r="AF82" i="1"/>
  <c r="AE82" i="1"/>
  <c r="AD82" i="1"/>
  <c r="AC82" i="1"/>
  <c r="AH81" i="1"/>
  <c r="AG81" i="1"/>
  <c r="AF81" i="1"/>
  <c r="AE81" i="1"/>
  <c r="AD81" i="1"/>
  <c r="AC81" i="1"/>
  <c r="AH80" i="1"/>
  <c r="AG80" i="1"/>
  <c r="AF80" i="1"/>
  <c r="AE80" i="1"/>
  <c r="AD80" i="1"/>
  <c r="AC80" i="1"/>
  <c r="AH79" i="1"/>
  <c r="AG79" i="1"/>
  <c r="AF79" i="1"/>
  <c r="AE79" i="1"/>
  <c r="AD79" i="1"/>
  <c r="AC79" i="1"/>
  <c r="AH78" i="1"/>
  <c r="AG78" i="1"/>
  <c r="AF78" i="1"/>
  <c r="AE78" i="1"/>
  <c r="AD78" i="1"/>
  <c r="AC78" i="1"/>
  <c r="AH77" i="1"/>
  <c r="AG77" i="1"/>
  <c r="AF77" i="1"/>
  <c r="AE77" i="1"/>
  <c r="AD77" i="1"/>
  <c r="AC77" i="1"/>
  <c r="AH76" i="1"/>
  <c r="AG76" i="1"/>
  <c r="AF76" i="1"/>
  <c r="AE76" i="1"/>
  <c r="AD76" i="1"/>
  <c r="AC76" i="1"/>
  <c r="AH75" i="1"/>
  <c r="AG75" i="1"/>
  <c r="AF75" i="1"/>
  <c r="AE75" i="1"/>
  <c r="AD75" i="1"/>
  <c r="AC75" i="1"/>
  <c r="AH74" i="1"/>
  <c r="AG74" i="1"/>
  <c r="AF74" i="1"/>
  <c r="AE74" i="1"/>
  <c r="AD74" i="1"/>
  <c r="AC74" i="1"/>
  <c r="AH73" i="1"/>
  <c r="AG73" i="1"/>
  <c r="AF73" i="1"/>
  <c r="AE73" i="1"/>
  <c r="AD73" i="1"/>
  <c r="AC73" i="1"/>
  <c r="AH72" i="1"/>
  <c r="AG72" i="1"/>
  <c r="AF72" i="1"/>
  <c r="AE72" i="1"/>
  <c r="AD72" i="1"/>
  <c r="AC72" i="1"/>
  <c r="AH71" i="1"/>
  <c r="AG71" i="1"/>
  <c r="AF71" i="1"/>
  <c r="AE71" i="1"/>
  <c r="AD71" i="1"/>
  <c r="AC71" i="1"/>
  <c r="AH70" i="1"/>
  <c r="AG70" i="1"/>
  <c r="AF70" i="1"/>
  <c r="AE70" i="1"/>
  <c r="AD70" i="1"/>
  <c r="AC70" i="1"/>
  <c r="AH69" i="1"/>
  <c r="AG69" i="1"/>
  <c r="AF69" i="1"/>
  <c r="AE69" i="1"/>
  <c r="AD69" i="1"/>
  <c r="AC69" i="1"/>
  <c r="AH68" i="1"/>
  <c r="AG68" i="1"/>
  <c r="AF68" i="1"/>
  <c r="AE68" i="1"/>
  <c r="AD68" i="1"/>
  <c r="AC68" i="1"/>
  <c r="AH67" i="1"/>
  <c r="AG67" i="1"/>
  <c r="AF67" i="1"/>
  <c r="AE67" i="1"/>
  <c r="AD67" i="1"/>
  <c r="AC67" i="1"/>
  <c r="AH66" i="1"/>
  <c r="AG66" i="1"/>
  <c r="AF66" i="1"/>
  <c r="AE66" i="1"/>
  <c r="AD66" i="1"/>
  <c r="AC66" i="1"/>
  <c r="AH65" i="1"/>
  <c r="AG65" i="1"/>
  <c r="AF65" i="1"/>
  <c r="AE65" i="1"/>
  <c r="AD65" i="1"/>
  <c r="AC65" i="1"/>
  <c r="AH64" i="1"/>
  <c r="AG64" i="1"/>
  <c r="AF64" i="1"/>
  <c r="AE64" i="1"/>
  <c r="AD64" i="1"/>
  <c r="AC64" i="1"/>
  <c r="AH63" i="1"/>
  <c r="AG63" i="1"/>
  <c r="AF63" i="1"/>
  <c r="AE63" i="1"/>
  <c r="AD63" i="1"/>
  <c r="AC63" i="1"/>
  <c r="AH62" i="1"/>
  <c r="AG62" i="1"/>
  <c r="AF62" i="1"/>
  <c r="AE62" i="1"/>
  <c r="AD62" i="1"/>
  <c r="AC62" i="1"/>
  <c r="AH61" i="1"/>
  <c r="AG61" i="1"/>
  <c r="AF61" i="1"/>
  <c r="AE61" i="1"/>
  <c r="AD61" i="1"/>
  <c r="AC61" i="1"/>
  <c r="AH60" i="1"/>
  <c r="AG60" i="1"/>
  <c r="AF60" i="1"/>
  <c r="AE60" i="1"/>
  <c r="AD60" i="1"/>
  <c r="AC60" i="1"/>
  <c r="AH59" i="1"/>
  <c r="AG59" i="1"/>
  <c r="AF59" i="1"/>
  <c r="AE59" i="1"/>
  <c r="AD59" i="1"/>
  <c r="AC59" i="1"/>
  <c r="AH58" i="1"/>
  <c r="AG58" i="1"/>
  <c r="AF58" i="1"/>
  <c r="AE58" i="1"/>
  <c r="AD58" i="1"/>
  <c r="AC58" i="1"/>
  <c r="AH57" i="1"/>
  <c r="AG57" i="1"/>
  <c r="AF57" i="1"/>
  <c r="AE57" i="1"/>
  <c r="AD57" i="1"/>
  <c r="AC57" i="1"/>
  <c r="AH56" i="1"/>
  <c r="AG56" i="1"/>
  <c r="AF56" i="1"/>
  <c r="AE56" i="1"/>
  <c r="AD56" i="1"/>
  <c r="AC56" i="1"/>
  <c r="AH55" i="1"/>
  <c r="AG55" i="1"/>
  <c r="AF55" i="1"/>
  <c r="AE55" i="1"/>
  <c r="AD55" i="1"/>
  <c r="AC55" i="1"/>
  <c r="AH54" i="1"/>
  <c r="AG54" i="1"/>
  <c r="AF54" i="1"/>
  <c r="AE54" i="1"/>
  <c r="AD54" i="1"/>
  <c r="AC54" i="1"/>
  <c r="AH53" i="1"/>
  <c r="AG53" i="1"/>
  <c r="AF53" i="1"/>
  <c r="AE53" i="1"/>
  <c r="AD53" i="1"/>
  <c r="AC53" i="1"/>
  <c r="AH52" i="1"/>
  <c r="AG52" i="1"/>
  <c r="AF52" i="1"/>
  <c r="AE52" i="1"/>
  <c r="AD52" i="1"/>
  <c r="AC52" i="1"/>
  <c r="AH51" i="1"/>
  <c r="AG51" i="1"/>
  <c r="AF51" i="1"/>
  <c r="AE51" i="1"/>
  <c r="AD51" i="1"/>
  <c r="AC51" i="1"/>
  <c r="AH50" i="1"/>
  <c r="AG50" i="1"/>
  <c r="AF50" i="1"/>
  <c r="AE50" i="1"/>
  <c r="AD50" i="1"/>
  <c r="AC50" i="1"/>
  <c r="AH49" i="1"/>
  <c r="AG49" i="1"/>
  <c r="AF49" i="1"/>
  <c r="AE49" i="1"/>
  <c r="AD49" i="1"/>
  <c r="AC49" i="1"/>
  <c r="AH48" i="1"/>
  <c r="AG48" i="1"/>
  <c r="AF48" i="1"/>
  <c r="AE48" i="1"/>
  <c r="AD48" i="1"/>
  <c r="AC48" i="1"/>
  <c r="AH47" i="1"/>
  <c r="AG47" i="1"/>
  <c r="AF47" i="1"/>
  <c r="AE47" i="1"/>
  <c r="AD47" i="1"/>
  <c r="AC47" i="1"/>
  <c r="AH46" i="1"/>
  <c r="AG46" i="1"/>
  <c r="AF46" i="1"/>
  <c r="AE46" i="1"/>
  <c r="AD46" i="1"/>
  <c r="AC46" i="1"/>
  <c r="AH45" i="1"/>
  <c r="AG45" i="1"/>
  <c r="AF45" i="1"/>
  <c r="AE45" i="1"/>
  <c r="AD45" i="1"/>
  <c r="AC45" i="1"/>
  <c r="AH44" i="1"/>
  <c r="AG44" i="1"/>
  <c r="AF44" i="1"/>
  <c r="AE44" i="1"/>
  <c r="AD44" i="1"/>
  <c r="AC44" i="1"/>
  <c r="AH43" i="1"/>
  <c r="AG43" i="1"/>
  <c r="AF43" i="1"/>
  <c r="AE43" i="1"/>
  <c r="AD43" i="1"/>
  <c r="AC43" i="1"/>
  <c r="AH42" i="1"/>
  <c r="AG42" i="1"/>
  <c r="AF42" i="1"/>
  <c r="AE42" i="1"/>
  <c r="AD42" i="1"/>
  <c r="AC42" i="1"/>
  <c r="AH41" i="1"/>
  <c r="AG41" i="1"/>
  <c r="AF41" i="1"/>
  <c r="AE41" i="1"/>
  <c r="AD41" i="1"/>
  <c r="AC41" i="1"/>
  <c r="AH40" i="1"/>
  <c r="AG40" i="1"/>
  <c r="AF40" i="1"/>
  <c r="AE40" i="1"/>
  <c r="AD40" i="1"/>
  <c r="AC40" i="1"/>
  <c r="AH39" i="1"/>
  <c r="AG39" i="1"/>
  <c r="AF39" i="1"/>
  <c r="AE39" i="1"/>
  <c r="AD39" i="1"/>
  <c r="AC39" i="1"/>
  <c r="AH38" i="1"/>
  <c r="AG38" i="1"/>
  <c r="AF38" i="1"/>
  <c r="AE38" i="1"/>
  <c r="AD38" i="1"/>
  <c r="AC38" i="1"/>
  <c r="AH37" i="1"/>
  <c r="AG37" i="1"/>
  <c r="AF37" i="1"/>
  <c r="AE37" i="1"/>
  <c r="AD37" i="1"/>
  <c r="AC37" i="1"/>
  <c r="AH36" i="1"/>
  <c r="AG36" i="1"/>
  <c r="AF36" i="1"/>
  <c r="AE36" i="1"/>
  <c r="AD36" i="1"/>
  <c r="AC36" i="1"/>
  <c r="AH35" i="1"/>
  <c r="AG35" i="1"/>
  <c r="AF35" i="1"/>
  <c r="AE35" i="1"/>
  <c r="AD35" i="1"/>
  <c r="AC35" i="1"/>
  <c r="AH34" i="1"/>
  <c r="AG34" i="1"/>
  <c r="AF34" i="1"/>
  <c r="AE34" i="1"/>
  <c r="AD34" i="1"/>
  <c r="AC34" i="1"/>
  <c r="AH33" i="1"/>
  <c r="AG33" i="1"/>
  <c r="AF33" i="1"/>
  <c r="AE33" i="1"/>
  <c r="AD33" i="1"/>
  <c r="AC33" i="1"/>
  <c r="AH32" i="1"/>
  <c r="AG32" i="1"/>
  <c r="AF32" i="1"/>
  <c r="AE32" i="1"/>
  <c r="AD32" i="1"/>
  <c r="AC32" i="1"/>
  <c r="AH31" i="1"/>
  <c r="AG31" i="1"/>
  <c r="AF31" i="1"/>
  <c r="AE31" i="1"/>
  <c r="AD31" i="1"/>
  <c r="AC31" i="1"/>
  <c r="AH30" i="1"/>
  <c r="AG30" i="1"/>
  <c r="AF30" i="1"/>
  <c r="AE30" i="1"/>
  <c r="AD30" i="1"/>
  <c r="AC30" i="1"/>
  <c r="AH29" i="1"/>
  <c r="AG29" i="1"/>
  <c r="AF29" i="1"/>
  <c r="AE29" i="1"/>
  <c r="AD29" i="1"/>
  <c r="AC29" i="1"/>
  <c r="AH28" i="1"/>
  <c r="AG28" i="1"/>
  <c r="AF28" i="1"/>
  <c r="AE28" i="1"/>
  <c r="AD28" i="1"/>
  <c r="AC28" i="1"/>
  <c r="AH27" i="1"/>
  <c r="AG27" i="1"/>
  <c r="AF27" i="1"/>
  <c r="AE27" i="1"/>
  <c r="AD27" i="1"/>
  <c r="AC27" i="1"/>
  <c r="AH26" i="1"/>
  <c r="AG26" i="1"/>
  <c r="AF26" i="1"/>
  <c r="AE26" i="1"/>
  <c r="AD26" i="1"/>
  <c r="AC26" i="1"/>
  <c r="AH25" i="1"/>
  <c r="AG25" i="1"/>
  <c r="AF25" i="1"/>
  <c r="AE25" i="1"/>
  <c r="AD25" i="1"/>
  <c r="AC25" i="1"/>
  <c r="AH24" i="1"/>
  <c r="AG24" i="1"/>
  <c r="AF24" i="1"/>
  <c r="AE24" i="1"/>
  <c r="AD24" i="1"/>
  <c r="AC24" i="1"/>
  <c r="AH23" i="1"/>
  <c r="AG23" i="1"/>
  <c r="AF23" i="1"/>
  <c r="AE23" i="1"/>
  <c r="AD23" i="1"/>
  <c r="AC23" i="1"/>
  <c r="AH22" i="1"/>
  <c r="AG22" i="1"/>
  <c r="AF22" i="1"/>
  <c r="AE22" i="1"/>
  <c r="AD22" i="1"/>
  <c r="AC22" i="1"/>
  <c r="AH21" i="1"/>
  <c r="AG21" i="1"/>
  <c r="AF21" i="1"/>
  <c r="AE21" i="1"/>
  <c r="AD21" i="1"/>
  <c r="AC21" i="1"/>
  <c r="AH20" i="1"/>
  <c r="AG20" i="1"/>
  <c r="AF20" i="1"/>
  <c r="AE20" i="1"/>
  <c r="AD20" i="1"/>
  <c r="AC20" i="1"/>
  <c r="AH19" i="1"/>
  <c r="AG19" i="1"/>
  <c r="AF19" i="1"/>
  <c r="AE19" i="1"/>
  <c r="AD19" i="1"/>
  <c r="AC19" i="1"/>
  <c r="AH18" i="1"/>
  <c r="AG18" i="1"/>
  <c r="AF18" i="1"/>
  <c r="AE18" i="1"/>
  <c r="AD18" i="1"/>
  <c r="AC18" i="1"/>
  <c r="AH17" i="1"/>
  <c r="AG17" i="1"/>
  <c r="AF17" i="1"/>
  <c r="AE17" i="1"/>
  <c r="AD17" i="1"/>
  <c r="AC17" i="1"/>
  <c r="AH16" i="1"/>
  <c r="AG16" i="1"/>
  <c r="AF16" i="1"/>
  <c r="AE16" i="1"/>
  <c r="AD16" i="1"/>
  <c r="AC16" i="1"/>
  <c r="AH15" i="1"/>
  <c r="AG15" i="1"/>
  <c r="AF15" i="1"/>
  <c r="AE15" i="1"/>
  <c r="AD15" i="1"/>
  <c r="AC15" i="1"/>
  <c r="AH14" i="1"/>
  <c r="AG14" i="1"/>
  <c r="AF14" i="1"/>
  <c r="AE14" i="1"/>
  <c r="AD14" i="1"/>
  <c r="AC14" i="1"/>
  <c r="AH13" i="1"/>
  <c r="AG13" i="1"/>
  <c r="AF13" i="1"/>
  <c r="AE13" i="1"/>
  <c r="AD13" i="1"/>
  <c r="AC13" i="1"/>
  <c r="AH12" i="1"/>
  <c r="AG12" i="1"/>
  <c r="AF12" i="1"/>
  <c r="AE12" i="1"/>
  <c r="AD12" i="1"/>
  <c r="AC12" i="1"/>
  <c r="AH11" i="1"/>
  <c r="AG11" i="1"/>
  <c r="AF11" i="1"/>
  <c r="AE11" i="1"/>
  <c r="AD11" i="1"/>
  <c r="AC11" i="1"/>
  <c r="AH10" i="1"/>
  <c r="AG10" i="1"/>
  <c r="AF10" i="1"/>
  <c r="AE10" i="1"/>
  <c r="AD10" i="1"/>
  <c r="AC10" i="1"/>
  <c r="AH9" i="1"/>
  <c r="AG9" i="1"/>
  <c r="AF9" i="1"/>
  <c r="AE9" i="1"/>
  <c r="AD9" i="1"/>
  <c r="AC9" i="1"/>
  <c r="AH8" i="1"/>
  <c r="AG8" i="1"/>
  <c r="AF8" i="1"/>
  <c r="AE8" i="1"/>
  <c r="AD8" i="1"/>
  <c r="AC8" i="1"/>
  <c r="AH7" i="1"/>
  <c r="AG7" i="1"/>
  <c r="AF7" i="1"/>
  <c r="AE7" i="1"/>
  <c r="AD7" i="1"/>
  <c r="AC7" i="1"/>
  <c r="AH6" i="1"/>
  <c r="AG6" i="1"/>
  <c r="AF6" i="1"/>
  <c r="AE6" i="1"/>
  <c r="AD6" i="1"/>
  <c r="AC6" i="1"/>
  <c r="AH5" i="1"/>
  <c r="AG5" i="1"/>
  <c r="AF5" i="1"/>
  <c r="AE5" i="1"/>
  <c r="AD5" i="1"/>
  <c r="AC5" i="1"/>
  <c r="AH4" i="1"/>
  <c r="AG4" i="1"/>
  <c r="AF4" i="1"/>
  <c r="AE4" i="1"/>
  <c r="AD4" i="1"/>
  <c r="AC4" i="1"/>
  <c r="AH3" i="1"/>
  <c r="AG3" i="1"/>
  <c r="AF3" i="1"/>
  <c r="AE3" i="1"/>
  <c r="AD3" i="1"/>
  <c r="AC3" i="1"/>
  <c r="K144" i="1"/>
  <c r="J144" i="1"/>
  <c r="I144" i="1"/>
  <c r="H144" i="1"/>
  <c r="G144" i="1"/>
  <c r="F144" i="1"/>
  <c r="E144" i="1"/>
  <c r="K143" i="1"/>
  <c r="J143" i="1"/>
  <c r="I143" i="1"/>
  <c r="H143" i="1"/>
  <c r="G143" i="1"/>
  <c r="F143" i="1"/>
  <c r="E143" i="1"/>
  <c r="K142" i="1"/>
  <c r="J142" i="1"/>
  <c r="I142" i="1"/>
  <c r="H142" i="1"/>
  <c r="G142" i="1"/>
  <c r="F142" i="1"/>
  <c r="E142" i="1"/>
  <c r="K141" i="1"/>
  <c r="J141" i="1"/>
  <c r="I141" i="1"/>
  <c r="H141" i="1"/>
  <c r="G141" i="1"/>
  <c r="F141" i="1"/>
  <c r="E141" i="1"/>
  <c r="K140" i="1"/>
  <c r="J140" i="1"/>
  <c r="I140" i="1"/>
  <c r="H140" i="1"/>
  <c r="G140" i="1"/>
  <c r="F140" i="1"/>
  <c r="E140" i="1"/>
  <c r="K139" i="1"/>
  <c r="J139" i="1"/>
  <c r="I139" i="1"/>
  <c r="H139" i="1"/>
  <c r="G139" i="1"/>
  <c r="F139" i="1"/>
  <c r="E139" i="1"/>
  <c r="K138" i="1"/>
  <c r="J138" i="1"/>
  <c r="I138" i="1"/>
  <c r="H138" i="1"/>
  <c r="G138" i="1"/>
  <c r="F138" i="1"/>
  <c r="E138" i="1"/>
  <c r="K137" i="1"/>
  <c r="J137" i="1"/>
  <c r="I137" i="1"/>
  <c r="H137" i="1"/>
  <c r="G137" i="1"/>
  <c r="F137" i="1"/>
  <c r="E137" i="1"/>
  <c r="K136" i="1"/>
  <c r="J136" i="1"/>
  <c r="I136" i="1"/>
  <c r="H136" i="1"/>
  <c r="G136" i="1"/>
  <c r="F136" i="1"/>
  <c r="E136" i="1"/>
  <c r="K135" i="1"/>
  <c r="J135" i="1"/>
  <c r="I135" i="1"/>
  <c r="H135" i="1"/>
  <c r="G135" i="1"/>
  <c r="F135" i="1"/>
  <c r="E135" i="1"/>
  <c r="K134" i="1"/>
  <c r="J134" i="1"/>
  <c r="I134" i="1"/>
  <c r="H134" i="1"/>
  <c r="G134" i="1"/>
  <c r="F134" i="1"/>
  <c r="E134" i="1"/>
  <c r="K133" i="1"/>
  <c r="J133" i="1"/>
  <c r="I133" i="1"/>
  <c r="H133" i="1"/>
  <c r="G133" i="1"/>
  <c r="F133" i="1"/>
  <c r="E133" i="1"/>
  <c r="K132" i="1"/>
  <c r="J132" i="1"/>
  <c r="I132" i="1"/>
  <c r="H132" i="1"/>
  <c r="G132" i="1"/>
  <c r="F132" i="1"/>
  <c r="E132" i="1"/>
  <c r="K131" i="1"/>
  <c r="J131" i="1"/>
  <c r="I131" i="1"/>
  <c r="H131" i="1"/>
  <c r="G131" i="1"/>
  <c r="F131" i="1"/>
  <c r="E131" i="1"/>
  <c r="K130" i="1"/>
  <c r="J130" i="1"/>
  <c r="I130" i="1"/>
  <c r="H130" i="1"/>
  <c r="G130" i="1"/>
  <c r="F130" i="1"/>
  <c r="E130" i="1"/>
  <c r="K129" i="1"/>
  <c r="J129" i="1"/>
  <c r="I129" i="1"/>
  <c r="H129" i="1"/>
  <c r="G129" i="1"/>
  <c r="F129" i="1"/>
  <c r="E129" i="1"/>
  <c r="K128" i="1"/>
  <c r="J128" i="1"/>
  <c r="I128" i="1"/>
  <c r="H128" i="1"/>
  <c r="G128" i="1"/>
  <c r="F128" i="1"/>
  <c r="E128" i="1"/>
  <c r="K127" i="1"/>
  <c r="J127" i="1"/>
  <c r="I127" i="1"/>
  <c r="H127" i="1"/>
  <c r="G127" i="1"/>
  <c r="F127" i="1"/>
  <c r="E127" i="1"/>
  <c r="K126" i="1"/>
  <c r="J126" i="1"/>
  <c r="I126" i="1"/>
  <c r="H126" i="1"/>
  <c r="G126" i="1"/>
  <c r="F126" i="1"/>
  <c r="E126" i="1"/>
  <c r="K125" i="1"/>
  <c r="J125" i="1"/>
  <c r="I125" i="1"/>
  <c r="H125" i="1"/>
  <c r="G125" i="1"/>
  <c r="F125" i="1"/>
  <c r="E125" i="1"/>
  <c r="K124" i="1"/>
  <c r="J124" i="1"/>
  <c r="I124" i="1"/>
  <c r="H124" i="1"/>
  <c r="G124" i="1"/>
  <c r="F124" i="1"/>
  <c r="E124" i="1"/>
  <c r="K123" i="1"/>
  <c r="J123" i="1"/>
  <c r="I123" i="1"/>
  <c r="H123" i="1"/>
  <c r="G123" i="1"/>
  <c r="F123" i="1"/>
  <c r="E123" i="1"/>
  <c r="K122" i="1"/>
  <c r="J122" i="1"/>
  <c r="I122" i="1"/>
  <c r="H122" i="1"/>
  <c r="G122" i="1"/>
  <c r="F122" i="1"/>
  <c r="E122" i="1"/>
  <c r="K121" i="1"/>
  <c r="J121" i="1"/>
  <c r="I121" i="1"/>
  <c r="H121" i="1"/>
  <c r="G121" i="1"/>
  <c r="F121" i="1"/>
  <c r="E121" i="1"/>
  <c r="K120" i="1"/>
  <c r="J120" i="1"/>
  <c r="I120" i="1"/>
  <c r="H120" i="1"/>
  <c r="G120" i="1"/>
  <c r="F120" i="1"/>
  <c r="E120" i="1"/>
  <c r="K119" i="1"/>
  <c r="J119" i="1"/>
  <c r="I119" i="1"/>
  <c r="H119" i="1"/>
  <c r="G119" i="1"/>
  <c r="F119" i="1"/>
  <c r="E119" i="1"/>
  <c r="K118" i="1"/>
  <c r="J118" i="1"/>
  <c r="I118" i="1"/>
  <c r="H118" i="1"/>
  <c r="G118" i="1"/>
  <c r="F118" i="1"/>
  <c r="E118" i="1"/>
  <c r="K117" i="1"/>
  <c r="J117" i="1"/>
  <c r="I117" i="1"/>
  <c r="H117" i="1"/>
  <c r="G117" i="1"/>
  <c r="F117" i="1"/>
  <c r="E117" i="1"/>
  <c r="K116" i="1"/>
  <c r="J116" i="1"/>
  <c r="I116" i="1"/>
  <c r="H116" i="1"/>
  <c r="G116" i="1"/>
  <c r="F116" i="1"/>
  <c r="E116" i="1"/>
  <c r="K115" i="1"/>
  <c r="J115" i="1"/>
  <c r="I115" i="1"/>
  <c r="H115" i="1"/>
  <c r="G115" i="1"/>
  <c r="F115" i="1"/>
  <c r="E115" i="1"/>
  <c r="K114" i="1"/>
  <c r="J114" i="1"/>
  <c r="I114" i="1"/>
  <c r="H114" i="1"/>
  <c r="G114" i="1"/>
  <c r="F114" i="1"/>
  <c r="E114" i="1"/>
  <c r="K113" i="1"/>
  <c r="J113" i="1"/>
  <c r="I113" i="1"/>
  <c r="H113" i="1"/>
  <c r="G113" i="1"/>
  <c r="F113" i="1"/>
  <c r="E113" i="1"/>
  <c r="K112" i="1"/>
  <c r="J112" i="1"/>
  <c r="I112" i="1"/>
  <c r="H112" i="1"/>
  <c r="G112" i="1"/>
  <c r="F112" i="1"/>
  <c r="E112" i="1"/>
  <c r="K111" i="1"/>
  <c r="J111" i="1"/>
  <c r="I111" i="1"/>
  <c r="H111" i="1"/>
  <c r="G111" i="1"/>
  <c r="F111" i="1"/>
  <c r="E111" i="1"/>
  <c r="K110" i="1"/>
  <c r="J110" i="1"/>
  <c r="I110" i="1"/>
  <c r="H110" i="1"/>
  <c r="G110" i="1"/>
  <c r="F110" i="1"/>
  <c r="E110" i="1"/>
  <c r="K109" i="1"/>
  <c r="J109" i="1"/>
  <c r="I109" i="1"/>
  <c r="H109" i="1"/>
  <c r="G109" i="1"/>
  <c r="F109" i="1"/>
  <c r="E109" i="1"/>
  <c r="K108" i="1"/>
  <c r="J108" i="1"/>
  <c r="I108" i="1"/>
  <c r="H108" i="1"/>
  <c r="G108" i="1"/>
  <c r="F108" i="1"/>
  <c r="E108" i="1"/>
  <c r="K107" i="1"/>
  <c r="J107" i="1"/>
  <c r="I107" i="1"/>
  <c r="H107" i="1"/>
  <c r="G107" i="1"/>
  <c r="F107" i="1"/>
  <c r="E107" i="1"/>
  <c r="K106" i="1"/>
  <c r="J106" i="1"/>
  <c r="I106" i="1"/>
  <c r="H106" i="1"/>
  <c r="G106" i="1"/>
  <c r="F106" i="1"/>
  <c r="E106" i="1"/>
  <c r="K105" i="1"/>
  <c r="J105" i="1"/>
  <c r="I105" i="1"/>
  <c r="H105" i="1"/>
  <c r="G105" i="1"/>
  <c r="F105" i="1"/>
  <c r="E105" i="1"/>
  <c r="K104" i="1"/>
  <c r="J104" i="1"/>
  <c r="I104" i="1"/>
  <c r="H104" i="1"/>
  <c r="G104" i="1"/>
  <c r="F104" i="1"/>
  <c r="E104" i="1"/>
  <c r="K103" i="1"/>
  <c r="J103" i="1"/>
  <c r="I103" i="1"/>
  <c r="H103" i="1"/>
  <c r="G103" i="1"/>
  <c r="F103" i="1"/>
  <c r="E103" i="1"/>
  <c r="K102" i="1"/>
  <c r="J102" i="1"/>
  <c r="I102" i="1"/>
  <c r="H102" i="1"/>
  <c r="G102" i="1"/>
  <c r="F102" i="1"/>
  <c r="E102" i="1"/>
  <c r="K101" i="1"/>
  <c r="J101" i="1"/>
  <c r="I101" i="1"/>
  <c r="H101" i="1"/>
  <c r="G101" i="1"/>
  <c r="F101" i="1"/>
  <c r="E101" i="1"/>
  <c r="K100" i="1"/>
  <c r="J100" i="1"/>
  <c r="I100" i="1"/>
  <c r="H100" i="1"/>
  <c r="G100" i="1"/>
  <c r="F100" i="1"/>
  <c r="E100" i="1"/>
  <c r="K99" i="1"/>
  <c r="J99" i="1"/>
  <c r="I99" i="1"/>
  <c r="H99" i="1"/>
  <c r="G99" i="1"/>
  <c r="F99" i="1"/>
  <c r="E99" i="1"/>
  <c r="K98" i="1"/>
  <c r="J98" i="1"/>
  <c r="I98" i="1"/>
  <c r="H98" i="1"/>
  <c r="G98" i="1"/>
  <c r="F98" i="1"/>
  <c r="E98" i="1"/>
  <c r="K97" i="1"/>
  <c r="J97" i="1"/>
  <c r="I97" i="1"/>
  <c r="H97" i="1"/>
  <c r="G97" i="1"/>
  <c r="F97" i="1"/>
  <c r="E97" i="1"/>
  <c r="K96" i="1"/>
  <c r="J96" i="1"/>
  <c r="I96" i="1"/>
  <c r="H96" i="1"/>
  <c r="G96" i="1"/>
  <c r="F96" i="1"/>
  <c r="E96" i="1"/>
  <c r="K95" i="1"/>
  <c r="J95" i="1"/>
  <c r="I95" i="1"/>
  <c r="H95" i="1"/>
  <c r="G95" i="1"/>
  <c r="F95" i="1"/>
  <c r="E95" i="1"/>
  <c r="K94" i="1"/>
  <c r="J94" i="1"/>
  <c r="I94" i="1"/>
  <c r="H94" i="1"/>
  <c r="G94" i="1"/>
  <c r="F94" i="1"/>
  <c r="E94" i="1"/>
  <c r="K93" i="1"/>
  <c r="J93" i="1"/>
  <c r="I93" i="1"/>
  <c r="H93" i="1"/>
  <c r="G93" i="1"/>
  <c r="F93" i="1"/>
  <c r="E93" i="1"/>
  <c r="K92" i="1"/>
  <c r="J92" i="1"/>
  <c r="I92" i="1"/>
  <c r="H92" i="1"/>
  <c r="G92" i="1"/>
  <c r="F92" i="1"/>
  <c r="E92" i="1"/>
  <c r="K91" i="1"/>
  <c r="J91" i="1"/>
  <c r="I91" i="1"/>
  <c r="H91" i="1"/>
  <c r="G91" i="1"/>
  <c r="F91" i="1"/>
  <c r="E91" i="1"/>
  <c r="K90" i="1"/>
  <c r="J90" i="1"/>
  <c r="I90" i="1"/>
  <c r="H90" i="1"/>
  <c r="G90" i="1"/>
  <c r="F90" i="1"/>
  <c r="E90" i="1"/>
  <c r="K89" i="1"/>
  <c r="J89" i="1"/>
  <c r="I89" i="1"/>
  <c r="H89" i="1"/>
  <c r="G89" i="1"/>
  <c r="F89" i="1"/>
  <c r="E89" i="1"/>
  <c r="K88" i="1"/>
  <c r="J88" i="1"/>
  <c r="I88" i="1"/>
  <c r="H88" i="1"/>
  <c r="G88" i="1"/>
  <c r="F88" i="1"/>
  <c r="E88" i="1"/>
  <c r="K87" i="1"/>
  <c r="J87" i="1"/>
  <c r="I87" i="1"/>
  <c r="H87" i="1"/>
  <c r="G87" i="1"/>
  <c r="F87" i="1"/>
  <c r="E87" i="1"/>
  <c r="K86" i="1"/>
  <c r="J86" i="1"/>
  <c r="I86" i="1"/>
  <c r="H86" i="1"/>
  <c r="G86" i="1"/>
  <c r="F86" i="1"/>
  <c r="E86" i="1"/>
  <c r="K85" i="1"/>
  <c r="J85" i="1"/>
  <c r="I85" i="1"/>
  <c r="H85" i="1"/>
  <c r="G85" i="1"/>
  <c r="F85" i="1"/>
  <c r="E85" i="1"/>
  <c r="K84" i="1"/>
  <c r="J84" i="1"/>
  <c r="I84" i="1"/>
  <c r="H84" i="1"/>
  <c r="G84" i="1"/>
  <c r="F84" i="1"/>
  <c r="E84" i="1"/>
  <c r="K83" i="1"/>
  <c r="J83" i="1"/>
  <c r="I83" i="1"/>
  <c r="H83" i="1"/>
  <c r="G83" i="1"/>
  <c r="F83" i="1"/>
  <c r="E83" i="1"/>
  <c r="K82" i="1"/>
  <c r="J82" i="1"/>
  <c r="I82" i="1"/>
  <c r="H82" i="1"/>
  <c r="G82" i="1"/>
  <c r="F82" i="1"/>
  <c r="E82" i="1"/>
  <c r="K81" i="1"/>
  <c r="J81" i="1"/>
  <c r="I81" i="1"/>
  <c r="H81" i="1"/>
  <c r="G81" i="1"/>
  <c r="F81" i="1"/>
  <c r="E81" i="1"/>
  <c r="K80" i="1"/>
  <c r="J80" i="1"/>
  <c r="I80" i="1"/>
  <c r="H80" i="1"/>
  <c r="G80" i="1"/>
  <c r="F80" i="1"/>
  <c r="E80" i="1"/>
  <c r="K79" i="1"/>
  <c r="J79" i="1"/>
  <c r="I79" i="1"/>
  <c r="H79" i="1"/>
  <c r="G79" i="1"/>
  <c r="F79" i="1"/>
  <c r="E79" i="1"/>
  <c r="K78" i="1"/>
  <c r="J78" i="1"/>
  <c r="I78" i="1"/>
  <c r="H78" i="1"/>
  <c r="G78" i="1"/>
  <c r="F78" i="1"/>
  <c r="E78" i="1"/>
  <c r="K77" i="1"/>
  <c r="J77" i="1"/>
  <c r="I77" i="1"/>
  <c r="H77" i="1"/>
  <c r="G77" i="1"/>
  <c r="F77" i="1"/>
  <c r="E77" i="1"/>
  <c r="K76" i="1"/>
  <c r="J76" i="1"/>
  <c r="I76" i="1"/>
  <c r="H76" i="1"/>
  <c r="G76" i="1"/>
  <c r="F76" i="1"/>
  <c r="E76" i="1"/>
  <c r="K75" i="1"/>
  <c r="J75" i="1"/>
  <c r="I75" i="1"/>
  <c r="H75" i="1"/>
  <c r="G75" i="1"/>
  <c r="F75" i="1"/>
  <c r="E75" i="1"/>
  <c r="K74" i="1"/>
  <c r="J74" i="1"/>
  <c r="I74" i="1"/>
  <c r="H74" i="1"/>
  <c r="G74" i="1"/>
  <c r="F74" i="1"/>
  <c r="E74" i="1"/>
  <c r="K73" i="1"/>
  <c r="J73" i="1"/>
  <c r="I73" i="1"/>
  <c r="H73" i="1"/>
  <c r="G73" i="1"/>
  <c r="F73" i="1"/>
  <c r="E73" i="1"/>
  <c r="K72" i="1"/>
  <c r="J72" i="1"/>
  <c r="I72" i="1"/>
  <c r="H72" i="1"/>
  <c r="G72" i="1"/>
  <c r="F72" i="1"/>
  <c r="E72" i="1"/>
  <c r="K71" i="1"/>
  <c r="J71" i="1"/>
  <c r="I71" i="1"/>
  <c r="H71" i="1"/>
  <c r="G71" i="1"/>
  <c r="F71" i="1"/>
  <c r="E71" i="1"/>
  <c r="K70" i="1"/>
  <c r="J70" i="1"/>
  <c r="I70" i="1"/>
  <c r="H70" i="1"/>
  <c r="G70" i="1"/>
  <c r="F70" i="1"/>
  <c r="E70" i="1"/>
  <c r="K69" i="1"/>
  <c r="J69" i="1"/>
  <c r="I69" i="1"/>
  <c r="H69" i="1"/>
  <c r="G69" i="1"/>
  <c r="F69" i="1"/>
  <c r="E69" i="1"/>
  <c r="K68" i="1"/>
  <c r="J68" i="1"/>
  <c r="I68" i="1"/>
  <c r="H68" i="1"/>
  <c r="G68" i="1"/>
  <c r="F68" i="1"/>
  <c r="E68" i="1"/>
  <c r="K67" i="1"/>
  <c r="J67" i="1"/>
  <c r="I67" i="1"/>
  <c r="H67" i="1"/>
  <c r="G67" i="1"/>
  <c r="F67" i="1"/>
  <c r="E67" i="1"/>
  <c r="K66" i="1"/>
  <c r="J66" i="1"/>
  <c r="I66" i="1"/>
  <c r="H66" i="1"/>
  <c r="G66" i="1"/>
  <c r="F66" i="1"/>
  <c r="E66" i="1"/>
  <c r="K65" i="1"/>
  <c r="J65" i="1"/>
  <c r="I65" i="1"/>
  <c r="H65" i="1"/>
  <c r="G65" i="1"/>
  <c r="F65" i="1"/>
  <c r="E65" i="1"/>
  <c r="K64" i="1"/>
  <c r="J64" i="1"/>
  <c r="I64" i="1"/>
  <c r="H64" i="1"/>
  <c r="G64" i="1"/>
  <c r="F64" i="1"/>
  <c r="E64" i="1"/>
  <c r="K63" i="1"/>
  <c r="J63" i="1"/>
  <c r="I63" i="1"/>
  <c r="H63" i="1"/>
  <c r="G63" i="1"/>
  <c r="F63" i="1"/>
  <c r="E63" i="1"/>
  <c r="K62" i="1"/>
  <c r="J62" i="1"/>
  <c r="I62" i="1"/>
  <c r="H62" i="1"/>
  <c r="G62" i="1"/>
  <c r="F62" i="1"/>
  <c r="E62" i="1"/>
  <c r="K61" i="1"/>
  <c r="J61" i="1"/>
  <c r="I61" i="1"/>
  <c r="H61" i="1"/>
  <c r="G61" i="1"/>
  <c r="F61" i="1"/>
  <c r="E61" i="1"/>
  <c r="K60" i="1"/>
  <c r="J60" i="1"/>
  <c r="I60" i="1"/>
  <c r="H60" i="1"/>
  <c r="G60" i="1"/>
  <c r="F60" i="1"/>
  <c r="E60" i="1"/>
  <c r="K59" i="1"/>
  <c r="J59" i="1"/>
  <c r="I59" i="1"/>
  <c r="H59" i="1"/>
  <c r="G59" i="1"/>
  <c r="F59" i="1"/>
  <c r="E59" i="1"/>
  <c r="K58" i="1"/>
  <c r="J58" i="1"/>
  <c r="I58" i="1"/>
  <c r="H58" i="1"/>
  <c r="G58" i="1"/>
  <c r="F58" i="1"/>
  <c r="E58" i="1"/>
  <c r="K57" i="1"/>
  <c r="J57" i="1"/>
  <c r="I57" i="1"/>
  <c r="H57" i="1"/>
  <c r="G57" i="1"/>
  <c r="F57" i="1"/>
  <c r="E57" i="1"/>
  <c r="K56" i="1"/>
  <c r="J56" i="1"/>
  <c r="I56" i="1"/>
  <c r="H56" i="1"/>
  <c r="G56" i="1"/>
  <c r="F56" i="1"/>
  <c r="E56" i="1"/>
  <c r="K55" i="1"/>
  <c r="J55" i="1"/>
  <c r="I55" i="1"/>
  <c r="H55" i="1"/>
  <c r="G55" i="1"/>
  <c r="F55" i="1"/>
  <c r="E55" i="1"/>
  <c r="K54" i="1"/>
  <c r="J54" i="1"/>
  <c r="I54" i="1"/>
  <c r="H54" i="1"/>
  <c r="G54" i="1"/>
  <c r="F54" i="1"/>
  <c r="E54" i="1"/>
  <c r="K53" i="1"/>
  <c r="J53" i="1"/>
  <c r="I53" i="1"/>
  <c r="H53" i="1"/>
  <c r="G53" i="1"/>
  <c r="F53" i="1"/>
  <c r="E53" i="1"/>
  <c r="K52" i="1"/>
  <c r="J52" i="1"/>
  <c r="I52" i="1"/>
  <c r="H52" i="1"/>
  <c r="G52" i="1"/>
  <c r="F52" i="1"/>
  <c r="E52" i="1"/>
  <c r="K51" i="1"/>
  <c r="J51" i="1"/>
  <c r="I51" i="1"/>
  <c r="H51" i="1"/>
  <c r="G51" i="1"/>
  <c r="F51" i="1"/>
  <c r="E51" i="1"/>
  <c r="K50" i="1"/>
  <c r="J50" i="1"/>
  <c r="I50" i="1"/>
  <c r="H50" i="1"/>
  <c r="G50" i="1"/>
  <c r="F50" i="1"/>
  <c r="E50" i="1"/>
  <c r="K49" i="1"/>
  <c r="J49" i="1"/>
  <c r="I49" i="1"/>
  <c r="H49" i="1"/>
  <c r="G49" i="1"/>
  <c r="F49" i="1"/>
  <c r="E49" i="1"/>
  <c r="K48" i="1"/>
  <c r="J48" i="1"/>
  <c r="I48" i="1"/>
  <c r="H48" i="1"/>
  <c r="G48" i="1"/>
  <c r="F48" i="1"/>
  <c r="E48" i="1"/>
  <c r="K47" i="1"/>
  <c r="J47" i="1"/>
  <c r="I47" i="1"/>
  <c r="H47" i="1"/>
  <c r="G47" i="1"/>
  <c r="F47" i="1"/>
  <c r="E47" i="1"/>
  <c r="K46" i="1"/>
  <c r="J46" i="1"/>
  <c r="I46" i="1"/>
  <c r="H46" i="1"/>
  <c r="G46" i="1"/>
  <c r="F46" i="1"/>
  <c r="E46" i="1"/>
  <c r="K45" i="1"/>
  <c r="J45" i="1"/>
  <c r="I45" i="1"/>
  <c r="H45" i="1"/>
  <c r="G45" i="1"/>
  <c r="F45" i="1"/>
  <c r="E45" i="1"/>
  <c r="K44" i="1"/>
  <c r="J44" i="1"/>
  <c r="I44" i="1"/>
  <c r="H44" i="1"/>
  <c r="G44" i="1"/>
  <c r="F44" i="1"/>
  <c r="E44" i="1"/>
  <c r="K43" i="1"/>
  <c r="J43" i="1"/>
  <c r="I43" i="1"/>
  <c r="H43" i="1"/>
  <c r="G43" i="1"/>
  <c r="F43" i="1"/>
  <c r="E43" i="1"/>
  <c r="K42" i="1"/>
  <c r="J42" i="1"/>
  <c r="I42" i="1"/>
  <c r="H42" i="1"/>
  <c r="G42" i="1"/>
  <c r="F42" i="1"/>
  <c r="E42" i="1"/>
  <c r="K41" i="1"/>
  <c r="J41" i="1"/>
  <c r="I41" i="1"/>
  <c r="H41" i="1"/>
  <c r="G41" i="1"/>
  <c r="F41" i="1"/>
  <c r="E41" i="1"/>
  <c r="K40" i="1"/>
  <c r="J40" i="1"/>
  <c r="I40" i="1"/>
  <c r="H40" i="1"/>
  <c r="G40" i="1"/>
  <c r="F40" i="1"/>
  <c r="E40" i="1"/>
  <c r="K39" i="1"/>
  <c r="J39" i="1"/>
  <c r="I39" i="1"/>
  <c r="H39" i="1"/>
  <c r="G39" i="1"/>
  <c r="F39" i="1"/>
  <c r="E39" i="1"/>
  <c r="K38" i="1"/>
  <c r="J38" i="1"/>
  <c r="I38" i="1"/>
  <c r="H38" i="1"/>
  <c r="G38" i="1"/>
  <c r="F38" i="1"/>
  <c r="E38" i="1"/>
  <c r="K37" i="1"/>
  <c r="J37" i="1"/>
  <c r="I37" i="1"/>
  <c r="H37" i="1"/>
  <c r="G37" i="1"/>
  <c r="F37" i="1"/>
  <c r="E37" i="1"/>
  <c r="K36" i="1"/>
  <c r="J36" i="1"/>
  <c r="I36" i="1"/>
  <c r="H36" i="1"/>
  <c r="G36" i="1"/>
  <c r="F36" i="1"/>
  <c r="E36" i="1"/>
  <c r="K35" i="1"/>
  <c r="J35" i="1"/>
  <c r="I35" i="1"/>
  <c r="H35" i="1"/>
  <c r="G35" i="1"/>
  <c r="F35" i="1"/>
  <c r="E35" i="1"/>
  <c r="K34" i="1"/>
  <c r="J34" i="1"/>
  <c r="I34" i="1"/>
  <c r="H34" i="1"/>
  <c r="G34" i="1"/>
  <c r="F34" i="1"/>
  <c r="E34" i="1"/>
  <c r="K33" i="1"/>
  <c r="J33" i="1"/>
  <c r="I33" i="1"/>
  <c r="H33" i="1"/>
  <c r="G33" i="1"/>
  <c r="F33" i="1"/>
  <c r="E33" i="1"/>
  <c r="K32" i="1"/>
  <c r="J32" i="1"/>
  <c r="I32" i="1"/>
  <c r="H32" i="1"/>
  <c r="G32" i="1"/>
  <c r="F32" i="1"/>
  <c r="E32" i="1"/>
  <c r="K31" i="1"/>
  <c r="J31" i="1"/>
  <c r="I31" i="1"/>
  <c r="H31" i="1"/>
  <c r="G31" i="1"/>
  <c r="F31" i="1"/>
  <c r="E31" i="1"/>
  <c r="K30" i="1"/>
  <c r="J30" i="1"/>
  <c r="I30" i="1"/>
  <c r="H30" i="1"/>
  <c r="G30" i="1"/>
  <c r="F30" i="1"/>
  <c r="E30" i="1"/>
  <c r="K29" i="1"/>
  <c r="J29" i="1"/>
  <c r="I29" i="1"/>
  <c r="H29" i="1"/>
  <c r="G29" i="1"/>
  <c r="F29" i="1"/>
  <c r="E29" i="1"/>
  <c r="K28" i="1"/>
  <c r="J28" i="1"/>
  <c r="I28" i="1"/>
  <c r="H28" i="1"/>
  <c r="G28" i="1"/>
  <c r="F28" i="1"/>
  <c r="E28" i="1"/>
  <c r="K27" i="1"/>
  <c r="J27" i="1"/>
  <c r="I27" i="1"/>
  <c r="H27" i="1"/>
  <c r="G27" i="1"/>
  <c r="F27" i="1"/>
  <c r="E27" i="1"/>
  <c r="K26" i="1"/>
  <c r="J26" i="1"/>
  <c r="I26" i="1"/>
  <c r="H26" i="1"/>
  <c r="G26" i="1"/>
  <c r="F26" i="1"/>
  <c r="E26" i="1"/>
  <c r="K25" i="1"/>
  <c r="J25" i="1"/>
  <c r="I25" i="1"/>
  <c r="H25" i="1"/>
  <c r="G25" i="1"/>
  <c r="F25" i="1"/>
  <c r="E25" i="1"/>
  <c r="K24" i="1"/>
  <c r="J24" i="1"/>
  <c r="I24" i="1"/>
  <c r="H24" i="1"/>
  <c r="G24" i="1"/>
  <c r="F24" i="1"/>
  <c r="E24" i="1"/>
  <c r="K23" i="1"/>
  <c r="J23" i="1"/>
  <c r="I23" i="1"/>
  <c r="H23" i="1"/>
  <c r="G23" i="1"/>
  <c r="F23" i="1"/>
  <c r="E23" i="1"/>
  <c r="K22" i="1"/>
  <c r="J22" i="1"/>
  <c r="I22" i="1"/>
  <c r="H22" i="1"/>
  <c r="G22" i="1"/>
  <c r="F22" i="1"/>
  <c r="E22" i="1"/>
  <c r="K21" i="1"/>
  <c r="J21" i="1"/>
  <c r="I21" i="1"/>
  <c r="H21" i="1"/>
  <c r="G21" i="1"/>
  <c r="F21" i="1"/>
  <c r="E21" i="1"/>
  <c r="K20" i="1"/>
  <c r="J20" i="1"/>
  <c r="I20" i="1"/>
  <c r="H20" i="1"/>
  <c r="G20" i="1"/>
  <c r="F20" i="1"/>
  <c r="E20" i="1"/>
  <c r="K19" i="1"/>
  <c r="J19" i="1"/>
  <c r="I19" i="1"/>
  <c r="H19" i="1"/>
  <c r="G19" i="1"/>
  <c r="F19" i="1"/>
  <c r="E19" i="1"/>
  <c r="K18" i="1"/>
  <c r="J18" i="1"/>
  <c r="I18" i="1"/>
  <c r="H18" i="1"/>
  <c r="G18" i="1"/>
  <c r="F18" i="1"/>
  <c r="E18" i="1"/>
  <c r="K17" i="1"/>
  <c r="J17" i="1"/>
  <c r="I17" i="1"/>
  <c r="H17" i="1"/>
  <c r="G17" i="1"/>
  <c r="F17" i="1"/>
  <c r="E17" i="1"/>
  <c r="K16" i="1"/>
  <c r="J16" i="1"/>
  <c r="I16" i="1"/>
  <c r="H16" i="1"/>
  <c r="G16" i="1"/>
  <c r="F16" i="1"/>
  <c r="E16" i="1"/>
  <c r="K15" i="1"/>
  <c r="J15" i="1"/>
  <c r="I15" i="1"/>
  <c r="H15" i="1"/>
  <c r="G15" i="1"/>
  <c r="F15" i="1"/>
  <c r="E15" i="1"/>
  <c r="K14" i="1"/>
  <c r="J14" i="1"/>
  <c r="I14" i="1"/>
  <c r="H14" i="1"/>
  <c r="G14" i="1"/>
  <c r="F14" i="1"/>
  <c r="E14" i="1"/>
  <c r="K13" i="1"/>
  <c r="J13" i="1"/>
  <c r="I13" i="1"/>
  <c r="H13" i="1"/>
  <c r="G13" i="1"/>
  <c r="F13" i="1"/>
  <c r="E13" i="1"/>
  <c r="K12" i="1"/>
  <c r="J12" i="1"/>
  <c r="I12" i="1"/>
  <c r="H12" i="1"/>
  <c r="G12" i="1"/>
  <c r="F12" i="1"/>
  <c r="E12" i="1"/>
  <c r="K11" i="1"/>
  <c r="J11" i="1"/>
  <c r="I11" i="1"/>
  <c r="H11" i="1"/>
  <c r="G11" i="1"/>
  <c r="F11" i="1"/>
  <c r="E11" i="1"/>
  <c r="K10" i="1"/>
  <c r="J10" i="1"/>
  <c r="I10" i="1"/>
  <c r="H10" i="1"/>
  <c r="G10" i="1"/>
  <c r="F10" i="1"/>
  <c r="E10" i="1"/>
  <c r="K9" i="1"/>
  <c r="J9" i="1"/>
  <c r="I9" i="1"/>
  <c r="H9" i="1"/>
  <c r="G9" i="1"/>
  <c r="F9" i="1"/>
  <c r="E9" i="1"/>
  <c r="K8" i="1"/>
  <c r="J8" i="1"/>
  <c r="I8" i="1"/>
  <c r="H8" i="1"/>
  <c r="G8" i="1"/>
  <c r="F8" i="1"/>
  <c r="E8" i="1"/>
  <c r="K7" i="1"/>
  <c r="J7" i="1"/>
  <c r="I7" i="1"/>
  <c r="H7" i="1"/>
  <c r="G7" i="1"/>
  <c r="F7" i="1"/>
  <c r="E7" i="1"/>
  <c r="K6" i="1"/>
  <c r="J6" i="1"/>
  <c r="I6" i="1"/>
  <c r="H6" i="1"/>
  <c r="G6" i="1"/>
  <c r="F6" i="1"/>
  <c r="E6" i="1"/>
  <c r="K5" i="1"/>
  <c r="J5" i="1"/>
  <c r="I5" i="1"/>
  <c r="H5" i="1"/>
  <c r="G5" i="1"/>
  <c r="F5" i="1"/>
  <c r="E5" i="1"/>
  <c r="K4" i="1"/>
  <c r="J4" i="1"/>
  <c r="I4" i="1"/>
  <c r="H4" i="1"/>
  <c r="G4" i="1"/>
  <c r="F4" i="1"/>
  <c r="E4" i="1"/>
  <c r="K3" i="1"/>
  <c r="J3" i="1"/>
  <c r="I3" i="1"/>
  <c r="H3" i="1"/>
  <c r="G3" i="1"/>
  <c r="F3" i="1"/>
  <c r="E3" i="1"/>
  <c r="AA144" i="1"/>
  <c r="Z144" i="1"/>
  <c r="Y144" i="1"/>
  <c r="X144" i="1"/>
  <c r="W144" i="1"/>
  <c r="AA143" i="1"/>
  <c r="Z143" i="1"/>
  <c r="Y143" i="1"/>
  <c r="X143" i="1"/>
  <c r="W143" i="1"/>
  <c r="AA142" i="1"/>
  <c r="Z142" i="1"/>
  <c r="Y142" i="1"/>
  <c r="X142" i="1"/>
  <c r="W142" i="1"/>
  <c r="AA141" i="1"/>
  <c r="Z141" i="1"/>
  <c r="Y141" i="1"/>
  <c r="X141" i="1"/>
  <c r="W141" i="1"/>
  <c r="AA140" i="1"/>
  <c r="Z140" i="1"/>
  <c r="Y140" i="1"/>
  <c r="X140" i="1"/>
  <c r="W140" i="1"/>
  <c r="AA139" i="1"/>
  <c r="Z139" i="1"/>
  <c r="Y139" i="1"/>
  <c r="X139" i="1"/>
  <c r="W139" i="1"/>
  <c r="AA138" i="1"/>
  <c r="Z138" i="1"/>
  <c r="Y138" i="1"/>
  <c r="X138" i="1"/>
  <c r="W138" i="1"/>
  <c r="AA137" i="1"/>
  <c r="Z137" i="1"/>
  <c r="Y137" i="1"/>
  <c r="X137" i="1"/>
  <c r="W137" i="1"/>
  <c r="AA136" i="1"/>
  <c r="Z136" i="1"/>
  <c r="Y136" i="1"/>
  <c r="X136" i="1"/>
  <c r="W136" i="1"/>
  <c r="AA135" i="1"/>
  <c r="Z135" i="1"/>
  <c r="Y135" i="1"/>
  <c r="X135" i="1"/>
  <c r="W135" i="1"/>
  <c r="AA134" i="1"/>
  <c r="Z134" i="1"/>
  <c r="Y134" i="1"/>
  <c r="X134" i="1"/>
  <c r="W134" i="1"/>
  <c r="AA133" i="1"/>
  <c r="Z133" i="1"/>
  <c r="Y133" i="1"/>
  <c r="X133" i="1"/>
  <c r="W133" i="1"/>
  <c r="AA132" i="1"/>
  <c r="Z132" i="1"/>
  <c r="Y132" i="1"/>
  <c r="X132" i="1"/>
  <c r="W132" i="1"/>
  <c r="AA131" i="1"/>
  <c r="Z131" i="1"/>
  <c r="Y131" i="1"/>
  <c r="X131" i="1"/>
  <c r="W131" i="1"/>
  <c r="AA130" i="1"/>
  <c r="Z130" i="1"/>
  <c r="Y130" i="1"/>
  <c r="X130" i="1"/>
  <c r="W130" i="1"/>
  <c r="AA129" i="1"/>
  <c r="Z129" i="1"/>
  <c r="Y129" i="1"/>
  <c r="X129" i="1"/>
  <c r="W129" i="1"/>
  <c r="AA128" i="1"/>
  <c r="Z128" i="1"/>
  <c r="Y128" i="1"/>
  <c r="X128" i="1"/>
  <c r="W128" i="1"/>
  <c r="AA127" i="1"/>
  <c r="Z127" i="1"/>
  <c r="Y127" i="1"/>
  <c r="X127" i="1"/>
  <c r="W127" i="1"/>
  <c r="AA126" i="1"/>
  <c r="Z126" i="1"/>
  <c r="Y126" i="1"/>
  <c r="X126" i="1"/>
  <c r="W126" i="1"/>
  <c r="AA125" i="1"/>
  <c r="Z125" i="1"/>
  <c r="Y125" i="1"/>
  <c r="X125" i="1"/>
  <c r="W125" i="1"/>
  <c r="AA124" i="1"/>
  <c r="Z124" i="1"/>
  <c r="Y124" i="1"/>
  <c r="X124" i="1"/>
  <c r="W124" i="1"/>
  <c r="AA123" i="1"/>
  <c r="Z123" i="1"/>
  <c r="Y123" i="1"/>
  <c r="X123" i="1"/>
  <c r="W123" i="1"/>
  <c r="AA122" i="1"/>
  <c r="Z122" i="1"/>
  <c r="Y122" i="1"/>
  <c r="X122" i="1"/>
  <c r="W122" i="1"/>
  <c r="AA121" i="1"/>
  <c r="Z121" i="1"/>
  <c r="Y121" i="1"/>
  <c r="X121" i="1"/>
  <c r="W121" i="1"/>
  <c r="AA120" i="1"/>
  <c r="Z120" i="1"/>
  <c r="Y120" i="1"/>
  <c r="X120" i="1"/>
  <c r="W120" i="1"/>
  <c r="AA119" i="1"/>
  <c r="Z119" i="1"/>
  <c r="Y119" i="1"/>
  <c r="X119" i="1"/>
  <c r="W119" i="1"/>
  <c r="AA118" i="1"/>
  <c r="Z118" i="1"/>
  <c r="Y118" i="1"/>
  <c r="X118" i="1"/>
  <c r="W118" i="1"/>
  <c r="AA117" i="1"/>
  <c r="Z117" i="1"/>
  <c r="Y117" i="1"/>
  <c r="X117" i="1"/>
  <c r="W117" i="1"/>
  <c r="AA116" i="1"/>
  <c r="Z116" i="1"/>
  <c r="Y116" i="1"/>
  <c r="X116" i="1"/>
  <c r="W116" i="1"/>
  <c r="AA115" i="1"/>
  <c r="Z115" i="1"/>
  <c r="Y115" i="1"/>
  <c r="X115" i="1"/>
  <c r="W115" i="1"/>
  <c r="AA114" i="1"/>
  <c r="Z114" i="1"/>
  <c r="Y114" i="1"/>
  <c r="X114" i="1"/>
  <c r="W114" i="1"/>
  <c r="AA113" i="1"/>
  <c r="Z113" i="1"/>
  <c r="Y113" i="1"/>
  <c r="X113" i="1"/>
  <c r="W113" i="1"/>
  <c r="AA112" i="1"/>
  <c r="Z112" i="1"/>
  <c r="Y112" i="1"/>
  <c r="X112" i="1"/>
  <c r="W112" i="1"/>
  <c r="AA111" i="1"/>
  <c r="Z111" i="1"/>
  <c r="Y111" i="1"/>
  <c r="X111" i="1"/>
  <c r="W111" i="1"/>
  <c r="AA110" i="1"/>
  <c r="Z110" i="1"/>
  <c r="Y110" i="1"/>
  <c r="X110" i="1"/>
  <c r="W110" i="1"/>
  <c r="AA109" i="1"/>
  <c r="Z109" i="1"/>
  <c r="Y109" i="1"/>
  <c r="X109" i="1"/>
  <c r="W109" i="1"/>
  <c r="AA108" i="1"/>
  <c r="Z108" i="1"/>
  <c r="Y108" i="1"/>
  <c r="X108" i="1"/>
  <c r="W108" i="1"/>
  <c r="AA107" i="1"/>
  <c r="Z107" i="1"/>
  <c r="Y107" i="1"/>
  <c r="X107" i="1"/>
  <c r="W107" i="1"/>
  <c r="AA106" i="1"/>
  <c r="Z106" i="1"/>
  <c r="Y106" i="1"/>
  <c r="X106" i="1"/>
  <c r="W106" i="1"/>
  <c r="AA105" i="1"/>
  <c r="Z105" i="1"/>
  <c r="Y105" i="1"/>
  <c r="X105" i="1"/>
  <c r="W105" i="1"/>
  <c r="AA104" i="1"/>
  <c r="Z104" i="1"/>
  <c r="Y104" i="1"/>
  <c r="X104" i="1"/>
  <c r="W104" i="1"/>
  <c r="AA103" i="1"/>
  <c r="Z103" i="1"/>
  <c r="Y103" i="1"/>
  <c r="X103" i="1"/>
  <c r="W103" i="1"/>
  <c r="AA102" i="1"/>
  <c r="Z102" i="1"/>
  <c r="Y102" i="1"/>
  <c r="X102" i="1"/>
  <c r="W102" i="1"/>
  <c r="AA101" i="1"/>
  <c r="Z101" i="1"/>
  <c r="Y101" i="1"/>
  <c r="X101" i="1"/>
  <c r="W101" i="1"/>
  <c r="AA100" i="1"/>
  <c r="Z100" i="1"/>
  <c r="Y100" i="1"/>
  <c r="X100" i="1"/>
  <c r="W100" i="1"/>
  <c r="AA99" i="1"/>
  <c r="Z99" i="1"/>
  <c r="Y99" i="1"/>
  <c r="X99" i="1"/>
  <c r="W99" i="1"/>
  <c r="AA98" i="1"/>
  <c r="Z98" i="1"/>
  <c r="Y98" i="1"/>
  <c r="X98" i="1"/>
  <c r="W98" i="1"/>
  <c r="AA97" i="1"/>
  <c r="Z97" i="1"/>
  <c r="Y97" i="1"/>
  <c r="X97" i="1"/>
  <c r="W97" i="1"/>
  <c r="AA96" i="1"/>
  <c r="Z96" i="1"/>
  <c r="Y96" i="1"/>
  <c r="X96" i="1"/>
  <c r="W96" i="1"/>
  <c r="AA95" i="1"/>
  <c r="Z95" i="1"/>
  <c r="Y95" i="1"/>
  <c r="X95" i="1"/>
  <c r="W95" i="1"/>
  <c r="AA94" i="1"/>
  <c r="Z94" i="1"/>
  <c r="Y94" i="1"/>
  <c r="X94" i="1"/>
  <c r="W94" i="1"/>
  <c r="AA93" i="1"/>
  <c r="Z93" i="1"/>
  <c r="Y93" i="1"/>
  <c r="X93" i="1"/>
  <c r="W93" i="1"/>
  <c r="AA92" i="1"/>
  <c r="Z92" i="1"/>
  <c r="Y92" i="1"/>
  <c r="X92" i="1"/>
  <c r="W92" i="1"/>
  <c r="AA91" i="1"/>
  <c r="Z91" i="1"/>
  <c r="Y91" i="1"/>
  <c r="X91" i="1"/>
  <c r="W91" i="1"/>
  <c r="AA90" i="1"/>
  <c r="Z90" i="1"/>
  <c r="Y90" i="1"/>
  <c r="X90" i="1"/>
  <c r="W90" i="1"/>
  <c r="AA89" i="1"/>
  <c r="Z89" i="1"/>
  <c r="Y89" i="1"/>
  <c r="X89" i="1"/>
  <c r="W89" i="1"/>
  <c r="AA88" i="1"/>
  <c r="Z88" i="1"/>
  <c r="Y88" i="1"/>
  <c r="X88" i="1"/>
  <c r="W88" i="1"/>
  <c r="AA87" i="1"/>
  <c r="Z87" i="1"/>
  <c r="Y87" i="1"/>
  <c r="X87" i="1"/>
  <c r="W87" i="1"/>
  <c r="AA86" i="1"/>
  <c r="Z86" i="1"/>
  <c r="Y86" i="1"/>
  <c r="X86" i="1"/>
  <c r="W86" i="1"/>
  <c r="AA85" i="1"/>
  <c r="Z85" i="1"/>
  <c r="Y85" i="1"/>
  <c r="X85" i="1"/>
  <c r="W85" i="1"/>
  <c r="AA84" i="1"/>
  <c r="Z84" i="1"/>
  <c r="Y84" i="1"/>
  <c r="X84" i="1"/>
  <c r="W84" i="1"/>
  <c r="AA83" i="1"/>
  <c r="Z83" i="1"/>
  <c r="Y83" i="1"/>
  <c r="X83" i="1"/>
  <c r="W83" i="1"/>
  <c r="AA82" i="1"/>
  <c r="Z82" i="1"/>
  <c r="Y82" i="1"/>
  <c r="X82" i="1"/>
  <c r="W82" i="1"/>
  <c r="AA81" i="1"/>
  <c r="Z81" i="1"/>
  <c r="Y81" i="1"/>
  <c r="X81" i="1"/>
  <c r="W81" i="1"/>
  <c r="AA80" i="1"/>
  <c r="Z80" i="1"/>
  <c r="Y80" i="1"/>
  <c r="X80" i="1"/>
  <c r="W80" i="1"/>
  <c r="AA79" i="1"/>
  <c r="Z79" i="1"/>
  <c r="Y79" i="1"/>
  <c r="X79" i="1"/>
  <c r="W79" i="1"/>
  <c r="AA78" i="1"/>
  <c r="Z78" i="1"/>
  <c r="Y78" i="1"/>
  <c r="X78" i="1"/>
  <c r="W78" i="1"/>
  <c r="AA77" i="1"/>
  <c r="Z77" i="1"/>
  <c r="Y77" i="1"/>
  <c r="X77" i="1"/>
  <c r="W77" i="1"/>
  <c r="AA76" i="1"/>
  <c r="Z76" i="1"/>
  <c r="Y76" i="1"/>
  <c r="X76" i="1"/>
  <c r="W76" i="1"/>
  <c r="AA75" i="1"/>
  <c r="Z75" i="1"/>
  <c r="Y75" i="1"/>
  <c r="X75" i="1"/>
  <c r="W75" i="1"/>
  <c r="AA74" i="1"/>
  <c r="Z74" i="1"/>
  <c r="Y74" i="1"/>
  <c r="X74" i="1"/>
  <c r="W74" i="1"/>
  <c r="AA73" i="1"/>
  <c r="Z73" i="1"/>
  <c r="Y73" i="1"/>
  <c r="X73" i="1"/>
  <c r="W73" i="1"/>
  <c r="AA72" i="1"/>
  <c r="Z72" i="1"/>
  <c r="Y72" i="1"/>
  <c r="X72" i="1"/>
  <c r="W72" i="1"/>
  <c r="AA71" i="1"/>
  <c r="Z71" i="1"/>
  <c r="Y71" i="1"/>
  <c r="X71" i="1"/>
  <c r="W71" i="1"/>
  <c r="AA70" i="1"/>
  <c r="Z70" i="1"/>
  <c r="Y70" i="1"/>
  <c r="X70" i="1"/>
  <c r="W70" i="1"/>
  <c r="AA69" i="1"/>
  <c r="Z69" i="1"/>
  <c r="Y69" i="1"/>
  <c r="X69" i="1"/>
  <c r="W69" i="1"/>
  <c r="AA68" i="1"/>
  <c r="Z68" i="1"/>
  <c r="Y68" i="1"/>
  <c r="X68" i="1"/>
  <c r="W68" i="1"/>
  <c r="AA67" i="1"/>
  <c r="Z67" i="1"/>
  <c r="Y67" i="1"/>
  <c r="X67" i="1"/>
  <c r="W67" i="1"/>
  <c r="AA66" i="1"/>
  <c r="Z66" i="1"/>
  <c r="Y66" i="1"/>
  <c r="X66" i="1"/>
  <c r="W66" i="1"/>
  <c r="AA65" i="1"/>
  <c r="Z65" i="1"/>
  <c r="Y65" i="1"/>
  <c r="X65" i="1"/>
  <c r="W65" i="1"/>
  <c r="AA64" i="1"/>
  <c r="Z64" i="1"/>
  <c r="Y64" i="1"/>
  <c r="X64" i="1"/>
  <c r="W64" i="1"/>
  <c r="AA63" i="1"/>
  <c r="Z63" i="1"/>
  <c r="Y63" i="1"/>
  <c r="X63" i="1"/>
  <c r="W63" i="1"/>
  <c r="AA62" i="1"/>
  <c r="Z62" i="1"/>
  <c r="Y62" i="1"/>
  <c r="X62" i="1"/>
  <c r="W62" i="1"/>
  <c r="AA61" i="1"/>
  <c r="Z61" i="1"/>
  <c r="Y61" i="1"/>
  <c r="X61" i="1"/>
  <c r="W61" i="1"/>
  <c r="AA60" i="1"/>
  <c r="Z60" i="1"/>
  <c r="Y60" i="1"/>
  <c r="X60" i="1"/>
  <c r="W60" i="1"/>
  <c r="AA59" i="1"/>
  <c r="Z59" i="1"/>
  <c r="Y59" i="1"/>
  <c r="X59" i="1"/>
  <c r="W59" i="1"/>
  <c r="AA58" i="1"/>
  <c r="Z58" i="1"/>
  <c r="Y58" i="1"/>
  <c r="X58" i="1"/>
  <c r="W58" i="1"/>
  <c r="AA57" i="1"/>
  <c r="Z57" i="1"/>
  <c r="Y57" i="1"/>
  <c r="X57" i="1"/>
  <c r="W57" i="1"/>
  <c r="AA56" i="1"/>
  <c r="Z56" i="1"/>
  <c r="Y56" i="1"/>
  <c r="X56" i="1"/>
  <c r="W56" i="1"/>
  <c r="AA55" i="1"/>
  <c r="Z55" i="1"/>
  <c r="Y55" i="1"/>
  <c r="X55" i="1"/>
  <c r="W55" i="1"/>
  <c r="AA54" i="1"/>
  <c r="Z54" i="1"/>
  <c r="Y54" i="1"/>
  <c r="X54" i="1"/>
  <c r="W54" i="1"/>
  <c r="AA53" i="1"/>
  <c r="Z53" i="1"/>
  <c r="Y53" i="1"/>
  <c r="X53" i="1"/>
  <c r="W53" i="1"/>
  <c r="AA52" i="1"/>
  <c r="Z52" i="1"/>
  <c r="Y52" i="1"/>
  <c r="X52" i="1"/>
  <c r="W52" i="1"/>
  <c r="AA51" i="1"/>
  <c r="Z51" i="1"/>
  <c r="Y51" i="1"/>
  <c r="X51" i="1"/>
  <c r="W51" i="1"/>
  <c r="AA50" i="1"/>
  <c r="Z50" i="1"/>
  <c r="Y50" i="1"/>
  <c r="X50" i="1"/>
  <c r="W50" i="1"/>
  <c r="AA49" i="1"/>
  <c r="Z49" i="1"/>
  <c r="Y49" i="1"/>
  <c r="X49" i="1"/>
  <c r="W49" i="1"/>
  <c r="AA48" i="1"/>
  <c r="Z48" i="1"/>
  <c r="Y48" i="1"/>
  <c r="X48" i="1"/>
  <c r="W48" i="1"/>
  <c r="AA47" i="1"/>
  <c r="Z47" i="1"/>
  <c r="Y47" i="1"/>
  <c r="X47" i="1"/>
  <c r="W47" i="1"/>
  <c r="AA46" i="1"/>
  <c r="Z46" i="1"/>
  <c r="Y46" i="1"/>
  <c r="X46" i="1"/>
  <c r="W46" i="1"/>
  <c r="AA45" i="1"/>
  <c r="Z45" i="1"/>
  <c r="Y45" i="1"/>
  <c r="X45" i="1"/>
  <c r="W45" i="1"/>
  <c r="AA44" i="1"/>
  <c r="Z44" i="1"/>
  <c r="Y44" i="1"/>
  <c r="X44" i="1"/>
  <c r="W44" i="1"/>
  <c r="AA43" i="1"/>
  <c r="Z43" i="1"/>
  <c r="Y43" i="1"/>
  <c r="X43" i="1"/>
  <c r="W43" i="1"/>
  <c r="AA42" i="1"/>
  <c r="Z42" i="1"/>
  <c r="Y42" i="1"/>
  <c r="X42" i="1"/>
  <c r="W42" i="1"/>
  <c r="AA41" i="1"/>
  <c r="Z41" i="1"/>
  <c r="Y41" i="1"/>
  <c r="X41" i="1"/>
  <c r="W41" i="1"/>
  <c r="AA40" i="1"/>
  <c r="Z40" i="1"/>
  <c r="Y40" i="1"/>
  <c r="X40" i="1"/>
  <c r="W40" i="1"/>
  <c r="AA39" i="1"/>
  <c r="Z39" i="1"/>
  <c r="Y39" i="1"/>
  <c r="X39" i="1"/>
  <c r="W39" i="1"/>
  <c r="AA38" i="1"/>
  <c r="Z38" i="1"/>
  <c r="Y38" i="1"/>
  <c r="X38" i="1"/>
  <c r="W38" i="1"/>
  <c r="AA37" i="1"/>
  <c r="Z37" i="1"/>
  <c r="Y37" i="1"/>
  <c r="X37" i="1"/>
  <c r="W37" i="1"/>
  <c r="AA36" i="1"/>
  <c r="Z36" i="1"/>
  <c r="Y36" i="1"/>
  <c r="X36" i="1"/>
  <c r="W36" i="1"/>
  <c r="AA35" i="1"/>
  <c r="Z35" i="1"/>
  <c r="Y35" i="1"/>
  <c r="X35" i="1"/>
  <c r="W35" i="1"/>
  <c r="AA34" i="1"/>
  <c r="Z34" i="1"/>
  <c r="Y34" i="1"/>
  <c r="X34" i="1"/>
  <c r="W34" i="1"/>
  <c r="AA33" i="1"/>
  <c r="Z33" i="1"/>
  <c r="Y33" i="1"/>
  <c r="X33" i="1"/>
  <c r="W33" i="1"/>
  <c r="AA32" i="1"/>
  <c r="Z32" i="1"/>
  <c r="Y32" i="1"/>
  <c r="X32" i="1"/>
  <c r="W32" i="1"/>
  <c r="AA31" i="1"/>
  <c r="Z31" i="1"/>
  <c r="Y31" i="1"/>
  <c r="X31" i="1"/>
  <c r="W31" i="1"/>
  <c r="AA30" i="1"/>
  <c r="Z30" i="1"/>
  <c r="Y30" i="1"/>
  <c r="X30" i="1"/>
  <c r="W30" i="1"/>
  <c r="AA29" i="1"/>
  <c r="Z29" i="1"/>
  <c r="Y29" i="1"/>
  <c r="X29" i="1"/>
  <c r="W29" i="1"/>
  <c r="AA28" i="1"/>
  <c r="Z28" i="1"/>
  <c r="Y28" i="1"/>
  <c r="X28" i="1"/>
  <c r="W28" i="1"/>
  <c r="AA27" i="1"/>
  <c r="Z27" i="1"/>
  <c r="Y27" i="1"/>
  <c r="X27" i="1"/>
  <c r="W27" i="1"/>
  <c r="AA26" i="1"/>
  <c r="Z26" i="1"/>
  <c r="Y26" i="1"/>
  <c r="X26" i="1"/>
  <c r="W26" i="1"/>
  <c r="AA25" i="1"/>
  <c r="Z25" i="1"/>
  <c r="Y25" i="1"/>
  <c r="X25" i="1"/>
  <c r="W25" i="1"/>
  <c r="AA24" i="1"/>
  <c r="Z24" i="1"/>
  <c r="Y24" i="1"/>
  <c r="X24" i="1"/>
  <c r="W24" i="1"/>
  <c r="AA23" i="1"/>
  <c r="Z23" i="1"/>
  <c r="Y23" i="1"/>
  <c r="X23" i="1"/>
  <c r="W23" i="1"/>
  <c r="AA22" i="1"/>
  <c r="Z22" i="1"/>
  <c r="Y22" i="1"/>
  <c r="X22" i="1"/>
  <c r="W22" i="1"/>
  <c r="AA21" i="1"/>
  <c r="Z21" i="1"/>
  <c r="Y21" i="1"/>
  <c r="X21" i="1"/>
  <c r="W21" i="1"/>
  <c r="AA20" i="1"/>
  <c r="Z20" i="1"/>
  <c r="Y20" i="1"/>
  <c r="X20" i="1"/>
  <c r="W20" i="1"/>
  <c r="AA19" i="1"/>
  <c r="Z19" i="1"/>
  <c r="Y19" i="1"/>
  <c r="X19" i="1"/>
  <c r="W19" i="1"/>
  <c r="AA18" i="1"/>
  <c r="Z18" i="1"/>
  <c r="Y18" i="1"/>
  <c r="X18" i="1"/>
  <c r="W18" i="1"/>
  <c r="AA17" i="1"/>
  <c r="Z17" i="1"/>
  <c r="Y17" i="1"/>
  <c r="X17" i="1"/>
  <c r="W17" i="1"/>
  <c r="AA16" i="1"/>
  <c r="Z16" i="1"/>
  <c r="Y16" i="1"/>
  <c r="X16" i="1"/>
  <c r="W16" i="1"/>
  <c r="AA15" i="1"/>
  <c r="Z15" i="1"/>
  <c r="Y15" i="1"/>
  <c r="X15" i="1"/>
  <c r="W15" i="1"/>
  <c r="AA14" i="1"/>
  <c r="Z14" i="1"/>
  <c r="Y14" i="1"/>
  <c r="X14" i="1"/>
  <c r="W14" i="1"/>
  <c r="AA13" i="1"/>
  <c r="Z13" i="1"/>
  <c r="Y13" i="1"/>
  <c r="X13" i="1"/>
  <c r="W13" i="1"/>
  <c r="AA12" i="1"/>
  <c r="Z12" i="1"/>
  <c r="Y12" i="1"/>
  <c r="X12" i="1"/>
  <c r="W12" i="1"/>
  <c r="AA11" i="1"/>
  <c r="Z11" i="1"/>
  <c r="Y11" i="1"/>
  <c r="X11" i="1"/>
  <c r="W11" i="1"/>
  <c r="AA10" i="1"/>
  <c r="Z10" i="1"/>
  <c r="Y10" i="1"/>
  <c r="X10" i="1"/>
  <c r="W10" i="1"/>
  <c r="AA9" i="1"/>
  <c r="Z9" i="1"/>
  <c r="Y9" i="1"/>
  <c r="X9" i="1"/>
  <c r="W9" i="1"/>
  <c r="AA8" i="1"/>
  <c r="Z8" i="1"/>
  <c r="Y8" i="1"/>
  <c r="X8" i="1"/>
  <c r="W8" i="1"/>
  <c r="AA7" i="1"/>
  <c r="Z7" i="1"/>
  <c r="Y7" i="1"/>
  <c r="X7" i="1"/>
  <c r="W7" i="1"/>
  <c r="AA6" i="1"/>
  <c r="Z6" i="1"/>
  <c r="Y6" i="1"/>
  <c r="X6" i="1"/>
  <c r="W6" i="1"/>
  <c r="AA5" i="1"/>
  <c r="Z5" i="1"/>
  <c r="Y5" i="1"/>
  <c r="X5" i="1"/>
  <c r="W5" i="1"/>
  <c r="AA4" i="1"/>
  <c r="Z4" i="1"/>
  <c r="Y4" i="1"/>
  <c r="X4" i="1"/>
  <c r="W4" i="1"/>
  <c r="AA3" i="1"/>
  <c r="Z3" i="1"/>
  <c r="Y3" i="1"/>
  <c r="X3" i="1"/>
  <c r="W3" i="1"/>
  <c r="AI102" i="1" l="1"/>
  <c r="AI101" i="1"/>
  <c r="AI100"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L76" i="1"/>
  <c r="L54" i="1"/>
  <c r="L53"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5" i="1"/>
  <c r="L74" i="1"/>
  <c r="L73" i="1"/>
  <c r="L72" i="1"/>
  <c r="L71" i="1"/>
  <c r="L70" i="1"/>
  <c r="L69" i="1"/>
  <c r="L68" i="1"/>
  <c r="L67" i="1"/>
  <c r="L66" i="1"/>
  <c r="L65" i="1"/>
  <c r="L64" i="1"/>
  <c r="L63" i="1"/>
  <c r="L62" i="1"/>
  <c r="L61" i="1"/>
  <c r="L60" i="1"/>
  <c r="L59" i="1"/>
  <c r="L58" i="1"/>
  <c r="L57" i="1"/>
  <c r="L56" i="1"/>
  <c r="L55"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alcChain>
</file>

<file path=xl/sharedStrings.xml><?xml version="1.0" encoding="utf-8"?>
<sst xmlns="http://schemas.openxmlformats.org/spreadsheetml/2006/main" count="2043" uniqueCount="804">
  <si>
    <t>Finished</t>
  </si>
  <si>
    <t>RecordedDate</t>
  </si>
  <si>
    <t>ResponseId</t>
  </si>
  <si>
    <t>Q5</t>
  </si>
  <si>
    <t>Game Enthusiast or Collector</t>
  </si>
  <si>
    <t>Game Historian or Researcher (E.g., Community, Journalist, or Independent)</t>
  </si>
  <si>
    <t>Game Historian or Researcher (E.g., Industry, Academic)</t>
  </si>
  <si>
    <t>Game Industry (Non-Indie or Solo-dev)</t>
  </si>
  <si>
    <t>Game Industry (Indie, Solo-dev)</t>
  </si>
  <si>
    <t>Game Education (Instructor, Student)</t>
  </si>
  <si>
    <t>Cultural Heritage Institutions (E.g., Libraries, Archives, or Museums)</t>
  </si>
  <si>
    <t>Q5_8_TEXT</t>
  </si>
  <si>
    <t>Q1</t>
  </si>
  <si>
    <t>The digital library portal</t>
  </si>
  <si>
    <t>Game preservation advocacy</t>
  </si>
  <si>
    <t>Prototype and source code recovery</t>
  </si>
  <si>
    <t>Published research (YouTube, blog posts)</t>
  </si>
  <si>
    <t>VGHF presence at game events (E.g., pop-up museum, panels)</t>
  </si>
  <si>
    <t>Game industry partnerships (E.g., working on commercial games)</t>
  </si>
  <si>
    <t>Q1_7_TEXT</t>
  </si>
  <si>
    <t>Q39</t>
  </si>
  <si>
    <t>Recently</t>
  </si>
  <si>
    <t>Last Year</t>
  </si>
  <si>
    <t>2-3 Years Ago</t>
  </si>
  <si>
    <t>4-6 Years Ago</t>
  </si>
  <si>
    <t>Longer Than 6 Years</t>
  </si>
  <si>
    <t>Q2</t>
  </si>
  <si>
    <t>Bluesky</t>
  </si>
  <si>
    <t>Discord</t>
  </si>
  <si>
    <t>Instagram</t>
  </si>
  <si>
    <t>Email</t>
  </si>
  <si>
    <t>Patreon</t>
  </si>
  <si>
    <t>Youtube</t>
  </si>
  <si>
    <t>Q2_6_TEXT</t>
  </si>
  <si>
    <t>Q3</t>
  </si>
  <si>
    <t>Oral histories (E.g., interviews)</t>
  </si>
  <si>
    <t>Mass print materials (E.g., magazines, art, or flyers)</t>
  </si>
  <si>
    <t>Web materials (E.g., websites, game reviews)</t>
  </si>
  <si>
    <t>Development materials (E.g., design documents, concept art, or memos)</t>
  </si>
  <si>
    <t>Non-development materials (E.g., merchandise)</t>
  </si>
  <si>
    <t>Video game prototypes</t>
  </si>
  <si>
    <t>Hardware (E.g., controllers, consoles)</t>
  </si>
  <si>
    <t>Retail video games</t>
  </si>
  <si>
    <t>Q3_9_TEXT</t>
  </si>
  <si>
    <t>Q4</t>
  </si>
  <si>
    <t>No</t>
  </si>
  <si>
    <t>Yes</t>
  </si>
  <si>
    <t>Unsure</t>
  </si>
  <si>
    <t>Q6</t>
  </si>
  <si>
    <t>Q7</t>
  </si>
  <si>
    <t>Q8</t>
  </si>
  <si>
    <t>Fact-checking claims</t>
  </si>
  <si>
    <t>To answer questions about games history</t>
  </si>
  <si>
    <t>Find primary source information (such as original sale prices of videogame products)</t>
  </si>
  <si>
    <t>Research historical games cultures</t>
  </si>
  <si>
    <t>Find information on specific games</t>
  </si>
  <si>
    <t>Share cultural artifacts with others</t>
  </si>
  <si>
    <t>Academic research</t>
  </si>
  <si>
    <t>Educational usage</t>
  </si>
  <si>
    <t>Personal enjoyment</t>
  </si>
  <si>
    <t>Q8_10_TEXT</t>
  </si>
  <si>
    <t>Q9</t>
  </si>
  <si>
    <t>Q11</t>
  </si>
  <si>
    <t>Improved tagging and metadata</t>
  </si>
  <si>
    <t>Stronger advanced search options</t>
  </si>
  <si>
    <t>Deeper document descriptions</t>
  </si>
  <si>
    <t>Connections to related objects</t>
  </si>
  <si>
    <t>Showing previously viewed documents</t>
  </si>
  <si>
    <t>Additional materials</t>
  </si>
  <si>
    <t>I am satisfied with my experience</t>
  </si>
  <si>
    <t>Q11_7_TEXT</t>
  </si>
  <si>
    <t>Q14</t>
  </si>
  <si>
    <t>Q14_5_TEXT</t>
  </si>
  <si>
    <t>Q16</t>
  </si>
  <si>
    <t>Q15</t>
  </si>
  <si>
    <t>Q15_5_TEXT</t>
  </si>
  <si>
    <t>Q19</t>
  </si>
  <si>
    <t>Q20</t>
  </si>
  <si>
    <t>Q21</t>
  </si>
  <si>
    <t>Q21_5_TEXT</t>
  </si>
  <si>
    <t>Q22</t>
  </si>
  <si>
    <t>Q23</t>
  </si>
  <si>
    <t>Q26</t>
  </si>
  <si>
    <t>Q27</t>
  </si>
  <si>
    <t>Q28</t>
  </si>
  <si>
    <t>Q28_8_TEXT</t>
  </si>
  <si>
    <t>Q29</t>
  </si>
  <si>
    <t>Q31</t>
  </si>
  <si>
    <t>Q33</t>
  </si>
  <si>
    <t>Q33_7_TEXT</t>
  </si>
  <si>
    <t>Q34</t>
  </si>
  <si>
    <t>Q35</t>
  </si>
  <si>
    <t>Q40</t>
  </si>
  <si>
    <t>Q40_8_TEXT</t>
  </si>
  <si>
    <t>Q41</t>
  </si>
  <si>
    <t>Q42</t>
  </si>
  <si>
    <t>Q42_8_TEXT</t>
  </si>
  <si>
    <t>Q47</t>
  </si>
  <si>
    <t>Q45</t>
  </si>
  <si>
    <t>Q45_6_TEXT</t>
  </si>
  <si>
    <t>Q46</t>
  </si>
  <si>
    <t>Q46_8_TEXT</t>
  </si>
  <si>
    <t>Q48</t>
  </si>
  <si>
    <t>Q54</t>
  </si>
  <si>
    <t>Recorded Date</t>
  </si>
  <si>
    <t>Response ID</t>
  </si>
  <si>
    <t>Which of the following games preservation perspectives do you identify with? - Selected Choice</t>
  </si>
  <si>
    <t>Which of the following games preservation perspectives do you identify with? - Other - Text</t>
  </si>
  <si>
    <t>What types of VGHF projects are you most interested in? - Selected Choice</t>
  </si>
  <si>
    <t>What types of VGHF projects are you most interested in? - Other - Text</t>
  </si>
  <si>
    <t>About how long ago did you hear about the VGHF?</t>
  </si>
  <si>
    <t>Where do you obtain information regarding the activities of the VGHF? - Selected Choice</t>
  </si>
  <si>
    <t>Where do you obtain information regarding the activities of the VGHF? - Other - Text</t>
  </si>
  <si>
    <t>Which of the following digital game preservation formats do you most associate with the VGHF? (Note: some of the following options are extremely uncommon or non-existent in the VGHF collection) - Selected Choice</t>
  </si>
  <si>
    <t>Which of the following digital game preservation formats do you most associate with the VGHF? (Note: some of the following options are extremely uncommon or non-existent in the VGHF collection) - Other - Text</t>
  </si>
  <si>
    <t>Have you ever donated to the VGHF before? (E.g., Patreon, direct donation, Humble Bundle, associated fundraisers)</t>
  </si>
  <si>
    <t>Have you ever utilized the VGHF digital library?</t>
  </si>
  <si>
    <t>Did you know before today that the VGHF provides a free digital library anyone can use to examine rare historical and consumer documents from our library's collection?</t>
  </si>
  <si>
    <t>How do the materials hosted by the VGHF Digital Library benefit you and/or your work? - Selected Choice</t>
  </si>
  <si>
    <t>How do the materials hosted by the VGHF Digital Library benefit you and/or your work? - Other - Text</t>
  </si>
  <si>
    <t>How did discoverability features in the Digital Library support your experience? When you used the Digital Library how well did our discoverability features address your needs?</t>
  </si>
  <si>
    <t>What would you improve to increase usability of the collection and better address users needs? - Selected Choice</t>
  </si>
  <si>
    <t>What would you improve to increase usability of the collection and better address users needs? - Other (Please describe) - Text</t>
  </si>
  <si>
    <t>Which parts of our community outreach have you interacted with? - Selected Choice</t>
  </si>
  <si>
    <t>Which parts of our community outreach have you interacted with? - Other - Text</t>
  </si>
  <si>
    <t>(Optional) Which VGHF activities or content are you the most excited for?</t>
  </si>
  <si>
    <t>Are there parts of our community would you like to see more emphasized? - Selected Choice</t>
  </si>
  <si>
    <t>Are there parts of our community would you like to see more emphasized? - Other - Text</t>
  </si>
  <si>
    <t>Are there preservation policies for game related materials/artifacts at the company you work/worked for?</t>
  </si>
  <si>
    <t>Is there a dedicated individual/team to perform this work?</t>
  </si>
  <si>
    <t>How are the materials in your archive or Content Management System (CMS) utilized? - Selected Choice</t>
  </si>
  <si>
    <t>How are the materials in your archive or Content Management System (CMS) utilized? - Other - Text</t>
  </si>
  <si>
    <t>How concerned are you with preserving your game related work?</t>
  </si>
  <si>
    <t>In your opinion, how much effort is being put into preserving game-related materials at your company?</t>
  </si>
  <si>
    <t>Which of the following preservation-related operations or tasks have you done with your own work?</t>
  </si>
  <si>
    <t>What file formats are most important to you and your work? List up to six file formats (.cs, .asset, .wav, .png, .fbx etc.)</t>
  </si>
  <si>
    <t>(Optional) Please select the releases/build versions that you feel are important to preserve: - Selected Choice</t>
  </si>
  <si>
    <t>(Optional) Please select the releases/build versions that you feel are important to preserve: - Other - Text</t>
  </si>
  <si>
    <t>To the best of your knowledge, what would the minimum storage requirements be for archiving materials that are relevant to your work?</t>
  </si>
  <si>
    <t>Does your institution currently collect digital games and/or game-related materials?</t>
  </si>
  <si>
    <t>What types of materials are a part of your collection or collection development policy? - Selected Choice</t>
  </si>
  <si>
    <t>What types of materials are a part of your collection or collection development policy? - Other - Text</t>
  </si>
  <si>
    <t>What type(s) of digital game metadata do you find important important to capture for your collection?</t>
  </si>
  <si>
    <t>Have there been requests for digital games and/or related materials at your institution?</t>
  </si>
  <si>
    <t>What types of videogame materials are important for your work with contributing to Games Education? - Selected Choice</t>
  </si>
  <si>
    <t>What types of videogame materials are important for your work with contributing to Games Education? - Other - Text</t>
  </si>
  <si>
    <t>Please describe the ways that you use videogame materials within your work in education. Especially any ways you find particularly interesting in how you use materials that you selected in the question above.</t>
  </si>
  <si>
    <t>What types of videogame materials are important for your work contributing to games research? - Selected Choice</t>
  </si>
  <si>
    <t>What types of videogame materials are important for your work contributing to games research? - Other - Text</t>
  </si>
  <si>
    <t>Please describe the ways that you use videogame materials within your research. Especially any methods or uses that you find particularly interesting related to your selections in the question above.</t>
  </si>
  <si>
    <t>Which of the following online databases or archives do you use for your research? - Selected Choice</t>
  </si>
  <si>
    <t>Which of the following online databases or archives do you use for your research? - Other - Text</t>
  </si>
  <si>
    <t>What types of videogame materials are important for your work contributing to game research? - Selected Choice</t>
  </si>
  <si>
    <t>What types of videogame materials are important for your work contributing to game research? - Other - Text</t>
  </si>
  <si>
    <t>And finally, our community is dying to know: Bubsy or Gex</t>
  </si>
  <si>
    <t>R_6bP56beGvUqCEX9</t>
  </si>
  <si>
    <t>Game Enthusiast or Collector,Game Industry (Indie, Solo-dev),Game Education (Instructor, Student)</t>
  </si>
  <si>
    <t>The digital library portal,Game preservation advocacy (Legislative, industry, and community),Prototype and source code recovery,Published research (YouTube, blog posts),VGHF presence at game events (E.g., pop-up museum, panels),Game industry partnerships (E.g., working on commercial games),Other</t>
  </si>
  <si>
    <t>A physical mailer that highlights the work of VGHF</t>
  </si>
  <si>
    <t>Bluesky,Discord,Other</t>
  </si>
  <si>
    <t>VGHF website</t>
  </si>
  <si>
    <t>Mass print materials (E.g., magazines, art, or flyers),Development materials (E.g., design documents, concept art, or memos),Video game prototypes,Hardware (E.g., controllers, consoles)</t>
  </si>
  <si>
    <t>Fact-checking claims,To answer questions about games history,Find primary source information (such as original sale prices of videogame products),Research historical games cultures,Find information on specific games,Share cultural artifacts with others,Academic research,Educational usage,Personal enjoyment</t>
  </si>
  <si>
    <t>Moderately well</t>
  </si>
  <si>
    <t>Improved tagging and metadata,Stronger advanced search options,Connections to related objects,Showing previously viewed documents,Additional materials,Other (Please describe)</t>
  </si>
  <si>
    <t>Additional filter options when searching</t>
  </si>
  <si>
    <t>Social media (E.g., YouTube, Bluesky),Conventions (Panels, pop-up museum)</t>
  </si>
  <si>
    <t>All of it! I would love to work with VGHF in some capacity. Seeing the recent update about creating a new fundraiser position gives me hope that there may one day be a need for a data scientist.</t>
  </si>
  <si>
    <t>Patreon Rewards (E.g., Discord, monthly call with Frank),Social Media,Podcast,Conventions,Other</t>
  </si>
  <si>
    <t>All of it</t>
  </si>
  <si>
    <t>Organizing files into folders for future use,Labeling work with dates to prepare for storage,Condensing builds for storage (e.g, ZIP, 7z),Condensing assets for storage,Uploading to a cloud storage solution,Backing up builds or assets on a separate drive,Adding resource comments to your folders (Example: README.txt)</t>
  </si>
  <si>
    <t>.md, .gltf, .gd, .uproject, .wav, .png</t>
  </si>
  <si>
    <t>Prototype,Beta,Demo,Release,1-Week post-release patch,1-Month post release,Final Version,Other</t>
  </si>
  <si>
    <t>Preserving every version is important</t>
  </si>
  <si>
    <t>50GB+</t>
  </si>
  <si>
    <t>Software (Digital),Software (Physical),Hardware components (consoles or computing devices),Videogame accessories (controllers or peripherals),Production information &amp; metadata,Usage or player information data (e.g., statistics, scores, lets plays),Historical production documentation</t>
  </si>
  <si>
    <t>I am not a formal educator (yet), but my partner is. We have had numerous conversations about the use of videogames in education. The modern capabilities of photo modes within games to teach artistic concepts is extremely valuable. Photo modes can be used to simulate lighting, composition, posing, framing, and a variety of other topics in the field of photography. Games like Kerbal Space Program can give physics and engineering students a sandbox to play in to develop their understanding of dynamic systems. There are many more examples, but I do not want to exceed any character limit in this text field.</t>
  </si>
  <si>
    <t>Gex 🕶️</t>
  </si>
  <si>
    <t>R_1mfaeOyTRg9daTs</t>
  </si>
  <si>
    <t>The digital library portal,VGHF presence at game events (E.g., pop-up museum, panels)</t>
  </si>
  <si>
    <t>Other</t>
  </si>
  <si>
    <t>google</t>
  </si>
  <si>
    <t>To answer questions about games history,Research historical games cultures,Personal enjoyment</t>
  </si>
  <si>
    <t>R_3VsCfrtDmXVmi0p</t>
  </si>
  <si>
    <t>The digital library portal,Game preservation advocacy (Legislative, industry, and community),Prototype and source code recovery,Published research (YouTube, blog posts),VGHF presence at game events (E.g., pop-up museum, panels),Game industry partnerships (E.g., working on commercial games)</t>
  </si>
  <si>
    <t>Instagram,Email</t>
  </si>
  <si>
    <t>Oral histories (E.g., interviews),Mass print materials (E.g., magazines, art, or flyers),Web materials (E.g., websites, game reviews),Development materials (E.g., design documents, concept art, or memos),Video game prototypes</t>
  </si>
  <si>
    <t>Extremely well</t>
  </si>
  <si>
    <t>R_2K0YIAuT54BkLhD</t>
  </si>
  <si>
    <t>Game Enthusiast or Collector,Game Historian or Researcher (E.g., Community, Journalist, or Independent),Cultural Heritage Institutions (E.g., Libraries, Archives, or Museums)</t>
  </si>
  <si>
    <t>The digital library portal,Game preservation advocacy (Legislative, industry, and community),Prototype and source code recovery,Other</t>
  </si>
  <si>
    <t>finding and researching proto's of videogames.</t>
  </si>
  <si>
    <t>google is your friend</t>
  </si>
  <si>
    <t>Video game prototypes,Hardware (E.g., controllers, consoles),Retail video games</t>
  </si>
  <si>
    <t>Find primary source information (such as original sale prices of videogame products),Research historical games cultures,Find information on specific games,Personal enjoyment</t>
  </si>
  <si>
    <t>Improved tagging and metadata,Stronger advanced search options,Connections to related objects,I am satisfied with my experience,Other (Please describe)</t>
  </si>
  <si>
    <t>share proto versions</t>
  </si>
  <si>
    <t>Modern physical digital games (Currently supported platform),Other</t>
  </si>
  <si>
    <t>roms &amp; source codes</t>
  </si>
  <si>
    <t>Video Game History Foundation Digital Library,The Internet Archive,MobyGames,The Cutting Room Floor,Hidden Palace,Fan wikis,Museum collections (E.g., The Strong National Museum of Play),Industry data services (Steamdb, IGDB),Other</t>
  </si>
  <si>
    <t>Software (Digital),Software (Physical),Hardware components (consoles or computing devices),Videogame accessories (controllers or peripherals),Production information &amp; metadata,Other</t>
  </si>
  <si>
    <t>roms, beta, alpha &amp; proto versions</t>
  </si>
  <si>
    <t xml:space="preserve">i love finding, collecting, researching games and spreading the gospel to a new generation. if unreleased and unfinished art is still considered art, the an unfinished and unreleased videogame is still a videogame. People worked on these for  days, weeks, months or sometimes years on these projects... </t>
  </si>
  <si>
    <t>R_7c6jCp6Eyw4udml</t>
  </si>
  <si>
    <t>Game Enthusiast or Collector,Game Historian or Researcher (E.g., Community, Journalist, or Independent)</t>
  </si>
  <si>
    <t>The digital library portal,Game preservation advocacy (Legislative, industry, and community),Published research (YouTube, blog posts)</t>
  </si>
  <si>
    <t>Bluesky,Patreon,Discord,Email</t>
  </si>
  <si>
    <t>Oral histories (E.g., interviews),Mass print materials (E.g., magazines, art, or flyers),Web materials (E.g., websites, game reviews),Development materials (E.g., design documents, concept art, or memos)</t>
  </si>
  <si>
    <t>Fact-checking claims,To answer questions about games history,Find primary source information (such as original sale prices of videogame products),Research historical games cultures,Share cultural artifacts with others</t>
  </si>
  <si>
    <t>Social media (E.g., YouTube, Bluesky),Podcast</t>
  </si>
  <si>
    <t>Video Game History Foundation Digital Library,The Internet Archive,MobyGames,The Cutting Room Floor,Fan wikis</t>
  </si>
  <si>
    <t>Production information &amp; metadata,Usage or player information data (e.g., statistics, scores, lets plays),Historical production documentation</t>
  </si>
  <si>
    <t>This is Ty Schalter from the FunFactor podcast! As Frank and Phil know, we're a regular podcast dedicated to classic video game magazines (and viewing games culture, then and now, through the lens of old games media). We use VGHF not just to view magazines themselves, but also information related to their publication, and/or the games, consoles, and companies those magazines cover/review/preview.</t>
  </si>
  <si>
    <t>R_5XsoestwxgzX5st</t>
  </si>
  <si>
    <t>Academic research,Educational usage</t>
  </si>
  <si>
    <t>Slightly well</t>
  </si>
  <si>
    <t>Improved tagging and metadata,Additional materials</t>
  </si>
  <si>
    <t>Patreon Rewards (E.g., Discord, monthly call with Frank),Social media (E.g., YouTube, Bluesky),Podcast</t>
  </si>
  <si>
    <t>R_2y4x9Ex1H0qUM1u</t>
  </si>
  <si>
    <t>Game preservation advocacy (Legislative, industry, and community),Published research (YouTube, blog posts)</t>
  </si>
  <si>
    <t>research</t>
  </si>
  <si>
    <t>Oral histories (E.g., interviews),Web materials (E.g., websites, game reviews),Video game prototypes</t>
  </si>
  <si>
    <t>Research historical games cultures,Personal enjoyment</t>
  </si>
  <si>
    <t>R_1j8Sji2lPv32aSJ</t>
  </si>
  <si>
    <t>Game Enthusiast or Collector,Game Historian or Researcher (E.g., Community, Journalist, or Independent),Other</t>
  </si>
  <si>
    <t>Wiki contributor</t>
  </si>
  <si>
    <t>The digital library portal,Prototype and source code recovery,Published research (YouTube, blog posts),VGHF presence at game events (E.g., pop-up museum, panels)</t>
  </si>
  <si>
    <t>Bluesky,Discord</t>
  </si>
  <si>
    <t>Fact-checking claims,To answer questions about games history,Find primary source information (such as original sale prices of videogame products),Research historical games cultures,Find information on specific games,Share cultural artifacts with others,Personal enjoyment</t>
  </si>
  <si>
    <t>Very well</t>
  </si>
  <si>
    <t>Improved tagging and metadata,Deeper document descriptions</t>
  </si>
  <si>
    <t>Social Media,Conventions</t>
  </si>
  <si>
    <t>Video Game History Foundation Digital Library,The Internet Archive,MobyGames,The Cutting Room Floor,Hidden Palace,Fan wikis,Community Discord servers</t>
  </si>
  <si>
    <t>Software (Digital),Software (Physical),Hardware components (consoles or computing devices),Videogame accessories (controllers or peripherals),Production information &amp; metadata,Historical production documentation</t>
  </si>
  <si>
    <t>I use these materials as a way to understand the context of a particular video game at that moment of time.</t>
  </si>
  <si>
    <t>Bubsy ❗</t>
  </si>
  <si>
    <t>R_2TozglYXINDMyDz</t>
  </si>
  <si>
    <t>The digital library portal,Game preservation advocacy (Legislative, industry, and community),Prototype and source code recovery,Published research (YouTube, blog posts)</t>
  </si>
  <si>
    <t>Oral histories (E.g., interviews),Mass print materials (E.g., magazines, art, or flyers),Development materials (E.g., design documents, concept art, or memos),Non-development materials (E.g., merchandise)</t>
  </si>
  <si>
    <t>R_30SAU8jxa1vAO2L</t>
  </si>
  <si>
    <t>Game Enthusiast or Collector,Game Historian or Researcher (E.g., Community, Journalist, or Independent),Game Historian or Researcher (E.g., Industry, Academic)</t>
  </si>
  <si>
    <t>The digital library portal,Prototype and source code recovery,Published research (YouTube, blog posts)</t>
  </si>
  <si>
    <t>Bluesky,Email</t>
  </si>
  <si>
    <t>Oral histories (E.g., interviews),Mass print materials (E.g., magazines, art, or flyers),Development materials (E.g., design documents, concept art, or memos),Video game prototypes</t>
  </si>
  <si>
    <t>Fact-checking claims,To answer questions about games history,Find primary source information (such as original sale prices of videogame products),Research historical games cultures,Find information on specific games,Academic research,Personal enjoyment</t>
  </si>
  <si>
    <t>Stronger advanced search options,Deeper document descriptions,Showing previously viewed documents</t>
  </si>
  <si>
    <t>Video Game History Foundation Digital Library,The Internet Archive,MobyGames,The Cutting Room Floor,Hidden Palace,Fan wikis,Industry data services (Steamdb, IGDB)</t>
  </si>
  <si>
    <t>Production information &amp; metadata,Historical production documentation</t>
  </si>
  <si>
    <t>R_8VCHSokUeVIxwnG</t>
  </si>
  <si>
    <t>Mass print materials (E.g., magazines, art, or flyers),Web materials (E.g., websites, game reviews),Video game prototypes</t>
  </si>
  <si>
    <t>Fact-checking claims,To answer questions about games history,Find primary source information (such as original sale prices of videogame products),Research historical games cultures,Find information on specific games,Personal enjoyment</t>
  </si>
  <si>
    <t>Improved tagging and metadata,Stronger advanced search options,Connections to related objects,Additional materials</t>
  </si>
  <si>
    <t>Social media (E.g., YouTube, Bluesky)</t>
  </si>
  <si>
    <t>Social Media,Podcast,Conventions</t>
  </si>
  <si>
    <t>Video Game History Foundation Digital Library,The Internet Archive,MobyGames,Fan wikis</t>
  </si>
  <si>
    <t>R_61xzyDodY8Jj1IJ</t>
  </si>
  <si>
    <t>Oral histories (E.g., interviews),Mass print materials (E.g., magazines, art, or flyers),Development materials (E.g., design documents, concept art, or memos)</t>
  </si>
  <si>
    <t>Stronger advanced search options,Connections to related objects,I am satisfied with my experience</t>
  </si>
  <si>
    <t>Video Game History Foundation Digital Library,The Internet Archive</t>
  </si>
  <si>
    <t>Software (Physical),Hardware components (consoles or computing devices),Videogame accessories (controllers or peripherals),Usage or player information data (e.g., statistics, scores, lets plays),Historical production documentation</t>
  </si>
  <si>
    <t>Being able to have physical scans of documents is such an amazing help. Alongside the studies and interviews, being able to bring up the actual paperwork for something when I am talking about game history in my own content (YT/twitch) all in one convenient place with high quality scans means so much to be able to share this history with others.</t>
  </si>
  <si>
    <t>R_5nfk9vTDkVYgNDA</t>
  </si>
  <si>
    <t>Game preservation advocacy (Legislative, industry, and community)</t>
  </si>
  <si>
    <t>Mass print materials (E.g., magazines, art, or flyers),Web materials (E.g., websites, game reviews),Development materials (E.g., design documents, concept art, or memos),Video game prototypes,Hardware (E.g., controllers, consoles)</t>
  </si>
  <si>
    <t>Not well at all</t>
  </si>
  <si>
    <t>Improved tagging and metadata,Stronger advanced search options,Other (Please describe)</t>
  </si>
  <si>
    <t xml:space="preserve">I searched Nintendo power it instead gave me results for issues from other magazines </t>
  </si>
  <si>
    <t>R_6OJB2qCO4XKvTtD</t>
  </si>
  <si>
    <t>Game Enthusiast or Collector,Game Historian or Researcher (E.g., Community, Journalist, or Independent),Game Historian or Researcher (E.g., Industry, Academic),Game Education (Instructor, Student)</t>
  </si>
  <si>
    <t>The digital library portal,Game preservation advocacy (Legislative, industry, and community),Prototype and source code recovery,Published research (YouTube, blog posts),VGHF presence at game events (E.g., pop-up museum, panels)</t>
  </si>
  <si>
    <t>Patreon,Other</t>
  </si>
  <si>
    <t>Website</t>
  </si>
  <si>
    <t>To answer questions about games history,Find primary source information (such as original sale prices of videogame products),Research historical games cultures,Academic research,Educational usage,Personal enjoyment</t>
  </si>
  <si>
    <t>Improved tagging and metadata,Connections to related objects,Showing previously viewed documents</t>
  </si>
  <si>
    <t>Patreon Rewards (E.g., Discord, monthly call with Frank),Social media (E.g., YouTube, Bluesky),Podcast,Conventions (Panels, pop-up museum)</t>
  </si>
  <si>
    <t>Social Media</t>
  </si>
  <si>
    <t>My course is on games as artifacts and communication. The history portion is secondary to, and supportive of, the examination of games as communication and media. Both of these are strongly uplifted by the work of archivists and librarians such as yourselves, and enable me to deliver better material to my students. Thank you :)</t>
  </si>
  <si>
    <t>Videogame accessories (controllers or peripherals),Production information &amp; metadata,Usage or player information data (e.g., statistics, scores, lets plays),Historical production documentation</t>
  </si>
  <si>
    <t>I am working on a paper chronicling the development history of a specific peripheral. I've used the library as a starting point for some leads, which led me down a very intense rabbit hole.</t>
  </si>
  <si>
    <t>Video Game History Foundation Digital Library,The Internet Archive,The Cutting Room Floor,Fan wikis,Community Discord servers,Museum collections (E.g., The Strong National Museum of Play)</t>
  </si>
  <si>
    <t>Software (Digital),Hardware components (consoles or computing devices),Videogame accessories (controllers or peripherals),Production information &amp; metadata,Historical production documentation</t>
  </si>
  <si>
    <t>I go on tangents... Tangents require super niche information that nobody in their right mind would possible know...</t>
  </si>
  <si>
    <t>R_5VLb5gI4QmhSNSp</t>
  </si>
  <si>
    <t>Game Enthusiast or Collector,Game Education (Instructor, Student),Cultural Heritage Institutions (E.g., Libraries, Archives, or Museums)</t>
  </si>
  <si>
    <t>Patreon,Email</t>
  </si>
  <si>
    <t>Mass print materials (E.g., magazines, art, or flyers),Development materials (E.g., design documents, concept art, or memos)</t>
  </si>
  <si>
    <t>To answer questions about games history,Find primary source information (such as original sale prices of videogame products),Research historical games cultures,Academic research,Personal enjoyment</t>
  </si>
  <si>
    <t>Connections to related objects,Additional materials</t>
  </si>
  <si>
    <t>I can't wait to see more materials in the library over time!</t>
  </si>
  <si>
    <t>I advocate for the preservation of games and the VGHF's work has been vital to my work in my graduate studies. I've cited their reissue survey multiple times and continue to follow their efforts. I don't have a lot of access to primary sources in general, so they have been a really awesome resource for both research and teaching.</t>
  </si>
  <si>
    <t>R_2p8VfbTl9QXlaJM</t>
  </si>
  <si>
    <t>The digital library portal,Game preservation advocacy (Legislative, industry, and community)</t>
  </si>
  <si>
    <t>R_6tgl2Z9Wf1fSDYe</t>
  </si>
  <si>
    <t>Game Enthusiast or Collector,Game Historian or Researcher (E.g., Community, Journalist, or Independent),Game Historian or Researcher (E.g., Industry, Academic),Game Industry (Non-Indie or Solo-dev),Game Industry (Indie, Solo-dev),Game Education (Instructor, Student)</t>
  </si>
  <si>
    <t>Fact-checking claims,Find primary source information (such as original sale prices of videogame products),Find information on specific games,Share cultural artifacts with others,Personal enjoyment</t>
  </si>
  <si>
    <t>Connections to related objects,Showing previously viewed documents,I am satisfied with my experience,Other (Please describe)</t>
  </si>
  <si>
    <t>When searching for prices it is often difficult. Saving spreads preference as a cookie would be helpful. Having hyperlinks to jump directly to the found text in a PDF would be helpful as well, having to open the PDF then ctrl + f wastes more time.</t>
  </si>
  <si>
    <t>Development archives such as design docs, prototypes, concept art, ideas, etc</t>
  </si>
  <si>
    <t>R_5kAkNT9hhWrU5iO</t>
  </si>
  <si>
    <t>Game Enthusiast or Collector,Game Historian or Researcher (E.g., Industry, Academic)</t>
  </si>
  <si>
    <t>R_5p65l5ddpwsck8N</t>
  </si>
  <si>
    <t>R_6dfOGeh9OFhksfs</t>
  </si>
  <si>
    <t>Game Enthusiast or Collector,Cultural Heritage Institutions (E.g., Libraries, Archives, or Museums)</t>
  </si>
  <si>
    <t>The digital library portal,Game preservation advocacy (Legislative, industry, and community),VGHF presence at game events (E.g., pop-up museum, panels)</t>
  </si>
  <si>
    <t>Oral histories (E.g., interviews),Web materials (E.g., websites, game reviews)</t>
  </si>
  <si>
    <t>Fact-checking claims,To answer questions about games history,Research historical games cultures,Find information on specific games,Share cultural artifacts with others,Personal enjoyment</t>
  </si>
  <si>
    <t>R_6rCS13NtUWrxlyp</t>
  </si>
  <si>
    <t>R_3gSIkVPeJI9HpLi</t>
  </si>
  <si>
    <t>Bluesky,Other</t>
  </si>
  <si>
    <t>Twitter</t>
  </si>
  <si>
    <t>Oral histories (E.g., interviews),Mass print materials (E.g., magazines, art, or flyers),Development materials (E.g., design documents, concept art, or memos),Non-development materials (E.g., merchandise),Video game prototypes</t>
  </si>
  <si>
    <t>Find primary source information (such as original sale prices of videogame products),Research historical games cultures,Share cultural artifacts with others,Personal enjoyment</t>
  </si>
  <si>
    <t>R_3nZK9M8i0BTrrK9</t>
  </si>
  <si>
    <t>The digital library portal,Prototype and source code recovery</t>
  </si>
  <si>
    <t>Mass print materials (E.g., magazines, art, or flyers),Development materials (E.g., design documents, concept art, or memos),Non-development materials (E.g., merchandise),Video game prototypes</t>
  </si>
  <si>
    <t>Find primary source information (such as original sale prices of videogame products),Research historical games cultures,Find information on specific games,Share cultural artifacts with others,Personal enjoyment</t>
  </si>
  <si>
    <t>Improved tagging and metadata,Additional materials,I am satisfied with my experience</t>
  </si>
  <si>
    <t>Video Game History Foundation Digital Library,The Internet Archive,Fan wikis</t>
  </si>
  <si>
    <t>I like to look through magazines and production materials for game related artwork</t>
  </si>
  <si>
    <t>R_7iDu0XR7DciYwsB</t>
  </si>
  <si>
    <t>The digital library portal,Game preservation advocacy (Legislative, industry, and community),Prototype and source code recovery,Published research (YouTube, blog posts),Game industry partnerships (E.g., working on commercial games)</t>
  </si>
  <si>
    <t>Discord,Youtube</t>
  </si>
  <si>
    <t>Fact-checking claims,To answer questions about games history,Find primary source information (such as original sale prices of videogame products),Find information on specific games,Personal enjoyment</t>
  </si>
  <si>
    <t>Stronger advanced search options,I am satisfied with my experience</t>
  </si>
  <si>
    <t>R_1mBVUy1EHeGyzuN</t>
  </si>
  <si>
    <t>The digital library portal,Game preservation advocacy (Legislative, industry, and community),Prototype and source code recovery</t>
  </si>
  <si>
    <t>R_1kbMB2wTCVYiTQa</t>
  </si>
  <si>
    <t>The VGHF website</t>
  </si>
  <si>
    <t>Fact-checking claims,To answer questions about games history,Find primary source information (such as original sale prices of videogame products),Research historical games cultures,Find information on specific games,Other</t>
  </si>
  <si>
    <t>To answer questions linked to but not strictly about video games history.</t>
  </si>
  <si>
    <t>Production information &amp; metadata,Historical production documentation,Other</t>
  </si>
  <si>
    <t>Magazines</t>
  </si>
  <si>
    <t>I work on a fan wiki for a tabletop wargame franchise that has had video game tie-ins, and which has had staff move over from the video games to the tabletop.  Magazines give me ads for the wargame and details on staff; other records tell me about the video games more...</t>
  </si>
  <si>
    <t>R_1PL9Rfe78rM8Y00</t>
  </si>
  <si>
    <t>R_7fdSrMLLXeaLee8</t>
  </si>
  <si>
    <t>Game Enthusiast or Collector,Game Industry (Indie, Solo-dev)</t>
  </si>
  <si>
    <t>To answer questions about games history,Find primary source information (such as original sale prices of videogame products),Research historical games cultures,Share cultural artifacts with others,Personal enjoyment</t>
  </si>
  <si>
    <t>Improved tagging and metadata,Stronger advanced search options</t>
  </si>
  <si>
    <t>Organizing files into folders for future use,Labeling work with dates to prepare for storage,Backing up builds or assets on a separate drive</t>
  </si>
  <si>
    <t>Beta,Demo,Release</t>
  </si>
  <si>
    <t>R_7R5QxLVWHCDR3Ed</t>
  </si>
  <si>
    <t>Game Enthusiast or Collector,Game Historian or Researcher (E.g., Community, Journalist, or Independent),Game Industry (Indie, Solo-dev),Game Education (Instructor, Student)</t>
  </si>
  <si>
    <t>Heard about it on a Breath of Fire website. Otherwise hadn't heard about any news/updates.</t>
  </si>
  <si>
    <t>Mass print materials (E.g., magazines, art, or flyers),Web materials (E.g., websites, game reviews),Development materials (E.g., design documents, concept art, or memos)</t>
  </si>
  <si>
    <t>Fact-checking claims,Find information on specific games,Personal enjoyment</t>
  </si>
  <si>
    <t>Additional materials,Other (Please describe)</t>
  </si>
  <si>
    <t>Bit confusing but otherwise worked alright.</t>
  </si>
  <si>
    <t>Organizing files into folders for future use,Labeling work with dates to prepare for storage,Adding resource comments to your folders (Example: README.txt)</t>
  </si>
  <si>
    <t>.png, .wav, .mp3, .gif</t>
  </si>
  <si>
    <t>~1GB</t>
  </si>
  <si>
    <t>Video Game History Foundation Digital Library,The Internet Archive,The Cutting Room Floor</t>
  </si>
  <si>
    <t>Videogame accessories (controllers or peripherals),Production information &amp; metadata,Historical production documentation</t>
  </si>
  <si>
    <t>I've only just started doing anything archival related, but I'm really interested in the pre-release to first year of Monster Hunter Stories, which had some pretty interesting in-person events and dlc distributions (for instance, over 40 subquests were distributed by Monster Hunter Spirits 2 arcade machines, rotating on a daily basis. I have found 1 single mention of them in a Famitsu article and have yet to figure out the actual details of each subquest, though they seemed to all be for monsters that would otherwise be difficult for players to find in the postgame.)</t>
  </si>
  <si>
    <t>R_8JCUmanFleoxiRG</t>
  </si>
  <si>
    <t>Bluesky,Youtube</t>
  </si>
  <si>
    <t>Fact-checking claims,To answer questions about games history,Find primary source information (such as original sale prices of videogame products),Research historical games cultures,Find information on specific games,Educational usage,Personal enjoyment</t>
  </si>
  <si>
    <t>Deeper document descriptions,Connections to related objects,Showing previously viewed documents,I am satisfied with my experience</t>
  </si>
  <si>
    <t>Organizing files into folders for future use,Labeling work with dates to prepare for storage,Condensing builds for storage (e.g, ZIP, 7z),Uploading to a cloud storage solution,Backing up builds or assets on a separate drive,Adding resource comments to your folders (Example: README.txt)</t>
  </si>
  <si>
    <t>&lt;any source code file extension&gt;, .wav, .gltf, .png</t>
  </si>
  <si>
    <t>any and all</t>
  </si>
  <si>
    <t>R_9WOwY9ZdpYAmiD7</t>
  </si>
  <si>
    <t>Game Historian or Researcher (E.g., Community, Journalist, or Independent),Game Historian or Researcher (E.g., Industry, Academic),Cultural Heritage Institutions (E.g., Libraries, Archives, or Museums)</t>
  </si>
  <si>
    <t>Oral histories (E.g., interviews),Mass print materials (E.g., magazines, art, or flyers),Web materials (E.g., websites, game reviews),Development materials (E.g., design documents, concept art, or memos),Non-development materials (E.g., merchandise),Video game prototypes,Hardware (E.g., controllers, consoles),Retail video games</t>
  </si>
  <si>
    <t>R_6rYDzkrbvTJPon7</t>
  </si>
  <si>
    <t>The digital library portal,Game preservation advocacy (Legislative, industry, and community),Prototype and source code recovery,Published research (YouTube, blog posts),Other</t>
  </si>
  <si>
    <t>Magazine Recovery and Documentation</t>
  </si>
  <si>
    <t>Mass print materials (E.g., magazines, art, or flyers),Development materials (E.g., design documents, concept art, or memos),Video game prototypes,Other</t>
  </si>
  <si>
    <t>Historical Video Documentation</t>
  </si>
  <si>
    <t>Fact-checking claims,To answer questions about games history,Find primary source information (such as original sale prices of videogame products),Find information on specific games,Share cultural artifacts with others,Personal enjoyment</t>
  </si>
  <si>
    <t>Additional materials,I am satisfied with my experience</t>
  </si>
  <si>
    <t>Video Game History Foundation Digital Library,The Internet Archive,The Cutting Room Floor,Fan wikis</t>
  </si>
  <si>
    <t>Production information &amp; metadata,Usage or player information data (e.g., statistics, scores, lets plays)</t>
  </si>
  <si>
    <t>I often use the Digital Archive to seek out press materials that mention a game of interest prior to its release date. This information is sometimes critical for piecing together prerelease build information (especially via screenshots). And by searching for info after the game's release date, I can also find more details regarding the cultural impact of the game in the aftermath of its release. VGHF's excellent documentation of the text in each PDF makes searching for and copying down these sporadic excerpts extremely easy. It has saved me a lot of time.</t>
  </si>
  <si>
    <t>R_2v0lPE3L7dwLDRu</t>
  </si>
  <si>
    <t>R_35BzIwfovDd6d3g</t>
  </si>
  <si>
    <t>Web materials (E.g., websites, game reviews),Development materials (E.g., design documents, concept art, or memos),Non-development materials (E.g., merchandise)</t>
  </si>
  <si>
    <t>R_6MSgVlG01yG8cNw</t>
  </si>
  <si>
    <t>Bluesky,Instagram,Email</t>
  </si>
  <si>
    <t>Oral histories (E.g., interviews),Mass print materials (E.g., magazines, art, or flyers),Web materials (E.g., websites, game reviews),Development materials (E.g., design documents, concept art, or memos),Non-development materials (E.g., merchandise),Video game prototypes</t>
  </si>
  <si>
    <t>Improved tagging and metadata,Stronger advanced search options,Deeper document descriptions,Connections to related objects,Showing previously viewed documents,Additional materials</t>
  </si>
  <si>
    <t>R_7A0AcoxxfL2cVhG</t>
  </si>
  <si>
    <t>Game Enthusiast or Collector,Game Historian or Researcher (E.g., Industry, Academic),Game Industry (Non-Indie or Solo-dev)</t>
  </si>
  <si>
    <t>The digital library portal,Game preservation advocacy (Legislative, industry, and community),Published research (YouTube, blog posts),VGHF presence at game events (E.g., pop-up museum, panels)</t>
  </si>
  <si>
    <t>Stronger advanced search options,Additional materials</t>
  </si>
  <si>
    <t>A moderate amount</t>
  </si>
  <si>
    <t>I don't know if anything is happening in this regard</t>
  </si>
  <si>
    <t>Software (Digital),Historical production documentation</t>
  </si>
  <si>
    <t>R_533svplpnfGWHWX</t>
  </si>
  <si>
    <t>Game Enthusiast or Collector,Game Historian or Researcher (E.g., Community, Journalist, or Independent),Game Historian or Researcher (E.g., Industry, Academic),Game Industry (Non-Indie or Solo-dev),Game Industry (Indie, Solo-dev),Game Education (Instructor, Student),Cultural Heritage Institutions (E.g., Libraries, Archives, or Museums),Other</t>
  </si>
  <si>
    <t>Instagram,Discord</t>
  </si>
  <si>
    <t>R_5hgd72QDu5YbO5Q</t>
  </si>
  <si>
    <t>Game Enthusiast or Collector,Game Historian or Researcher (E.g., Industry, Academic),Cultural Heritage Institutions (E.g., Libraries, Archives, or Museums)</t>
  </si>
  <si>
    <t>Bluesky,Instagram,Youtube,Patreon,Discord</t>
  </si>
  <si>
    <t>Mass print materials (E.g., magazines, art, or flyers),Web materials (E.g., websites, game reviews),Non-development materials (E.g., merchandise),Video game prototypes</t>
  </si>
  <si>
    <t>Fact-checking claims,To answer questions about games history,Find primary source information (such as original sale prices of videogame products),Research historical games cultures,Find information on specific games</t>
  </si>
  <si>
    <t>Improved tagging and metadata,Stronger advanced search options,Deeper document descriptions,Connections to related objects,Showing previously viewed documents</t>
  </si>
  <si>
    <t>Software (Digital),Software (Physical),Hardware components (consoles or computing devices),Videogame accessories (controllers or peripherals),Production information &amp; metadata</t>
  </si>
  <si>
    <t>R_5KZsgvLT2F6hRjm</t>
  </si>
  <si>
    <t>Youtube,Other</t>
  </si>
  <si>
    <t xml:space="preserve">Facebook </t>
  </si>
  <si>
    <t>I like it when they have digital video files in their collection</t>
  </si>
  <si>
    <t>Other (Please describe)</t>
  </si>
  <si>
    <t xml:space="preserve">Simplify it a bit generally or in some areas that may be too complicated </t>
  </si>
  <si>
    <t>Patreon Rewards (E.g., Discord, monthly call with Frank),Social Media,Podcast</t>
  </si>
  <si>
    <t>R_30Hp8Pd0m6kWTIR</t>
  </si>
  <si>
    <t>Game Industry (Non-Indie or Solo-dev),Game Industry (Indie, Solo-dev)</t>
  </si>
  <si>
    <t>Prototype and source code recovery,Game industry partnerships (E.g., working on commercial games)</t>
  </si>
  <si>
    <t>Oral histories (E.g., interviews),Web materials (E.g., websites, game reviews),Development materials (E.g., design documents, concept art, or memos)</t>
  </si>
  <si>
    <t>To answer questions about games history,Find information on specific games,Personal enjoyment</t>
  </si>
  <si>
    <t>A lot</t>
  </si>
  <si>
    <t>None at all</t>
  </si>
  <si>
    <t>.h .cpp .cs .asset .blend .fbx</t>
  </si>
  <si>
    <t>Prototype,Release,Final Version</t>
  </si>
  <si>
    <t>R_7D6ccBH5gwc2YU8</t>
  </si>
  <si>
    <t xml:space="preserve">VGHF website, Insert Credit Podcast </t>
  </si>
  <si>
    <t>Oral histories (E.g., interviews),Web materials (E.g., websites, game reviews),Development materials (E.g., design documents, concept art, or memos),Video game prototypes</t>
  </si>
  <si>
    <t>To answer questions about games history,Research historical games cultures,Share cultural artifacts with others,Personal enjoyment</t>
  </si>
  <si>
    <t>Improved tagging and metadata,Deeper document descriptions,Connections to related objects,Additional materials,I am satisfied with my experience</t>
  </si>
  <si>
    <t>R_14X5vJI5Ruk9JER</t>
  </si>
  <si>
    <t>R_3HB20hYtlrhUxN9</t>
  </si>
  <si>
    <t>Mass print materials (E.g., magazines, art, or flyers),Web materials (E.g., websites, game reviews),Development materials (E.g., design documents, concept art, or memos),Video game prototypes</t>
  </si>
  <si>
    <t>R_29aI4qvNg5wfHb2</t>
  </si>
  <si>
    <t>Game Enthusiast or Collector,Game Historian or Researcher (E.g., Community, Journalist, or Independent),Game Historian or Researcher (E.g., Industry, Academic),Game Industry (Non-Indie or Solo-dev),Game Industry (Indie, Solo-dev),Game Education (Instructor, Student),Cultural Heritage Institutions (E.g., Libraries, Archives, or Museums)</t>
  </si>
  <si>
    <t>through GDC Vault ! :)</t>
  </si>
  <si>
    <t>Mass print materials (E.g., magazines, art, or flyers),Web materials (E.g., websites, game reviews),Development materials (E.g., design documents, concept art, or memos),Video game prototypes,Hardware (E.g., controllers, consoles),Retail video games</t>
  </si>
  <si>
    <t>Academic research,Educational usage,Personal enjoyment</t>
  </si>
  <si>
    <t>that it becomes a big portal and also a standard, industry and legal-wise ?</t>
  </si>
  <si>
    <t>academic and independant research</t>
  </si>
  <si>
    <t>Unknown</t>
  </si>
  <si>
    <t>There's room for improvement</t>
  </si>
  <si>
    <t>.csv and .xls (independant research)</t>
  </si>
  <si>
    <t>Prototype,Beta,Demo,Release,Final Version</t>
  </si>
  <si>
    <t>Videogame accessories (controllers or peripherals),Production information &amp; metadata,Usage or player information data (e.g., statistics, scores, lets plays)</t>
  </si>
  <si>
    <t>Anything related to game genres, reviews (journalistics or user), user experience as a whole, assessing game experience during production, playtest... And things regarding communities or audiences, specifically : women, girls, marginalized population, accessibility / handicap , inclusivity, LGBTQI+ + physical ergonomy as well</t>
  </si>
  <si>
    <t>again : Anything related to game genres, reviews (journalistics or user), user experience as a whole, assessing game experience during production, playtest... And things regarding communities or audiences, specifically : women, girls, marginalized population, accessibility / handicap , inclusivity, LGBTQI+ + physical ergonomy as well</t>
  </si>
  <si>
    <t>R_1LpvZ1Z7KrJFt1w</t>
  </si>
  <si>
    <t>Game Enthusiast or Collector,Game Historian or Researcher (E.g., Community, Journalist, or Independent),Game Industry (Indie, Solo-dev)</t>
  </si>
  <si>
    <t>Development materials (E.g., design documents, concept art, or memos),Video game prototypes,Retail video games</t>
  </si>
  <si>
    <t>Stronger advanced search options,Connections to related objects,Showing previously viewed documents</t>
  </si>
  <si>
    <t>R_5bDkQXlIpxVwhnb</t>
  </si>
  <si>
    <t>Instagram,Youtube,Discord,Email</t>
  </si>
  <si>
    <t>Access is managed by a role or admin and is widely accessible to many teams at any time (or by request)</t>
  </si>
  <si>
    <t>Condensing builds for storage (e.g, ZIP, 7z)</t>
  </si>
  <si>
    <t>Final Version</t>
  </si>
  <si>
    <t>&lt;500MB</t>
  </si>
  <si>
    <t>Digital game metadata</t>
  </si>
  <si>
    <t>Software (Digital),Software (Physical)</t>
  </si>
  <si>
    <t>Video Game History Foundation Digital Library,The Internet Archive,MobyGames,The Cutting Room Floor,Hidden Palace</t>
  </si>
  <si>
    <t>Software (Digital),Software (Physical),Hardware components (consoles or computing devices)</t>
  </si>
  <si>
    <t>R_5R48bruZOWDXhgY</t>
  </si>
  <si>
    <t>Mass print materials (E.g., magazines, art, or flyers),Web materials (E.g., websites, game reviews)</t>
  </si>
  <si>
    <t>Find primary source information (such as original sale prices of videogame products),Find information on specific games,Personal enjoyment</t>
  </si>
  <si>
    <t>R_3BZ4aNm7UUU0S2Z</t>
  </si>
  <si>
    <t>Bluesky,Youtube,Discord,Email</t>
  </si>
  <si>
    <t>Find information on specific games,Share cultural artifacts with others,Personal enjoyment</t>
  </si>
  <si>
    <t>Stronger advanced search options,Deeper document descriptions,Additional materials,I am satisfied with my experience</t>
  </si>
  <si>
    <t>Conventions,Other</t>
  </si>
  <si>
    <t>Advice or workshops to amateur researchers and archivists</t>
  </si>
  <si>
    <t>Video Game History Foundation Digital Library,The Internet Archive,Fan wikis,Community Discord servers,Industry data services (Steamdb, IGDB)</t>
  </si>
  <si>
    <t>Software (Digital),Production information &amp; metadata,Usage or player information data (e.g., statistics, scores, lets plays)</t>
  </si>
  <si>
    <t>R_53dLowMDhHNXj3q</t>
  </si>
  <si>
    <t>R_66l5CjJU9QriW3B</t>
  </si>
  <si>
    <t>Patreon Rewards (E.g., Discord, monthly call with Frank)</t>
  </si>
  <si>
    <t>Video Game History Foundation Digital Library,The Internet Archive,MobyGames,The Cutting Room Floor</t>
  </si>
  <si>
    <t>Software (Physical),Hardware components (consoles or computing devices),Videogame accessories (controllers or peripherals),Production information &amp; metadata</t>
  </si>
  <si>
    <t>R_1Kg41gsEF0XlZum</t>
  </si>
  <si>
    <t>The digital library portal,Published research (YouTube, blog posts)</t>
  </si>
  <si>
    <t>Mass print materials (E.g., magazines, art, or flyers),Development materials (E.g., design documents, concept art, or memos),Video game prototypes</t>
  </si>
  <si>
    <t>Research historical games cultures,Find information on specific games,Share cultural artifacts with others,Personal enjoyment</t>
  </si>
  <si>
    <t>Improved tagging and metadata,Stronger advanced search options,Additional materials</t>
  </si>
  <si>
    <t>R_75HNCvh6QX7uAM4</t>
  </si>
  <si>
    <t>Development materials (E.g., design documents, concept art, or memos),Non-development materials (E.g., merchandise),Hardware (E.g., controllers, consoles)</t>
  </si>
  <si>
    <t>Connections to related objects,Showing previously viewed documents,Additional materials,I am satisfied with my experience</t>
  </si>
  <si>
    <t>R_32FFabdf0SrLN1N</t>
  </si>
  <si>
    <t>Bluesky,Youtube,Discord</t>
  </si>
  <si>
    <t>VGHF continually surprises me with not only the quality of preservation and collected materials, but the types of materials that get coverage on youtube and social media. I'm mostly excited for the surprise, because you never know what game or creator is going to show up! I'm also a big fan of the disc dumps with high-res promotional renders and advertising materials. I think that stuff is super interesting, and it's nice to have a definitive repository for these materials since we've only had poor quality scans, or photographs of some of these things for the longest time. I love what the VGHF does and I hope you exceed all your fundraising goals for years to come &lt;3</t>
  </si>
  <si>
    <t>I think the current balance is pretty good. I see posts on socials all the time and love the youtube content especially. Keep up the fantastic work</t>
  </si>
  <si>
    <t>R_2K27BxLkLq6Fqpt</t>
  </si>
  <si>
    <t>Development materials (E.g., design documents, concept art, or memos),Video game prototypes</t>
  </si>
  <si>
    <t>R_5LbwxNgMCRKJPfa</t>
  </si>
  <si>
    <t>Oral histories (E.g., interviews),Mass print materials (E.g., magazines, art, or flyers),Web materials (E.g., websites, game reviews)</t>
  </si>
  <si>
    <t>Find primary source information (such as original sale prices of videogame products),Academic research</t>
  </si>
  <si>
    <t>Production information &amp; metadata</t>
  </si>
  <si>
    <t>R_5KDFO1rFiEz6ReZ</t>
  </si>
  <si>
    <t>Youtube,Email</t>
  </si>
  <si>
    <t>R_3coqxUCF8xjVztT</t>
  </si>
  <si>
    <t>Software (Digital),Hardware components (consoles or computing devices),Production information &amp; metadata</t>
  </si>
  <si>
    <t>R_1IcploCj3GF9P7Y</t>
  </si>
  <si>
    <t>Bluesky,Instagram,Youtube,Patreon</t>
  </si>
  <si>
    <t>Oral histories (E.g., interviews),Mass print materials (E.g., magazines, art, or flyers),Web materials (E.g., websites, game reviews),Development materials (E.g., design documents, concept art, or memos),Non-development materials (E.g., merchandise),Video game prototypes,Hardware (E.g., controllers, consoles)</t>
  </si>
  <si>
    <t>Fact-checking claims,To answer questions about games history,Find primary source information (such as original sale prices of videogame products),Find information on specific games,Academic research,Personal enjoyment</t>
  </si>
  <si>
    <t>Improved tagging and metadata,Deeper document descriptions,Connections to related objects,Showing previously viewed documents</t>
  </si>
  <si>
    <t>For fanzines, guidebooks and general reference material alongside other groups like the Game Preservation Society and many more</t>
  </si>
  <si>
    <t>Video Game History Foundation Digital Library,The Internet Archive,The Cutting Room Floor,Hidden Palace,Fan wikis,Community Discord servers,Museum collections (E.g., The Strong National Museum of Play),Industry data services (Steamdb, IGDB)</t>
  </si>
  <si>
    <t>Software (Physical),Hardware components (consoles or computing devices),Videogame accessories (controllers or peripherals),Production information &amp; metadata,Usage or player information data (e.g., statistics, scores, lets plays),Historical production documentation</t>
  </si>
  <si>
    <t>Fanzines, guidebooks and general reference material for future projects</t>
  </si>
  <si>
    <t>R_5OlfYrDjaZkiYv4</t>
  </si>
  <si>
    <t>To answer questions about games history,Personal enjoyment</t>
  </si>
  <si>
    <t>Improved tagging and metadata,Stronger advanced search options,Deeper document descriptions,Connections to related objects,Additional materials</t>
  </si>
  <si>
    <t>Games preservation and access to dead media</t>
  </si>
  <si>
    <t>R_7vgFGrdtFXpcIlX</t>
  </si>
  <si>
    <t>Animation/CGI Research</t>
  </si>
  <si>
    <t>The digital library portal,Game preservation advocacy (Legislative, industry, and community),Published research (YouTube, blog posts),VGHF presence at game events (E.g., pop-up museum, panels),Game industry partnerships (E.g., working on commercial games)</t>
  </si>
  <si>
    <t>Oral histories (E.g., interviews),Mass print materials (E.g., magazines, art, or flyers)</t>
  </si>
  <si>
    <t>Find primary source information (such as original sale prices of videogame products),Research historical games cultures,Find information on specific games,Academic research,Educational usage</t>
  </si>
  <si>
    <t>R_348kfP6PxDZ2rk5</t>
  </si>
  <si>
    <t>To answer questions about games history,Find primary source information (such as original sale prices of videogame products),Research historical games cultures,Find information on specific games,Personal enjoyment</t>
  </si>
  <si>
    <t>Stronger advanced search options,Connections to related objects,Additional materials,I am satisfied with my experience</t>
  </si>
  <si>
    <t>R_51j7MMsLYePKJJ1</t>
  </si>
  <si>
    <t>R_7yNlg5mOw6qdB29</t>
  </si>
  <si>
    <t>Bluesky,Patreon,Other</t>
  </si>
  <si>
    <t>Insert Credit Podcast/VGHF Podcast</t>
  </si>
  <si>
    <t xml:space="preserve">I love everything the foundation does, but I am partial to the video documentaries. Phil's work on the Sega Channel video, and Frank's video on the NES launch were fantastic and full of info and stuff I have never seen before. I am excited to see what they do next! </t>
  </si>
  <si>
    <t>Podcast</t>
  </si>
  <si>
    <t>R_1wh1BlOu23SniuZ</t>
  </si>
  <si>
    <t>Game Enthusiast or Collector,Game Historian or Researcher (E.g., Community, Journalist, or Independent),Game Industry (Non-Indie or Solo-dev),Game Industry (Indie, Solo-dev)</t>
  </si>
  <si>
    <t>Bluesky,Patreon</t>
  </si>
  <si>
    <t>Organizing files into folders for future use,Condensing builds for storage (e.g, ZIP, 7z),Condensing assets for storage,Backing up builds or assets on a separate drive</t>
  </si>
  <si>
    <t xml:space="preserve">Largely it's about researching what games were shown where and to whom and when. Checking dates, critical reception, fact checking in general, and digging for additional supplemental information where applicable. </t>
  </si>
  <si>
    <t>R_5Y4ib8YDBRSIc9W</t>
  </si>
  <si>
    <t>To answer questions about games history,Personal enjoyment,Other</t>
  </si>
  <si>
    <t>Reference for work</t>
  </si>
  <si>
    <t>Organizing files into folders for future use,Backing up builds or assets on a separate drive</t>
  </si>
  <si>
    <t>Wav png fbx docs pdf</t>
  </si>
  <si>
    <t>10GB</t>
  </si>
  <si>
    <t>R_62zc8TWoj6gEY6E</t>
  </si>
  <si>
    <t>Bluesky,Youtube,Patreon,Discord</t>
  </si>
  <si>
    <t>Fact-checking claims,To answer questions about games history,Find primary source information (such as original sale prices of videogame products),Research historical games cultures,Find information on specific games,Share cultural artifacts with others,Educational usage,Personal enjoyment</t>
  </si>
  <si>
    <t>Improved tagging and metadata,Connections to related objects,Showing previously viewed documents,Additional materials</t>
  </si>
  <si>
    <t>Podcast,Conventions (Panels, pop-up museum)</t>
  </si>
  <si>
    <t>Patreon Rewards (E.g., Discord, monthly call with Frank),Podcast</t>
  </si>
  <si>
    <t>Video Game History Foundation Digital Library,The Internet Archive,MobyGames,The Cutting Room Floor,Hidden Palace,Fan wikis,Museum collections (E.g., The Strong National Museum of Play),Industry data services (Steamdb, IGDB)</t>
  </si>
  <si>
    <t>R_3QmDX1VVGlmJdpS</t>
  </si>
  <si>
    <t>R_3JhyBgBz1YjjwOt</t>
  </si>
  <si>
    <t>Fact-checking claims,Find primary source information (such as original sale prices of videogame products),Research historical games cultures,Find information on specific games,Share cultural artifacts with others</t>
  </si>
  <si>
    <t>Improved tagging and metadata,Deeper document descriptions,Other (Please describe)</t>
  </si>
  <si>
    <t>Allowing downloads of original files</t>
  </si>
  <si>
    <t>Video Game History Foundation Digital Library,The Internet Archive,The Cutting Room Floor,Museum collections (E.g., The Strong National Museum of Play)</t>
  </si>
  <si>
    <t>Analyzing video game artwork and marketing materials</t>
  </si>
  <si>
    <t>R_4jovcChxLWLcoYp</t>
  </si>
  <si>
    <t>R_5oZpwbnA5DHZKfB</t>
  </si>
  <si>
    <t>Game Enthusiast or Collector,Game Historian or Researcher (E.g., Community, Journalist, or Independent),Game Industry (Indie, Solo-dev),Cultural Heritage Institutions (E.g., Libraries, Archives, or Museums)</t>
  </si>
  <si>
    <t>Fact-checking claims,Find primary source information (such as original sale prices of videogame products),Find information on specific games,Personal enjoyment</t>
  </si>
  <si>
    <t>Showing previously viewed documents,I am satisfied with my experience</t>
  </si>
  <si>
    <t>Social media (E.g., YouTube, Bluesky),Podcast,Conventions (Panels, pop-up museum)</t>
  </si>
  <si>
    <t>Patreon Rewards (E.g., Discord, monthly call with Frank),Conventions</t>
  </si>
  <si>
    <t>Prototype,Beta,Demo,Release</t>
  </si>
  <si>
    <t>Video Game History Foundation Digital Library,The Internet Archive,The Cutting Room Floor,Hidden Palace,Community Discord servers,Industry data services (Steamdb, IGDB)</t>
  </si>
  <si>
    <t>R_4QuMy2Sni8x0BXZ</t>
  </si>
  <si>
    <t>Bluesky,Instagram,Youtube,Discord</t>
  </si>
  <si>
    <t>Oral histories (E.g., interviews),Mass print materials (E.g., magazines, art, or flyers),Web materials (E.g., websites, game reviews),Development materials (E.g., design documents, concept art, or memos),Video game prototypes,Hardware (E.g., controllers, consoles)</t>
  </si>
  <si>
    <t>To answer questions about games history,Find primary source information (such as original sale prices of videogame products),Research historical games cultures,Find information on specific games,Share cultural artifacts with others</t>
  </si>
  <si>
    <t>Video Game History Foundation Digital Library,The Internet Archive,The Cutting Room Floor,Hidden Palace,Community Discord servers,Museum collections (E.g., The Strong National Museum of Play)</t>
  </si>
  <si>
    <t>R_3rUwCQaqfOUQTpQ</t>
  </si>
  <si>
    <t>Connections to related objects,Showing previously viewed documents</t>
  </si>
  <si>
    <t>The magazine archives are my favorite</t>
  </si>
  <si>
    <t>R_6QbXVla5vVYyB9d</t>
  </si>
  <si>
    <t>Bluesky,Instagram,Youtube</t>
  </si>
  <si>
    <t>For youtube videos</t>
  </si>
  <si>
    <t>R_6xL5Re516rEdD54</t>
  </si>
  <si>
    <t>Youtube,Patreon,Discord,Other</t>
  </si>
  <si>
    <t>Kelsey</t>
  </si>
  <si>
    <t>Oral histories (E.g., interviews),Development materials (E.g., design documents, concept art, or memos),Video game prototypes</t>
  </si>
  <si>
    <t>Improved tagging and metadata,Connections to related objects,Additional materials</t>
  </si>
  <si>
    <t>R_3JfQzCrMkwF3JPO</t>
  </si>
  <si>
    <t>Bluesky,Youtube,Email</t>
  </si>
  <si>
    <t>To answer questions about games history,Find primary source information (such as original sale prices of videogame products),Find information on specific games,Educational usage,Personal enjoyment</t>
  </si>
  <si>
    <t>R_4CZj7dxByh1DjQA</t>
  </si>
  <si>
    <t>twitter</t>
  </si>
  <si>
    <t>Oral histories (E.g., interviews),Mass print materials (E.g., magazines, art, or flyers),Web materials (E.g., websites, game reviews),Development materials (E.g., design documents, concept art, or memos),Non-development materials (E.g., merchandise),Video game prototypes,Retail video games</t>
  </si>
  <si>
    <t>Stronger advanced search options,Deeper document descriptions,Connections to related objects,Additional materials</t>
  </si>
  <si>
    <t>R_4lxJ8V6xMKvMZrP</t>
  </si>
  <si>
    <t>Uploading to a cloud storage solution,Backing up builds or assets on a separate drive,Adding resource comments to your folders (Example: README.txt)</t>
  </si>
  <si>
    <t>.zs, .png, .psd, .blend, .wav, .mid</t>
  </si>
  <si>
    <t>Most, mostly regarding larger patches while ignoring tiny patches (e.g. minor bugs that barely affect anything)</t>
  </si>
  <si>
    <t>5GB</t>
  </si>
  <si>
    <t>R_2HdeSjEq47HwsMO</t>
  </si>
  <si>
    <t>Web materials (E.g., websites, game reviews),Retail video games</t>
  </si>
  <si>
    <t>Share cultural artifacts with others,Educational usage,Personal enjoyment</t>
  </si>
  <si>
    <t>R_89joxu6VmQX5oLD</t>
  </si>
  <si>
    <t>Bluesky,Youtube,Patreon,Email</t>
  </si>
  <si>
    <t>Improved tagging and metadata,Additional materials,Other (Please describe)</t>
  </si>
  <si>
    <t>Allow download of images (both the modern format and original psd etc). It doesn't technically stop you downloading render at the moment, but it doesn't provide a download button.</t>
  </si>
  <si>
    <t>Source code/dev materials, probably?</t>
  </si>
  <si>
    <t>Video Game History Foundation Digital Library,The Internet Archive,MobyGames,The Cutting Room Floor,Hidden Palace,Fan wikis,Community Discord servers,Industry data services (Steamdb, IGDB),Other</t>
  </si>
  <si>
    <t>No-Intro, Redump</t>
  </si>
  <si>
    <t>Press materials, interviews and source code/dev materials give an idea of a game's evolution throughout its development, and the developers' mindset.</t>
  </si>
  <si>
    <t>R_2cCtWClUjnZIYsr</t>
  </si>
  <si>
    <t>Game Enthusiast or Collector,Game Industry (Indie, Solo-dev),Other</t>
  </si>
  <si>
    <t>YouTuber</t>
  </si>
  <si>
    <t>Twitter / X</t>
  </si>
  <si>
    <t>Oral histories (E.g., interviews),Video game prototypes</t>
  </si>
  <si>
    <t>To answer questions about games history,Find primary source information (such as original sale prices of videogame products),Research historical games cultures,Find information on specific games,Educational usage,Personal enjoyment</t>
  </si>
  <si>
    <t>Download disc images + full RAWs of PSDs etc. from image libraries</t>
  </si>
  <si>
    <t>Playable prototypes of cancelled games &amp; high resolution press kit downloads</t>
  </si>
  <si>
    <t>Condensing assets for storage</t>
  </si>
  <si>
    <t>.zip .gam .dll .exe</t>
  </si>
  <si>
    <t>Prototype,Beta,Demo</t>
  </si>
  <si>
    <t>20GB</t>
  </si>
  <si>
    <t>R_6fT4QmSSkm2BTrq</t>
  </si>
  <si>
    <t>Bluesky,Instagram,Youtube,Discord,Email,Other</t>
  </si>
  <si>
    <t>Oral histories (E.g., interviews),Mass print materials (E.g., magazines, art, or flyers),Web materials (E.g., websites, game reviews),Development materials (E.g., design documents, concept art, or memos),Non-development materials (E.g., merchandise),Video game prototypes,Hardware (E.g., controllers, consoles),Retail video games,Other</t>
  </si>
  <si>
    <t>Fact-checking claims,To answer questions about games history,Find primary source information (such as original sale prices of videogame products),Research historical games cultures,Find information on specific games,Share cultural artifacts with others,Academic research,Educational usage,Personal enjoyment,Other</t>
  </si>
  <si>
    <t>A little</t>
  </si>
  <si>
    <t>A reasonable amount</t>
  </si>
  <si>
    <t>Demo,Release</t>
  </si>
  <si>
    <t>Modern physical digital games (Currently supported platform),Historical or retro digital games (Unsupported platform: e.g., Playstation 3, Sega Genesis),Digital game hardware,Physical documents related to digital games,Born-digital resources related to digital games,Digital game metadata</t>
  </si>
  <si>
    <t>R_5Ns7dut868tn53M</t>
  </si>
  <si>
    <t>Mass print materials (E.g., magazines, art, or flyers),Web materials (E.g., websites, game reviews),Development materials (E.g., design documents, concept art, or memos),Non-development materials (E.g., merchandise),Video game prototypes,Hardware (E.g., controllers, consoles)</t>
  </si>
  <si>
    <t>R_3rUsA9OcwXGrV9s</t>
  </si>
  <si>
    <t>Bluesky,Youtube,Discord,Email,Other</t>
  </si>
  <si>
    <t>Tumblr</t>
  </si>
  <si>
    <t>Fact-checking claims,Academic research,Educational usage,Personal enjoyment</t>
  </si>
  <si>
    <t>Software (Digital),Hardware components (consoles or computing devices),Videogame accessories (controllers or peripherals),Production information &amp; metadata,Usage or player information data (e.g., statistics, scores, lets plays),Historical production documentation</t>
  </si>
  <si>
    <t>I am often assisting people creating videos and articles on games with background research</t>
  </si>
  <si>
    <t>R_3oAVyyYmc6b0YYK</t>
  </si>
  <si>
    <t>Reddit</t>
  </si>
  <si>
    <t>Video Game History Foundation Digital Library,The Internet Archive,The Cutting Room Floor,Hidden Palace,Fan wikis</t>
  </si>
  <si>
    <t>R_7UYJf15QWcJxScn</t>
  </si>
  <si>
    <t>R_52ncRSOk4mlfKYd</t>
  </si>
  <si>
    <t>Mass print materials (E.g., magazines, art, or flyers),Web materials (E.g., websites, game reviews),Development materials (E.g., design documents, concept art, or memos),Non-development materials (E.g., merchandise),Video game prototypes</t>
  </si>
  <si>
    <t>Research historical games cultures,Share cultural artifacts with others,Personal enjoyment</t>
  </si>
  <si>
    <t>Improved tagging and metadata,Showing previously viewed documents</t>
  </si>
  <si>
    <t>R_7gGdL4ySL7c9KJs</t>
  </si>
  <si>
    <t>X (Twitter)</t>
  </si>
  <si>
    <t>Fact-checking claims,Find primary source information (such as original sale prices of videogame products),Research historical games cultures,Find information on specific games,Personal enjoyment</t>
  </si>
  <si>
    <t>Showing previously viewed documents,Additional materials</t>
  </si>
  <si>
    <t>Video Game History Foundation Digital Library,The Internet Archive,The Cutting Room Floor,Museum collections (E.g., The Strong National Museum of Play),Industry data services (Steamdb, IGDB)</t>
  </si>
  <si>
    <t>Software (Digital),Production information &amp; metadata,Historical production documentation</t>
  </si>
  <si>
    <t>R_4EzN2YB4TbGe2L8</t>
  </si>
  <si>
    <t>R_3ukAYrEVbrsfuRr</t>
  </si>
  <si>
    <t>Game preservation advocacy (Legislative, industry, and community),Prototype and source code recovery,Published research (YouTube, blog posts)</t>
  </si>
  <si>
    <t>R_6kzloV6Z5ODYCNg</t>
  </si>
  <si>
    <t>Video Game History Foundation Digital Library,The Internet Archive,MobyGames,Museum collections (E.g., The Strong National Museum of Play)</t>
  </si>
  <si>
    <t>Software (Digital),Software (Physical),Historical production documentation</t>
  </si>
  <si>
    <t xml:space="preserve">It has allowed me to easily find interviews for games that are no longer as popular as they once were in magazines that I would not have been able to track down easily. </t>
  </si>
  <si>
    <t>R_3YxOHtztoMWBjCp</t>
  </si>
  <si>
    <t>Organizing files into folders for future use,Labeling work with dates to prepare for storage,Condensing builds for storage (e.g, ZIP, 7z),Adding resource comments to your folders (Example: README.txt)</t>
  </si>
  <si>
    <t>.png, .wav, .ogg, .bmp, .zip, .pdf</t>
  </si>
  <si>
    <t>Prototype,Beta,Demo,Release,1-Week post-release patch,1-Month post release,Final Version</t>
  </si>
  <si>
    <t>Video Game History Foundation Digital Library,The Internet Archive,MobyGames,The Cutting Room Floor,Hidden Palace,Fan wikis,Community Discord servers,Industry data services (Steamdb, IGDB)</t>
  </si>
  <si>
    <t>Software (Digital),Software (Physical),Production information &amp; metadata,Usage or player information data (e.g., statistics, scores, lets plays),Historical production documentation</t>
  </si>
  <si>
    <t>Wiki articles, fact checking, cataloging, comparing releases between regions</t>
  </si>
  <si>
    <t>R_9q99GiaNMDjnnLY</t>
  </si>
  <si>
    <t>R_7JWNa5SMaP1k2SA</t>
  </si>
  <si>
    <t>Hardware components (consoles or computing devices)</t>
  </si>
  <si>
    <t xml:space="preserve">Beginner who wants to become an enthusiast </t>
  </si>
  <si>
    <t>R_2whiSOWZioCYi1l</t>
  </si>
  <si>
    <t>Software (Digital),Production information &amp; metadata,Historical production documentation,Other</t>
  </si>
  <si>
    <t>Merchandise, if that counts</t>
  </si>
  <si>
    <t>I've been involved to varying extents with several fan wikis, and high-quality images from press kits and scans are very useful when contributing to those. I've also looked at a lot of interviews to find out more about the development of relevant games and clarify story content, among other things.</t>
  </si>
  <si>
    <t>R_7mfTAWWX0HTg7Hh</t>
  </si>
  <si>
    <t>Mass print materials (E.g., magazines, art, or flyers),Web materials (E.g., websites, game reviews),Hardware (E.g., controllers, consoles)</t>
  </si>
  <si>
    <t>To answer questions about games history,Find information on specific games,Share cultural artifacts with others,Personal enjoyment</t>
  </si>
  <si>
    <t>Improved tagging and metadata,Stronger advanced search options,Deeper document descriptions,Connections to related objects</t>
  </si>
  <si>
    <t>R_25Wx2C0ZeWnCGwC</t>
  </si>
  <si>
    <t>The digital library portal,Game preservation advocacy (Legislative, industry, and community),Prototype and source code recovery,VGHF presence at game events (E.g., pop-up museum, panels)</t>
  </si>
  <si>
    <t>R_3P1nKp6pL69TVS4</t>
  </si>
  <si>
    <t>Bluesky,Youtube,Other</t>
  </si>
  <si>
    <t>Mastodon</t>
  </si>
  <si>
    <t>Oral histories (E.g., interviews),Mass print materials (E.g., magazines, art, or flyers),Video game prototypes</t>
  </si>
  <si>
    <t>R_9QzUJNEC9dUqc6m</t>
  </si>
  <si>
    <t>Research historical games cultures,Educational usage,Personal enjoyment</t>
  </si>
  <si>
    <t>Connections to related objects,Showing previously viewed documents,I am satisfied with my experience</t>
  </si>
  <si>
    <t>Uploading to a cloud storage solution,Backing up builds or assets on a separate drive</t>
  </si>
  <si>
    <t>Prototype,Beta,Demo,Final Version</t>
  </si>
  <si>
    <t>R_1attM4yarXUocvv</t>
  </si>
  <si>
    <t>I feel like maybe I'm dumb or something but I wish it was possible to download PSDs and such without having to download the full .iso, I'm on Mac and the discs don't mount so I can't grab the files off of them lol</t>
  </si>
  <si>
    <t>Video Game History Foundation Digital Library,The Internet Archive,MobyGames,Hidden Palace,Community Discord servers,Industry data services (Steamdb, IGDB),Other</t>
  </si>
  <si>
    <t>Japanese Wikipedia, Gaming Alexandria</t>
  </si>
  <si>
    <t>Magazine scans are always the best - my work primarily involves researching Japanese titles that never saw worldwide release and presenting them to audiences primarily in the West and LatAM so I don't get to actually use VGHF resources in my work that often but when I have they've been great to get historical context on how certain games and genres were received outside of Japan</t>
  </si>
  <si>
    <t>R_8XonSjTe1ChdN45</t>
  </si>
  <si>
    <t>R_7gfFAV0L1Rinnfb</t>
  </si>
  <si>
    <t>Find primary source information (such as original sale prices of videogame products),Research historical games cultures</t>
  </si>
  <si>
    <t>Stronger advanced search options,Deeper document descriptions,Additional materials</t>
  </si>
  <si>
    <t>Video Game History Foundation Digital Library,The Internet Archive,MobyGames,The Cutting Room Floor,Hidden Palace,Fan wikis</t>
  </si>
  <si>
    <t>Hardware components (consoles or computing devices),Videogame accessories (controllers or peripherals),Production information &amp; metadata,Historical production documentation</t>
  </si>
  <si>
    <t>R_4M96MgM0oZkTG49</t>
  </si>
  <si>
    <t>R_7Hw5YGu6soNJts5</t>
  </si>
  <si>
    <t>.cs .fbx .psd .md .wav .mp4</t>
  </si>
  <si>
    <t>Prototype,Beta,Demo,Release,1-Week post-release patch,Final Version</t>
  </si>
  <si>
    <t>R_6jPRqVjomx0hf7Q</t>
  </si>
  <si>
    <t>Youtube,Patreon,Email</t>
  </si>
  <si>
    <t>Video Game History Foundation Digital Library,The Internet Archive,MobyGames</t>
  </si>
  <si>
    <t xml:space="preserve">Interviews </t>
  </si>
  <si>
    <t xml:space="preserve">I searched the library documents (especially magazines) for keywords such as "Chirico" to find info related to the influence of painter Giorgio de Chirico on video games.  </t>
  </si>
  <si>
    <t>R_6QlAvdnKEFI66h1</t>
  </si>
  <si>
    <t>All</t>
  </si>
  <si>
    <t>Bluesky,Instagram,Youtube,Patreon,Discord,Email,Other</t>
  </si>
  <si>
    <t>Fact-checking claims,To answer questions about games history,Research historical games cultures,Find information on specific games,Share cultural artifacts with others,Academic research,Educational usage,Personal enjoyment</t>
  </si>
  <si>
    <t>Improved tagging and metadata,Stronger advanced search options,Deeper document descriptions,Connections to related objects,Showing previously viewed documents,Additional materials,I am satisfied with my experience</t>
  </si>
  <si>
    <t>Video Game History Foundation Digital Library,The Internet Archive,MobyGames,The Cutting Room Floor,Hidden Palace,Fan wikis,Community Discord servers,Museum collections (E.g., The Strong National Museum of Play),Industry data services (Steamdb, IGDB)</t>
  </si>
  <si>
    <t>R_7ZWY5FBOrJ5iFKN</t>
  </si>
  <si>
    <t>Youtube,Discord</t>
  </si>
  <si>
    <t>Improved tagging and metadata,Connections to related objects,Other (Please describe)</t>
  </si>
  <si>
    <t>I cannot access promo images directly from the web. I have to download the disc image and mount it to access the file at full resolution.</t>
  </si>
  <si>
    <t>I mean I usually get inspired to make videos by random info I find which usually leads me down a random rabbit hole.</t>
  </si>
  <si>
    <t>R_8uCL8ZlEWin5FIl</t>
  </si>
  <si>
    <t>R_3Wz7y9YsjqhqTAZ</t>
  </si>
  <si>
    <t>Game Enthusiast or Collector,Game Historian or Researcher (E.g., Industry, Academic),Game Education (Instructor, Student)</t>
  </si>
  <si>
    <t>R_5Pv0LYuf1r8NoNO</t>
  </si>
  <si>
    <t xml:space="preserve">Still new to the available materials. </t>
  </si>
  <si>
    <t>To answer questions about games history,Find primary source information (such as original sale prices of videogame products),Find information on specific games,Share cultural artifacts with others,Personal enjoyment,Other</t>
  </si>
  <si>
    <t>inspiration for projects</t>
  </si>
  <si>
    <t>not sure</t>
  </si>
  <si>
    <t>R_3KvWB1I5DHOrAbb</t>
  </si>
  <si>
    <t>R_2oebTRxMVeuYmhk</t>
  </si>
  <si>
    <t>Discord,Other</t>
  </si>
  <si>
    <t>x</t>
  </si>
  <si>
    <t>Stronger advanced search options,Other (Please describe)</t>
  </si>
  <si>
    <t>old picture files format converted to lossless modern</t>
  </si>
  <si>
    <t>R_8PiZN3fnSjO5yxC</t>
  </si>
  <si>
    <t>Bulbapedia</t>
  </si>
  <si>
    <t>Fact-checking claims,Find primary source information (such as original sale prices of videogame products),Research historical games cultures,Other</t>
  </si>
  <si>
    <t>Original assets</t>
  </si>
  <si>
    <t>Improved tagging and metadata,Deeper document descriptions,Additional materials,Other (Please describe)</t>
  </si>
  <si>
    <t>Game tags rather than searching key words</t>
  </si>
  <si>
    <t>R_8q2OpPGOCcSTh6N</t>
  </si>
  <si>
    <t>R_7IjMfndxWrFE0M1</t>
  </si>
  <si>
    <t>podcast</t>
  </si>
  <si>
    <t>Find information on specific games,Share cultural artifacts with others</t>
  </si>
  <si>
    <t>R_70JxAKaidE4EovG</t>
  </si>
  <si>
    <t>To answer questions about games history,Find primary source information (such as original sale prices of videogame products),Find information on specific games,Share cultural artifacts with others,Personal enjoyment</t>
  </si>
  <si>
    <t>Stronger advanced search options,Connections to related objects</t>
  </si>
  <si>
    <t>I'm an amateur historian who has worked in the library field for more than a decade, but only recently realized that I could probably use those skills within the field of video games, as well. I'm currently using EndNote to try to compile all available interviews with FromSoftware president Hidetaka Miyazaki and the VGHF materials have been very helpful in pointing me towards sources I might not have otherwise used. Also: the collection of various press kits are excellent as someone who collects rare or uncommon items (slowly). Thanks for a fantastic archive.</t>
  </si>
  <si>
    <t>R_5g0ZhZu4NoBuBQ4</t>
  </si>
  <si>
    <t>To answer questions about games history,Find information on specific games</t>
  </si>
  <si>
    <t>disc images in iso format instead of bin and cue files!</t>
  </si>
  <si>
    <t>Backing up builds or assets on a separate drive</t>
  </si>
  <si>
    <t>dmg, iso, eps, psd, ai, dae</t>
  </si>
  <si>
    <t>Prototype,Beta,Demo,Other</t>
  </si>
  <si>
    <t>Any versions not published or only published / backed up in a limited capacity</t>
  </si>
  <si>
    <t>Video Game History Foundation Digital Library,The Internet Archive,The Cutting Room Floor,Community Discord servers</t>
  </si>
  <si>
    <t>Software (Digital),Production information &amp; metadata</t>
  </si>
  <si>
    <t>R_3dyxWkFkPYY6FBA</t>
  </si>
  <si>
    <t>Game Enthusiast or Collector,Game Industry (Non-Indie or Solo-dev),Game Industry (Indie, Solo-dev)</t>
  </si>
  <si>
    <t>Prototype and source code recovery,Published research (YouTube, blog posts)</t>
  </si>
  <si>
    <t>R_6PaNhxj8uhC72eu</t>
  </si>
  <si>
    <t>Bluesky,Instagram,Youtube,Email</t>
  </si>
  <si>
    <t>Software (Digital),Software (Physical),Hardware components (consoles or computing devices),Production information &amp; metadata,Historical production documentation</t>
  </si>
  <si>
    <t>R_5OqXFmjN4jWW2LT</t>
  </si>
  <si>
    <t>Connections to related objects,I am satisfied with my experience</t>
  </si>
  <si>
    <t>R_5m4yQFZlY48HHnE</t>
  </si>
  <si>
    <t>Deeper document descriptions,Connections to related objects,Additional materials,I am satisfied with my experience</t>
  </si>
  <si>
    <t>Organizing files into folders for future use,Uploading to a cloud storage solution,Backing up builds or assets on a separate drive</t>
  </si>
  <si>
    <t>Video Game History Foundation Digital Library,The Internet Archive,MobyGames,The Cutting Room Floor,Fan wikis,Community Discord servers</t>
  </si>
  <si>
    <t>R_5eoZbDLigFNSmFb</t>
  </si>
  <si>
    <t>R_6PTXhxU2FLDkm4e</t>
  </si>
  <si>
    <t>Game Enthusiast or Collector,Game Industry (Non-Indie or Solo-dev)</t>
  </si>
  <si>
    <t>R_6zw2MTtwchRbJQo</t>
  </si>
  <si>
    <t>R_3zG8M6w6asVhzlm</t>
  </si>
  <si>
    <t>R_8DCNXtF7pUA3keI</t>
  </si>
  <si>
    <t>Game Historian or Researcher (E.g., Industry, Academic),Game Industry (Indie, Solo-dev),Cultural Heritage Institutions (E.g., Libraries, Archives, or Museums)</t>
  </si>
  <si>
    <t>Improved tagging and metadata,Deeper document descriptions,Additional materials,I am satisfied with my experience</t>
  </si>
  <si>
    <t>R_4r09oRTBJIbO7vJ</t>
  </si>
  <si>
    <t>R_1DhaQWY2lzuaUHT</t>
  </si>
  <si>
    <t>tumblr</t>
  </si>
  <si>
    <t>Mass print materials (E.g., magazines, art, or flyers),Non-development materials (E.g., merchandise),Retail video games</t>
  </si>
  <si>
    <t>R_8dBDtgFBAZSSEGR</t>
  </si>
  <si>
    <t>Find primary source information (such as original sale prices of videogame products),Research historical games cultures,Find information on specific games,Share cultural artifacts with others</t>
  </si>
  <si>
    <t>More stuff!</t>
  </si>
  <si>
    <t>R_2GttEqGAP2b2O2J</t>
  </si>
  <si>
    <t>Gex</t>
  </si>
  <si>
    <t>R_5vOw7cCHfOETkad</t>
  </si>
  <si>
    <t>R_4ARuLY9LLQ2qqsB</t>
  </si>
  <si>
    <t>R_87lfjH3DRw8KWlb</t>
  </si>
  <si>
    <t>Telegram</t>
  </si>
  <si>
    <t>Stronger advanced search options,Connections to related objects,Additional materials</t>
  </si>
  <si>
    <t>Organizing files into folders for future use,Labeling work with dates to prepare for storage,Condensing assets for storage,Uploading to a cloud storage solution,Backing up builds or assets on a separate drive,Adding resource comments to your folders (Example: README.txt)</t>
  </si>
  <si>
    <t>.png, .psd, .txt, .doc, .gif, .avi</t>
  </si>
  <si>
    <t>Software (Digital),Production information &amp; metadata,Usage or player information data (e.g., statistics, scores, lets plays),Historical production documentation</t>
  </si>
  <si>
    <t>I use the materials to try and construct an accurate historical record (eg. the still not entirely clear split of Interplay and Steve Jackson Games back in 1997), and preserve the sources - the Digital Rot is pervasive and it's very easy to lose track of history and thus what actually happened. This is also important from my perspective to provide resources and information for future developers and players, in the moment that we are living in - something that has, in centuries past, led to losing a lot of vital context, forcing us to rely on assumptions in certain areas of studying the past.</t>
  </si>
  <si>
    <t>R_1OPU64XTQEzDx4T</t>
  </si>
  <si>
    <t>Game Historian or Researcher (E.g., Community, Journalist, or Independent),Game Historian or Researcher (E.g., Industry, Academic),Game Education (Instructor, Student)</t>
  </si>
  <si>
    <t>Find primary source information (such as original sale prices of videogame products),Research historical games cultures,Academic research</t>
  </si>
  <si>
    <t>Mostly finding reliable primary documents, fact-checking existing claims, and generally learning more about the context of historic game production</t>
  </si>
  <si>
    <t>Video Game History Foundation Digital Library,The Internet Archive,MobyGames,Industry data services (Steamdb, IGDB),Other</t>
  </si>
  <si>
    <t>Archives of existing game journalist sites</t>
  </si>
  <si>
    <t>R_7BeYbLfu35mW7Ei</t>
  </si>
  <si>
    <t>History hour podcast</t>
  </si>
  <si>
    <t>Find information on specific games,Personal enjoyment</t>
  </si>
  <si>
    <t>R_6oF3kW2o2HEMfz3</t>
  </si>
  <si>
    <t>R_5aFiCk62pQscIW5</t>
  </si>
  <si>
    <t>R_3M5PbgbpchEOJXM</t>
  </si>
  <si>
    <t>Improved tagging and metadata,Stronger advanced search options,Deeper document descriptions,Showing previously viewed documents,Additional materials</t>
  </si>
  <si>
    <t>R_5ZIkELIm289eCFu</t>
  </si>
  <si>
    <t>The digital library portal,Game preservation advocacy (Legislative, industry, and community),Prototype and source code recovery,VGHF presence at game events (E.g., pop-up museum, panels),Game industry partnerships (E.g., working on commercial games)</t>
  </si>
  <si>
    <t>don't remember</t>
  </si>
  <si>
    <t>Oral histories (E.g., interviews),Video game prototypes,Hardware (E.g., controllers, consoles)</t>
  </si>
  <si>
    <t>I've really enjoyed the candid demonstrations where frank has dumped old rom chips or talked about recovering basically trashed things from industry partners looking to offload an uncurated archive.</t>
  </si>
  <si>
    <t>Conventions</t>
  </si>
  <si>
    <t>R_6CehnT63eGHKaPJ</t>
  </si>
  <si>
    <t>I'd be interested in seeing the prototypes in the Mark Flitman collection be released. There's a lot of Dragon Ball-related stuff in there.</t>
  </si>
  <si>
    <t>R_7OBNVSzaZX1h2a5</t>
  </si>
  <si>
    <t>To answer questions about games history,Research historical games cultures,Find information on specific games,Personal enjoyment</t>
  </si>
  <si>
    <t>R_6anW1YvSx3tP57I</t>
  </si>
  <si>
    <t>Bluesky,Youtube,Patreon</t>
  </si>
  <si>
    <t>Fact-checking claims,To answer questions about games history,Find primary source information (such as original sale prices of videogame products),Research historical games cultures,Find information on specific games,Share cultural artifacts with others</t>
  </si>
  <si>
    <t>R_2P7yJ9JGonimvI4</t>
  </si>
  <si>
    <t>Organizing files into folders for future use,Labeling work with dates to prepare for storage,Condensing builds for storage (e.g, ZIP, 7z),Condensing assets for storage,Backing up builds or assets on a separate drive,Adding resource comments to your folders (Example: README.txt)</t>
  </si>
  <si>
    <t>Demo,Release,Final Version</t>
  </si>
  <si>
    <t>HAT SCORE</t>
  </si>
  <si>
    <t>Ball-Knowers</t>
  </si>
  <si>
    <t>Busy Bees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</si>
</sst>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2" fillId="0" borderId="0" xfId="0" applyFont="1"/>
  </cellXfs>
  <cellStyles count="1">
    <cellStyle name="Normal" xfId="0" builtinId="0"/>
  </cellStyles>
  <dxfs count="4">
    <dxf>
      <fill>
        <patternFill patternType="solid">
          <fgColor rgb="FF93C47D"/>
          <bgColor rgb="FF93C47D"/>
        </patternFill>
      </fill>
    </dxf>
    <dxf>
      <fill>
        <patternFill patternType="solid">
          <fgColor rgb="FFCCCCCC"/>
          <bgColor rgb="FFCCCCCC"/>
        </patternFill>
      </fill>
    </dxf>
    <dxf>
      <fill>
        <patternFill patternType="solid">
          <fgColor rgb="FF9FC5E8"/>
          <bgColor rgb="FF9FC5E8"/>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C144"/>
  <sheetViews>
    <sheetView tabSelected="1" topLeftCell="BH1" zoomScaleNormal="100" workbookViewId="0">
      <pane ySplit="2" topLeftCell="A3" activePane="bottomLeft" state="frozen"/>
      <selection pane="bottomLeft" activeCell="BN3" sqref="BN3"/>
    </sheetView>
  </sheetViews>
  <sheetFormatPr defaultColWidth="12.6640625" defaultRowHeight="15.75" customHeight="1" x14ac:dyDescent="0.25"/>
  <cols>
    <col min="5" max="5" width="22.77734375" customWidth="1"/>
    <col min="6" max="6" width="40" customWidth="1"/>
    <col min="7" max="7" width="36.77734375" customWidth="1"/>
    <col min="8" max="8" width="29.21875" customWidth="1"/>
  </cols>
  <sheetData>
    <row r="1" spans="1:107" x14ac:dyDescent="0.25">
      <c r="A1" s="1" t="s">
        <v>0</v>
      </c>
      <c r="B1" s="1" t="s">
        <v>1</v>
      </c>
      <c r="C1" s="1" t="s">
        <v>2</v>
      </c>
      <c r="D1" s="1" t="s">
        <v>3</v>
      </c>
      <c r="E1" s="1" t="s">
        <v>4</v>
      </c>
      <c r="F1" s="1" t="s">
        <v>5</v>
      </c>
      <c r="G1" s="1" t="s">
        <v>6</v>
      </c>
      <c r="H1" s="1" t="s">
        <v>7</v>
      </c>
      <c r="I1" s="1" t="s">
        <v>8</v>
      </c>
      <c r="J1" s="1" t="s">
        <v>9</v>
      </c>
      <c r="K1" s="1" t="s">
        <v>10</v>
      </c>
      <c r="L1" s="3" t="s">
        <v>801</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3" t="s">
        <v>802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3" t="s">
        <v>803</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row>
    <row r="2" spans="1:107" x14ac:dyDescent="0.25">
      <c r="A2" s="1" t="s">
        <v>0</v>
      </c>
      <c r="B2" s="1" t="s">
        <v>104</v>
      </c>
      <c r="C2" s="1" t="s">
        <v>105</v>
      </c>
      <c r="D2" s="1" t="s">
        <v>106</v>
      </c>
      <c r="E2" s="1"/>
      <c r="F2" s="1"/>
      <c r="G2" s="1"/>
      <c r="H2" s="1"/>
      <c r="I2" s="1"/>
      <c r="J2" s="1"/>
      <c r="K2" s="1"/>
      <c r="L2" s="1"/>
      <c r="M2" s="1" t="s">
        <v>107</v>
      </c>
      <c r="N2" s="1" t="s">
        <v>108</v>
      </c>
      <c r="O2" s="1"/>
      <c r="P2" s="1"/>
      <c r="Q2" s="1"/>
      <c r="R2" s="1"/>
      <c r="S2" s="1"/>
      <c r="T2" s="1"/>
      <c r="U2" s="1" t="s">
        <v>109</v>
      </c>
      <c r="V2" s="1" t="s">
        <v>110</v>
      </c>
      <c r="W2" s="1"/>
      <c r="X2" s="1"/>
      <c r="Y2" s="1"/>
      <c r="Z2" s="1"/>
      <c r="AA2" s="1"/>
      <c r="AB2" s="1" t="s">
        <v>111</v>
      </c>
      <c r="AC2" s="1"/>
      <c r="AD2" s="1"/>
      <c r="AE2" s="1"/>
      <c r="AF2" s="1"/>
      <c r="AG2" s="1"/>
      <c r="AH2" s="1"/>
      <c r="AI2" s="1"/>
      <c r="AJ2" s="1" t="s">
        <v>112</v>
      </c>
      <c r="AK2" s="1" t="s">
        <v>113</v>
      </c>
      <c r="AL2" s="1"/>
      <c r="AM2" s="1"/>
      <c r="AN2" s="1"/>
      <c r="AO2" s="1"/>
      <c r="AP2" s="1"/>
      <c r="AQ2" s="1"/>
      <c r="AR2" s="1"/>
      <c r="AS2" s="1"/>
      <c r="AT2" s="1" t="s">
        <v>114</v>
      </c>
      <c r="AU2" s="1" t="s">
        <v>115</v>
      </c>
      <c r="AV2" s="1"/>
      <c r="AW2" s="1"/>
      <c r="AX2" s="1"/>
      <c r="AY2" s="1" t="s">
        <v>116</v>
      </c>
      <c r="AZ2" s="1" t="s">
        <v>117</v>
      </c>
      <c r="BA2" s="1" t="s">
        <v>118</v>
      </c>
      <c r="BB2" s="1"/>
      <c r="BC2" s="1"/>
      <c r="BD2" s="1"/>
      <c r="BE2" s="1"/>
      <c r="BF2" s="1"/>
      <c r="BG2" s="1"/>
      <c r="BH2" s="1"/>
      <c r="BI2" s="1"/>
      <c r="BJ2" s="1"/>
      <c r="BK2" s="1"/>
      <c r="BL2" s="1" t="s">
        <v>119</v>
      </c>
      <c r="BM2" s="1" t="s">
        <v>120</v>
      </c>
      <c r="BN2" s="1" t="s">
        <v>121</v>
      </c>
      <c r="BO2" s="1"/>
      <c r="BP2" s="1"/>
      <c r="BQ2" s="1"/>
      <c r="BR2" s="1"/>
      <c r="BS2" s="1"/>
      <c r="BT2" s="1"/>
      <c r="BU2" s="1"/>
      <c r="BV2" s="1" t="s">
        <v>122</v>
      </c>
      <c r="BW2" s="1" t="s">
        <v>123</v>
      </c>
      <c r="BX2" s="1" t="s">
        <v>124</v>
      </c>
      <c r="BY2" s="1" t="s">
        <v>125</v>
      </c>
      <c r="BZ2" s="1" t="s">
        <v>126</v>
      </c>
      <c r="CA2" s="1" t="s">
        <v>127</v>
      </c>
      <c r="CB2" s="1" t="s">
        <v>128</v>
      </c>
      <c r="CC2" s="1" t="s">
        <v>129</v>
      </c>
      <c r="CD2" s="1" t="s">
        <v>130</v>
      </c>
      <c r="CE2" s="1" t="s">
        <v>131</v>
      </c>
      <c r="CF2" s="1" t="s">
        <v>132</v>
      </c>
      <c r="CG2" s="1" t="s">
        <v>133</v>
      </c>
      <c r="CH2" s="1" t="s">
        <v>134</v>
      </c>
      <c r="CI2" s="1" t="s">
        <v>135</v>
      </c>
      <c r="CJ2" s="1" t="s">
        <v>136</v>
      </c>
      <c r="CK2" s="1" t="s">
        <v>137</v>
      </c>
      <c r="CL2" s="1" t="s">
        <v>138</v>
      </c>
      <c r="CM2" s="1" t="s">
        <v>139</v>
      </c>
      <c r="CN2" s="1" t="s">
        <v>140</v>
      </c>
      <c r="CO2" s="1" t="s">
        <v>141</v>
      </c>
      <c r="CP2" s="1" t="s">
        <v>142</v>
      </c>
      <c r="CQ2" s="1" t="s">
        <v>143</v>
      </c>
      <c r="CR2" s="1" t="s">
        <v>144</v>
      </c>
      <c r="CS2" s="1" t="s">
        <v>145</v>
      </c>
      <c r="CT2" s="1" t="s">
        <v>146</v>
      </c>
      <c r="CU2" s="1" t="s">
        <v>147</v>
      </c>
      <c r="CV2" s="1" t="s">
        <v>148</v>
      </c>
      <c r="CW2" s="1" t="s">
        <v>149</v>
      </c>
      <c r="CX2" s="1" t="s">
        <v>150</v>
      </c>
      <c r="CY2" s="1" t="s">
        <v>151</v>
      </c>
      <c r="CZ2" s="1" t="s">
        <v>152</v>
      </c>
      <c r="DA2" s="1" t="s">
        <v>153</v>
      </c>
      <c r="DB2" s="1" t="s">
        <v>149</v>
      </c>
      <c r="DC2" s="1" t="s">
        <v>154</v>
      </c>
    </row>
    <row r="3" spans="1:107" x14ac:dyDescent="0.25">
      <c r="A3" s="1" t="b">
        <v>1</v>
      </c>
      <c r="B3" s="2">
        <v>46149.201261574075</v>
      </c>
      <c r="C3" s="1" t="s">
        <v>155</v>
      </c>
      <c r="D3" s="1" t="s">
        <v>156</v>
      </c>
      <c r="E3">
        <f>IF(ISNUMBER(SEARCH(E$1,$D3)), SEARCH(E$1,$D3), 0)</f>
        <v>1</v>
      </c>
      <c r="F3">
        <f t="shared" ref="F3:K18" si="0">IF(ISNUMBER(SEARCH(F$1,$D3)), SEARCH(F$1,$D3), 0)</f>
        <v>0</v>
      </c>
      <c r="G3">
        <f t="shared" si="0"/>
        <v>0</v>
      </c>
      <c r="H3">
        <f t="shared" si="0"/>
        <v>0</v>
      </c>
      <c r="I3">
        <f t="shared" si="0"/>
        <v>30</v>
      </c>
      <c r="J3">
        <f t="shared" si="0"/>
        <v>62</v>
      </c>
      <c r="K3">
        <f t="shared" si="0"/>
        <v>0</v>
      </c>
      <c r="L3">
        <f>(MAX(E3:K3))</f>
        <v>62</v>
      </c>
      <c r="N3" s="1" t="s">
        <v>157</v>
      </c>
      <c r="O3" s="1"/>
      <c r="P3" s="1"/>
      <c r="Q3" s="1"/>
      <c r="R3" s="1"/>
      <c r="S3" s="1"/>
      <c r="T3" s="1"/>
      <c r="U3" s="1" t="s">
        <v>158</v>
      </c>
      <c r="W3" s="1" t="str">
        <f t="shared" ref="W3:AA3" si="1">IF(W$1=$V3, "True", "False")</f>
        <v>False</v>
      </c>
      <c r="X3" s="1" t="str">
        <f t="shared" si="1"/>
        <v>False</v>
      </c>
      <c r="Y3" s="1" t="str">
        <f t="shared" si="1"/>
        <v>False</v>
      </c>
      <c r="Z3" s="1" t="str">
        <f t="shared" si="1"/>
        <v>False</v>
      </c>
      <c r="AA3" s="1" t="str">
        <f t="shared" si="1"/>
        <v>False</v>
      </c>
      <c r="AB3" s="1" t="s">
        <v>159</v>
      </c>
      <c r="AC3">
        <f>IF(ISNUMBER(SEARCH(AC$1,$AB3)), 1, 0)</f>
        <v>1</v>
      </c>
      <c r="AD3">
        <f t="shared" ref="AD3:AH18" si="2">IF(ISNUMBER(SEARCH(AD$1,$AB3)), 1, 0)</f>
        <v>1</v>
      </c>
      <c r="AE3">
        <f t="shared" si="2"/>
        <v>0</v>
      </c>
      <c r="AF3">
        <f t="shared" si="2"/>
        <v>0</v>
      </c>
      <c r="AG3">
        <f t="shared" si="2"/>
        <v>0</v>
      </c>
      <c r="AH3">
        <f t="shared" si="2"/>
        <v>0</v>
      </c>
      <c r="AI3" s="1">
        <f>SUM(AC3:AH3)</f>
        <v>2</v>
      </c>
      <c r="AJ3" s="1" t="s">
        <v>160</v>
      </c>
      <c r="AK3" s="1" t="s">
        <v>161</v>
      </c>
      <c r="AL3">
        <f>IF(ISNUMBER(SEARCH(AL$1,$AK3)), 1, 0)</f>
        <v>0</v>
      </c>
      <c r="AM3">
        <f t="shared" ref="AM3:AS18" si="3">IF(ISNUMBER(SEARCH(AM$1,$AK3)), 1, 0)</f>
        <v>1</v>
      </c>
      <c r="AN3">
        <f t="shared" si="3"/>
        <v>0</v>
      </c>
      <c r="AO3">
        <f t="shared" si="3"/>
        <v>1</v>
      </c>
      <c r="AP3">
        <f t="shared" si="3"/>
        <v>0</v>
      </c>
      <c r="AQ3">
        <f t="shared" si="3"/>
        <v>1</v>
      </c>
      <c r="AR3">
        <f t="shared" si="3"/>
        <v>1</v>
      </c>
      <c r="AS3">
        <f t="shared" si="3"/>
        <v>0</v>
      </c>
      <c r="AU3" s="1" t="s">
        <v>46</v>
      </c>
      <c r="AV3" s="1">
        <f>IF($AU3="No",1,0)</f>
        <v>0</v>
      </c>
      <c r="AW3" s="1">
        <f>IF($AU3="Yes",1,0)</f>
        <v>1</v>
      </c>
      <c r="AX3" s="1">
        <f>IF($AU3="Unsure",1,0)</f>
        <v>0</v>
      </c>
      <c r="AY3" s="1" t="s">
        <v>46</v>
      </c>
      <c r="BA3" s="1" t="s">
        <v>162</v>
      </c>
      <c r="BB3">
        <f>IF(ISNUMBER(SEARCH(BB$1,$BA3)), 1, 0)</f>
        <v>1</v>
      </c>
      <c r="BC3">
        <f t="shared" ref="BC3:BJ18" si="4">IF(ISNUMBER(SEARCH(BC$1,$BA3)), 1, 0)</f>
        <v>1</v>
      </c>
      <c r="BD3">
        <f t="shared" si="4"/>
        <v>1</v>
      </c>
      <c r="BE3">
        <f t="shared" si="4"/>
        <v>1</v>
      </c>
      <c r="BF3">
        <f t="shared" si="4"/>
        <v>1</v>
      </c>
      <c r="BG3">
        <f t="shared" si="4"/>
        <v>1</v>
      </c>
      <c r="BH3">
        <f t="shared" si="4"/>
        <v>1</v>
      </c>
      <c r="BI3">
        <f t="shared" si="4"/>
        <v>1</v>
      </c>
      <c r="BJ3">
        <f t="shared" si="4"/>
        <v>1</v>
      </c>
      <c r="BK3">
        <f>SUM(BB3:BJ3)</f>
        <v>9</v>
      </c>
      <c r="BM3" s="1" t="s">
        <v>163</v>
      </c>
      <c r="BN3" s="1" t="s">
        <v>164</v>
      </c>
      <c r="BO3">
        <f>IF(ISNUMBER(SEARCH(BO$1,$BN3)), 1, 0)</f>
        <v>1</v>
      </c>
      <c r="BP3">
        <f t="shared" ref="BP3:BU18" si="5">IF(ISNUMBER(SEARCH(BP$1,$BN3)), 1, 0)</f>
        <v>1</v>
      </c>
      <c r="BQ3">
        <f t="shared" si="5"/>
        <v>0</v>
      </c>
      <c r="BR3">
        <f t="shared" si="5"/>
        <v>1</v>
      </c>
      <c r="BS3">
        <f t="shared" si="5"/>
        <v>1</v>
      </c>
      <c r="BT3">
        <f t="shared" si="5"/>
        <v>1</v>
      </c>
      <c r="BU3">
        <f t="shared" si="5"/>
        <v>0</v>
      </c>
      <c r="BV3" s="1" t="s">
        <v>165</v>
      </c>
      <c r="BW3" s="1" t="s">
        <v>166</v>
      </c>
      <c r="BY3" s="1" t="s">
        <v>167</v>
      </c>
      <c r="BZ3" s="1" t="s">
        <v>168</v>
      </c>
      <c r="CA3" s="1" t="s">
        <v>169</v>
      </c>
      <c r="CH3" s="1" t="s">
        <v>170</v>
      </c>
      <c r="CI3" s="1" t="s">
        <v>171</v>
      </c>
      <c r="CJ3" s="1" t="s">
        <v>172</v>
      </c>
      <c r="CK3" s="1" t="s">
        <v>173</v>
      </c>
      <c r="CL3" s="1" t="s">
        <v>174</v>
      </c>
      <c r="CR3" s="1" t="s">
        <v>175</v>
      </c>
      <c r="CT3" s="1" t="s">
        <v>176</v>
      </c>
      <c r="DC3" s="1" t="s">
        <v>177</v>
      </c>
    </row>
    <row r="4" spans="1:107" x14ac:dyDescent="0.25">
      <c r="A4" s="1" t="b">
        <v>1</v>
      </c>
      <c r="B4" s="2">
        <v>46149.844108796293</v>
      </c>
      <c r="C4" s="1" t="s">
        <v>178</v>
      </c>
      <c r="D4" s="1" t="s">
        <v>4</v>
      </c>
      <c r="E4">
        <f t="shared" ref="E4:K19" si="6">IF(ISNUMBER(SEARCH(E$1,$D4)), SEARCH(E$1,$D4), 0)</f>
        <v>1</v>
      </c>
      <c r="F4">
        <f t="shared" si="0"/>
        <v>0</v>
      </c>
      <c r="G4">
        <f t="shared" si="0"/>
        <v>0</v>
      </c>
      <c r="H4">
        <f t="shared" si="0"/>
        <v>0</v>
      </c>
      <c r="I4">
        <f t="shared" si="0"/>
        <v>0</v>
      </c>
      <c r="J4">
        <f t="shared" si="0"/>
        <v>0</v>
      </c>
      <c r="K4">
        <f t="shared" si="0"/>
        <v>0</v>
      </c>
      <c r="L4">
        <f t="shared" ref="L4:L67" si="7">(MAX(E4:K4))</f>
        <v>1</v>
      </c>
      <c r="N4" s="1" t="s">
        <v>179</v>
      </c>
      <c r="O4" s="1"/>
      <c r="P4" s="1"/>
      <c r="Q4" s="1"/>
      <c r="R4" s="1"/>
      <c r="S4" s="1"/>
      <c r="T4" s="1"/>
      <c r="V4" s="1" t="s">
        <v>21</v>
      </c>
      <c r="W4" s="1" t="str">
        <f t="shared" ref="W4:AA4" si="8">IF(W$1=$V4, "True", "False")</f>
        <v>True</v>
      </c>
      <c r="X4" s="1" t="str">
        <f t="shared" si="8"/>
        <v>False</v>
      </c>
      <c r="Y4" s="1" t="str">
        <f t="shared" si="8"/>
        <v>False</v>
      </c>
      <c r="Z4" s="1" t="str">
        <f t="shared" si="8"/>
        <v>False</v>
      </c>
      <c r="AA4" s="1" t="str">
        <f t="shared" si="8"/>
        <v>False</v>
      </c>
      <c r="AB4" s="1" t="s">
        <v>180</v>
      </c>
      <c r="AC4">
        <f t="shared" ref="AC4:AH19" si="9">IF(ISNUMBER(SEARCH(AC$1,$AB4)), 1, 0)</f>
        <v>0</v>
      </c>
      <c r="AD4">
        <f t="shared" si="2"/>
        <v>0</v>
      </c>
      <c r="AE4">
        <f t="shared" si="2"/>
        <v>0</v>
      </c>
      <c r="AF4">
        <f t="shared" si="2"/>
        <v>0</v>
      </c>
      <c r="AG4">
        <f t="shared" si="2"/>
        <v>0</v>
      </c>
      <c r="AH4">
        <f t="shared" si="2"/>
        <v>0</v>
      </c>
      <c r="AI4" s="1">
        <f t="shared" ref="AI4:AI67" si="10">SUM(AC4:AH4)</f>
        <v>0</v>
      </c>
      <c r="AJ4" s="1" t="s">
        <v>181</v>
      </c>
      <c r="AK4" s="1" t="s">
        <v>36</v>
      </c>
      <c r="AL4">
        <f t="shared" ref="AL4:AS19" si="11">IF(ISNUMBER(SEARCH(AL$1,$AK4)), 1, 0)</f>
        <v>0</v>
      </c>
      <c r="AM4">
        <f t="shared" si="3"/>
        <v>1</v>
      </c>
      <c r="AN4">
        <f t="shared" si="3"/>
        <v>0</v>
      </c>
      <c r="AO4">
        <f t="shared" si="3"/>
        <v>0</v>
      </c>
      <c r="AP4">
        <f t="shared" si="3"/>
        <v>0</v>
      </c>
      <c r="AQ4">
        <f t="shared" si="3"/>
        <v>0</v>
      </c>
      <c r="AR4">
        <f t="shared" si="3"/>
        <v>0</v>
      </c>
      <c r="AS4">
        <f t="shared" si="3"/>
        <v>0</v>
      </c>
      <c r="AU4" s="1" t="s">
        <v>45</v>
      </c>
      <c r="AV4" s="1">
        <f>IF($AU4="No",1,0)</f>
        <v>1</v>
      </c>
      <c r="AW4" s="1">
        <f>IF($AU4="Yes",1,0)</f>
        <v>0</v>
      </c>
      <c r="AX4" s="1">
        <f>IF($AU4="Unsure",1,0)</f>
        <v>0</v>
      </c>
      <c r="AY4" s="1" t="s">
        <v>46</v>
      </c>
      <c r="BA4" s="1" t="s">
        <v>182</v>
      </c>
      <c r="BB4">
        <f t="shared" ref="BB4:BJ19" si="12">IF(ISNUMBER(SEARCH(BB$1,$BA4)), 1, 0)</f>
        <v>0</v>
      </c>
      <c r="BC4">
        <f t="shared" si="4"/>
        <v>1</v>
      </c>
      <c r="BD4">
        <f t="shared" si="4"/>
        <v>0</v>
      </c>
      <c r="BE4">
        <f t="shared" si="4"/>
        <v>1</v>
      </c>
      <c r="BF4">
        <f t="shared" si="4"/>
        <v>0</v>
      </c>
      <c r="BG4">
        <f t="shared" si="4"/>
        <v>0</v>
      </c>
      <c r="BH4">
        <f t="shared" si="4"/>
        <v>0</v>
      </c>
      <c r="BI4">
        <f t="shared" si="4"/>
        <v>0</v>
      </c>
      <c r="BJ4">
        <f t="shared" si="4"/>
        <v>1</v>
      </c>
      <c r="BK4">
        <f t="shared" ref="BK4:BK67" si="13">SUM(BB4:BJ4)</f>
        <v>3</v>
      </c>
      <c r="BM4" s="1" t="s">
        <v>163</v>
      </c>
      <c r="BN4" s="1" t="s">
        <v>68</v>
      </c>
      <c r="BO4">
        <f t="shared" ref="BO4:BU19" si="14">IF(ISNUMBER(SEARCH(BO$1,$BN4)), 1, 0)</f>
        <v>0</v>
      </c>
      <c r="BP4">
        <f t="shared" si="5"/>
        <v>0</v>
      </c>
      <c r="BQ4">
        <f t="shared" si="5"/>
        <v>0</v>
      </c>
      <c r="BR4">
        <f t="shared" si="5"/>
        <v>0</v>
      </c>
      <c r="BS4">
        <f t="shared" si="5"/>
        <v>0</v>
      </c>
      <c r="BT4">
        <f t="shared" si="5"/>
        <v>1</v>
      </c>
      <c r="BU4">
        <f t="shared" si="5"/>
        <v>0</v>
      </c>
      <c r="DC4" s="1" t="s">
        <v>177</v>
      </c>
    </row>
    <row r="5" spans="1:107" x14ac:dyDescent="0.25">
      <c r="A5" s="1" t="b">
        <v>1</v>
      </c>
      <c r="B5" s="2">
        <v>46149.891053240739</v>
      </c>
      <c r="C5" s="1" t="s">
        <v>183</v>
      </c>
      <c r="D5" s="1" t="s">
        <v>4</v>
      </c>
      <c r="E5">
        <f t="shared" si="6"/>
        <v>1</v>
      </c>
      <c r="F5">
        <f t="shared" si="0"/>
        <v>0</v>
      </c>
      <c r="G5">
        <f t="shared" si="0"/>
        <v>0</v>
      </c>
      <c r="H5">
        <f t="shared" si="0"/>
        <v>0</v>
      </c>
      <c r="I5">
        <f t="shared" si="0"/>
        <v>0</v>
      </c>
      <c r="J5">
        <f t="shared" si="0"/>
        <v>0</v>
      </c>
      <c r="K5">
        <f t="shared" si="0"/>
        <v>0</v>
      </c>
      <c r="L5">
        <f t="shared" si="7"/>
        <v>1</v>
      </c>
      <c r="N5" s="1" t="s">
        <v>184</v>
      </c>
      <c r="O5" s="1"/>
      <c r="P5" s="1"/>
      <c r="Q5" s="1"/>
      <c r="R5" s="1"/>
      <c r="S5" s="1"/>
      <c r="T5" s="1"/>
      <c r="W5" s="1" t="str">
        <f t="shared" ref="W5:AA5" si="15">IF(W$1=$V5, "True", "False")</f>
        <v>False</v>
      </c>
      <c r="X5" s="1" t="str">
        <f t="shared" si="15"/>
        <v>False</v>
      </c>
      <c r="Y5" s="1" t="str">
        <f t="shared" si="15"/>
        <v>False</v>
      </c>
      <c r="Z5" s="1" t="str">
        <f t="shared" si="15"/>
        <v>False</v>
      </c>
      <c r="AA5" s="1" t="str">
        <f t="shared" si="15"/>
        <v>False</v>
      </c>
      <c r="AB5" s="1" t="s">
        <v>185</v>
      </c>
      <c r="AC5">
        <f t="shared" si="9"/>
        <v>0</v>
      </c>
      <c r="AD5">
        <f t="shared" si="2"/>
        <v>0</v>
      </c>
      <c r="AE5">
        <f t="shared" si="2"/>
        <v>1</v>
      </c>
      <c r="AF5">
        <f t="shared" si="2"/>
        <v>1</v>
      </c>
      <c r="AG5">
        <f t="shared" si="2"/>
        <v>0</v>
      </c>
      <c r="AH5">
        <f t="shared" si="2"/>
        <v>0</v>
      </c>
      <c r="AI5" s="1">
        <f t="shared" si="10"/>
        <v>2</v>
      </c>
      <c r="AK5" s="1" t="s">
        <v>186</v>
      </c>
      <c r="AL5">
        <f t="shared" si="11"/>
        <v>1</v>
      </c>
      <c r="AM5">
        <f t="shared" si="3"/>
        <v>1</v>
      </c>
      <c r="AN5">
        <f t="shared" si="3"/>
        <v>1</v>
      </c>
      <c r="AO5">
        <f t="shared" si="3"/>
        <v>1</v>
      </c>
      <c r="AP5">
        <f t="shared" si="3"/>
        <v>0</v>
      </c>
      <c r="AQ5">
        <f t="shared" si="3"/>
        <v>1</v>
      </c>
      <c r="AR5">
        <f t="shared" si="3"/>
        <v>0</v>
      </c>
      <c r="AS5">
        <f t="shared" si="3"/>
        <v>0</v>
      </c>
      <c r="AU5" s="1" t="s">
        <v>45</v>
      </c>
      <c r="AV5" s="1">
        <f>IF($AU5="No",1,0)</f>
        <v>1</v>
      </c>
      <c r="AW5" s="1">
        <f>IF($AU5="Yes",1,0)</f>
        <v>0</v>
      </c>
      <c r="AX5" s="1">
        <f>IF($AU5="Unsure",1,0)</f>
        <v>0</v>
      </c>
      <c r="AY5" s="1" t="s">
        <v>46</v>
      </c>
      <c r="BA5" s="1" t="s">
        <v>59</v>
      </c>
      <c r="BB5">
        <f t="shared" si="12"/>
        <v>0</v>
      </c>
      <c r="BC5">
        <f t="shared" si="4"/>
        <v>0</v>
      </c>
      <c r="BD5">
        <f t="shared" si="4"/>
        <v>0</v>
      </c>
      <c r="BE5">
        <f t="shared" si="4"/>
        <v>0</v>
      </c>
      <c r="BF5">
        <f t="shared" si="4"/>
        <v>0</v>
      </c>
      <c r="BG5">
        <f t="shared" si="4"/>
        <v>0</v>
      </c>
      <c r="BH5">
        <f t="shared" si="4"/>
        <v>0</v>
      </c>
      <c r="BI5">
        <f t="shared" si="4"/>
        <v>0</v>
      </c>
      <c r="BJ5">
        <f t="shared" si="4"/>
        <v>1</v>
      </c>
      <c r="BK5">
        <f t="shared" si="13"/>
        <v>1</v>
      </c>
      <c r="BM5" s="1" t="s">
        <v>187</v>
      </c>
      <c r="BN5" s="1" t="s">
        <v>69</v>
      </c>
      <c r="BO5">
        <f t="shared" si="14"/>
        <v>0</v>
      </c>
      <c r="BP5">
        <f t="shared" si="5"/>
        <v>0</v>
      </c>
      <c r="BQ5">
        <f t="shared" si="5"/>
        <v>0</v>
      </c>
      <c r="BR5">
        <f t="shared" si="5"/>
        <v>0</v>
      </c>
      <c r="BS5">
        <f t="shared" si="5"/>
        <v>0</v>
      </c>
      <c r="BT5">
        <f t="shared" si="5"/>
        <v>0</v>
      </c>
      <c r="BU5">
        <f t="shared" si="5"/>
        <v>1</v>
      </c>
      <c r="DC5" s="1" t="s">
        <v>177</v>
      </c>
    </row>
    <row r="6" spans="1:107" x14ac:dyDescent="0.25">
      <c r="A6" s="1" t="b">
        <v>1</v>
      </c>
      <c r="B6" s="2">
        <v>46150.640046296299</v>
      </c>
      <c r="C6" s="1" t="s">
        <v>188</v>
      </c>
      <c r="D6" s="1" t="s">
        <v>189</v>
      </c>
      <c r="E6">
        <f t="shared" si="6"/>
        <v>1</v>
      </c>
      <c r="F6">
        <f t="shared" si="0"/>
        <v>30</v>
      </c>
      <c r="G6">
        <f t="shared" si="0"/>
        <v>0</v>
      </c>
      <c r="H6">
        <f t="shared" si="0"/>
        <v>0</v>
      </c>
      <c r="I6">
        <f t="shared" si="0"/>
        <v>0</v>
      </c>
      <c r="J6">
        <f t="shared" si="0"/>
        <v>0</v>
      </c>
      <c r="K6">
        <f t="shared" si="0"/>
        <v>105</v>
      </c>
      <c r="L6">
        <f t="shared" si="7"/>
        <v>105</v>
      </c>
      <c r="N6" s="1" t="s">
        <v>190</v>
      </c>
      <c r="O6" s="1"/>
      <c r="P6" s="1"/>
      <c r="Q6" s="1"/>
      <c r="R6" s="1"/>
      <c r="S6" s="1"/>
      <c r="T6" s="1"/>
      <c r="U6" s="1" t="s">
        <v>191</v>
      </c>
      <c r="W6" s="1" t="str">
        <f t="shared" ref="W6:AA6" si="16">IF(W$1=$V6, "True", "False")</f>
        <v>False</v>
      </c>
      <c r="X6" s="1" t="str">
        <f t="shared" si="16"/>
        <v>False</v>
      </c>
      <c r="Y6" s="1" t="str">
        <f t="shared" si="16"/>
        <v>False</v>
      </c>
      <c r="Z6" s="1" t="str">
        <f t="shared" si="16"/>
        <v>False</v>
      </c>
      <c r="AA6" s="1" t="str">
        <f t="shared" si="16"/>
        <v>False</v>
      </c>
      <c r="AB6" s="1" t="s">
        <v>180</v>
      </c>
      <c r="AC6">
        <f t="shared" si="9"/>
        <v>0</v>
      </c>
      <c r="AD6">
        <f t="shared" si="2"/>
        <v>0</v>
      </c>
      <c r="AE6">
        <f t="shared" si="2"/>
        <v>0</v>
      </c>
      <c r="AF6">
        <f t="shared" si="2"/>
        <v>0</v>
      </c>
      <c r="AG6">
        <f t="shared" si="2"/>
        <v>0</v>
      </c>
      <c r="AH6">
        <f t="shared" si="2"/>
        <v>0</v>
      </c>
      <c r="AI6" s="1">
        <f t="shared" si="10"/>
        <v>0</v>
      </c>
      <c r="AJ6" s="1" t="s">
        <v>192</v>
      </c>
      <c r="AK6" s="1" t="s">
        <v>193</v>
      </c>
      <c r="AL6">
        <f t="shared" si="11"/>
        <v>0</v>
      </c>
      <c r="AM6">
        <f t="shared" si="3"/>
        <v>0</v>
      </c>
      <c r="AN6">
        <f t="shared" si="3"/>
        <v>0</v>
      </c>
      <c r="AO6">
        <f t="shared" si="3"/>
        <v>0</v>
      </c>
      <c r="AP6">
        <f t="shared" si="3"/>
        <v>0</v>
      </c>
      <c r="AQ6">
        <f t="shared" si="3"/>
        <v>1</v>
      </c>
      <c r="AR6">
        <f t="shared" si="3"/>
        <v>1</v>
      </c>
      <c r="AS6">
        <f t="shared" si="3"/>
        <v>1</v>
      </c>
      <c r="AU6" s="1" t="s">
        <v>47</v>
      </c>
      <c r="AV6" s="1">
        <f>IF($AU6="No",1,0)</f>
        <v>0</v>
      </c>
      <c r="AW6" s="1">
        <f>IF($AU6="Yes",1,0)</f>
        <v>0</v>
      </c>
      <c r="AX6" s="1">
        <f>IF($AU6="Unsure",1,0)</f>
        <v>1</v>
      </c>
      <c r="AY6" s="1" t="s">
        <v>46</v>
      </c>
      <c r="BA6" s="1" t="s">
        <v>194</v>
      </c>
      <c r="BB6">
        <f t="shared" si="12"/>
        <v>0</v>
      </c>
      <c r="BC6">
        <f t="shared" si="4"/>
        <v>0</v>
      </c>
      <c r="BD6">
        <f t="shared" si="4"/>
        <v>1</v>
      </c>
      <c r="BE6">
        <f t="shared" si="4"/>
        <v>1</v>
      </c>
      <c r="BF6">
        <f t="shared" si="4"/>
        <v>1</v>
      </c>
      <c r="BG6">
        <f t="shared" si="4"/>
        <v>0</v>
      </c>
      <c r="BH6">
        <f t="shared" si="4"/>
        <v>0</v>
      </c>
      <c r="BI6">
        <f t="shared" si="4"/>
        <v>0</v>
      </c>
      <c r="BJ6">
        <f t="shared" si="4"/>
        <v>1</v>
      </c>
      <c r="BK6">
        <f t="shared" si="13"/>
        <v>4</v>
      </c>
      <c r="BM6" s="1" t="s">
        <v>163</v>
      </c>
      <c r="BN6" s="1" t="s">
        <v>195</v>
      </c>
      <c r="BO6">
        <f t="shared" si="14"/>
        <v>1</v>
      </c>
      <c r="BP6">
        <f t="shared" si="5"/>
        <v>1</v>
      </c>
      <c r="BQ6">
        <f t="shared" si="5"/>
        <v>0</v>
      </c>
      <c r="BR6">
        <f t="shared" si="5"/>
        <v>1</v>
      </c>
      <c r="BS6">
        <f t="shared" si="5"/>
        <v>0</v>
      </c>
      <c r="BT6">
        <f t="shared" si="5"/>
        <v>0</v>
      </c>
      <c r="BU6">
        <f t="shared" si="5"/>
        <v>1</v>
      </c>
      <c r="BV6" s="1" t="s">
        <v>196</v>
      </c>
      <c r="CM6" s="1" t="s">
        <v>46</v>
      </c>
      <c r="CN6" s="1" t="s">
        <v>197</v>
      </c>
      <c r="CO6" s="1" t="s">
        <v>198</v>
      </c>
      <c r="CX6" s="1" t="s">
        <v>199</v>
      </c>
      <c r="CY6" s="1" t="s">
        <v>192</v>
      </c>
      <c r="CZ6" s="1" t="s">
        <v>200</v>
      </c>
      <c r="DA6" s="1" t="s">
        <v>201</v>
      </c>
      <c r="DB6" s="1" t="s">
        <v>202</v>
      </c>
      <c r="DC6" s="1" t="s">
        <v>177</v>
      </c>
    </row>
    <row r="7" spans="1:107" x14ac:dyDescent="0.25">
      <c r="A7" s="1" t="b">
        <v>1</v>
      </c>
      <c r="B7" s="2">
        <v>46150.797233796293</v>
      </c>
      <c r="C7" s="1" t="s">
        <v>203</v>
      </c>
      <c r="D7" s="1" t="s">
        <v>204</v>
      </c>
      <c r="E7">
        <f t="shared" si="6"/>
        <v>1</v>
      </c>
      <c r="F7">
        <f t="shared" si="0"/>
        <v>30</v>
      </c>
      <c r="G7">
        <f t="shared" si="0"/>
        <v>0</v>
      </c>
      <c r="H7">
        <f t="shared" si="0"/>
        <v>0</v>
      </c>
      <c r="I7">
        <f t="shared" si="0"/>
        <v>0</v>
      </c>
      <c r="J7">
        <f t="shared" si="0"/>
        <v>0</v>
      </c>
      <c r="K7">
        <f t="shared" si="0"/>
        <v>0</v>
      </c>
      <c r="L7">
        <f t="shared" si="7"/>
        <v>30</v>
      </c>
      <c r="N7" s="1" t="s">
        <v>205</v>
      </c>
      <c r="O7" s="1"/>
      <c r="P7" s="1"/>
      <c r="Q7" s="1"/>
      <c r="R7" s="1"/>
      <c r="S7" s="1"/>
      <c r="T7" s="1"/>
      <c r="W7" s="1" t="str">
        <f t="shared" ref="W7:AA7" si="17">IF(W$1=$V7, "True", "False")</f>
        <v>False</v>
      </c>
      <c r="X7" s="1" t="str">
        <f t="shared" si="17"/>
        <v>False</v>
      </c>
      <c r="Y7" s="1" t="str">
        <f t="shared" si="17"/>
        <v>False</v>
      </c>
      <c r="Z7" s="1" t="str">
        <f t="shared" si="17"/>
        <v>False</v>
      </c>
      <c r="AA7" s="1" t="str">
        <f t="shared" si="17"/>
        <v>False</v>
      </c>
      <c r="AB7" s="1" t="s">
        <v>206</v>
      </c>
      <c r="AC7">
        <f t="shared" si="9"/>
        <v>1</v>
      </c>
      <c r="AD7">
        <f t="shared" si="2"/>
        <v>1</v>
      </c>
      <c r="AE7">
        <f t="shared" si="2"/>
        <v>0</v>
      </c>
      <c r="AF7">
        <f t="shared" si="2"/>
        <v>1</v>
      </c>
      <c r="AG7">
        <f t="shared" si="2"/>
        <v>1</v>
      </c>
      <c r="AH7">
        <f t="shared" si="2"/>
        <v>0</v>
      </c>
      <c r="AI7" s="1">
        <f t="shared" si="10"/>
        <v>4</v>
      </c>
      <c r="AK7" s="1" t="s">
        <v>207</v>
      </c>
      <c r="AL7">
        <f t="shared" si="11"/>
        <v>1</v>
      </c>
      <c r="AM7">
        <f t="shared" si="3"/>
        <v>1</v>
      </c>
      <c r="AN7">
        <f t="shared" si="3"/>
        <v>1</v>
      </c>
      <c r="AO7">
        <f t="shared" si="3"/>
        <v>1</v>
      </c>
      <c r="AP7">
        <f t="shared" si="3"/>
        <v>0</v>
      </c>
      <c r="AQ7">
        <f t="shared" si="3"/>
        <v>0</v>
      </c>
      <c r="AR7">
        <f t="shared" si="3"/>
        <v>0</v>
      </c>
      <c r="AS7">
        <f t="shared" si="3"/>
        <v>0</v>
      </c>
      <c r="AU7" s="1" t="s">
        <v>46</v>
      </c>
      <c r="AV7" s="1">
        <f t="shared" ref="AV7:AV70" si="18">IF($AU7="No",1,0)</f>
        <v>0</v>
      </c>
      <c r="AW7" s="1">
        <f t="shared" ref="AW7:AW70" si="19">IF($AU7="Yes",1,0)</f>
        <v>1</v>
      </c>
      <c r="AX7" s="1">
        <f t="shared" ref="AX7:AX70" si="20">IF($AU7="Unsure",1,0)</f>
        <v>0</v>
      </c>
      <c r="AY7" s="1" t="s">
        <v>45</v>
      </c>
      <c r="AZ7" s="1" t="s">
        <v>45</v>
      </c>
      <c r="BA7" s="1" t="s">
        <v>208</v>
      </c>
      <c r="BB7">
        <f t="shared" si="12"/>
        <v>1</v>
      </c>
      <c r="BC7">
        <f t="shared" si="4"/>
        <v>1</v>
      </c>
      <c r="BD7">
        <f t="shared" si="4"/>
        <v>1</v>
      </c>
      <c r="BE7">
        <f t="shared" si="4"/>
        <v>1</v>
      </c>
      <c r="BF7">
        <f t="shared" si="4"/>
        <v>0</v>
      </c>
      <c r="BG7">
        <f t="shared" si="4"/>
        <v>1</v>
      </c>
      <c r="BH7">
        <f t="shared" si="4"/>
        <v>0</v>
      </c>
      <c r="BI7">
        <f t="shared" si="4"/>
        <v>0</v>
      </c>
      <c r="BJ7">
        <f t="shared" si="4"/>
        <v>0</v>
      </c>
      <c r="BK7">
        <f t="shared" si="13"/>
        <v>5</v>
      </c>
      <c r="BO7">
        <f t="shared" si="14"/>
        <v>0</v>
      </c>
      <c r="BP7">
        <f t="shared" si="5"/>
        <v>0</v>
      </c>
      <c r="BQ7">
        <f t="shared" si="5"/>
        <v>0</v>
      </c>
      <c r="BR7">
        <f t="shared" si="5"/>
        <v>0</v>
      </c>
      <c r="BS7">
        <f t="shared" si="5"/>
        <v>0</v>
      </c>
      <c r="BT7">
        <f t="shared" si="5"/>
        <v>0</v>
      </c>
      <c r="BU7">
        <f t="shared" si="5"/>
        <v>0</v>
      </c>
      <c r="BW7" s="1" t="s">
        <v>209</v>
      </c>
      <c r="CX7" s="1" t="s">
        <v>210</v>
      </c>
      <c r="CZ7" s="1" t="s">
        <v>211</v>
      </c>
      <c r="DB7" s="1" t="s">
        <v>212</v>
      </c>
      <c r="DC7" s="1" t="s">
        <v>177</v>
      </c>
    </row>
    <row r="8" spans="1:107" x14ac:dyDescent="0.25">
      <c r="A8" s="1" t="b">
        <v>1</v>
      </c>
      <c r="B8" s="2">
        <v>46150.921782407408</v>
      </c>
      <c r="C8" s="1" t="s">
        <v>213</v>
      </c>
      <c r="D8" s="1" t="s">
        <v>10</v>
      </c>
      <c r="E8">
        <f t="shared" si="6"/>
        <v>0</v>
      </c>
      <c r="F8">
        <f t="shared" si="0"/>
        <v>0</v>
      </c>
      <c r="G8">
        <f t="shared" si="0"/>
        <v>0</v>
      </c>
      <c r="H8">
        <f t="shared" si="0"/>
        <v>0</v>
      </c>
      <c r="I8">
        <f t="shared" si="0"/>
        <v>0</v>
      </c>
      <c r="J8">
        <f t="shared" si="0"/>
        <v>0</v>
      </c>
      <c r="K8">
        <f t="shared" si="0"/>
        <v>1</v>
      </c>
      <c r="L8">
        <f t="shared" si="7"/>
        <v>1</v>
      </c>
      <c r="N8" s="1" t="s">
        <v>13</v>
      </c>
      <c r="O8" s="1"/>
      <c r="P8" s="1"/>
      <c r="Q8" s="1"/>
      <c r="R8" s="1"/>
      <c r="S8" s="1"/>
      <c r="T8" s="1"/>
      <c r="V8" s="1" t="s">
        <v>24</v>
      </c>
      <c r="W8" s="1" t="str">
        <f t="shared" ref="W8:AA8" si="21">IF(W$1=$V8, "True", "False")</f>
        <v>False</v>
      </c>
      <c r="X8" s="1" t="str">
        <f t="shared" si="21"/>
        <v>False</v>
      </c>
      <c r="Y8" s="1" t="str">
        <f t="shared" si="21"/>
        <v>False</v>
      </c>
      <c r="Z8" s="1" t="str">
        <f t="shared" si="21"/>
        <v>True</v>
      </c>
      <c r="AA8" s="1" t="str">
        <f t="shared" si="21"/>
        <v>False</v>
      </c>
      <c r="AB8" s="1" t="s">
        <v>27</v>
      </c>
      <c r="AC8">
        <f t="shared" si="9"/>
        <v>1</v>
      </c>
      <c r="AD8">
        <f t="shared" si="2"/>
        <v>0</v>
      </c>
      <c r="AE8">
        <f t="shared" si="2"/>
        <v>0</v>
      </c>
      <c r="AF8">
        <f t="shared" si="2"/>
        <v>0</v>
      </c>
      <c r="AG8">
        <f t="shared" si="2"/>
        <v>0</v>
      </c>
      <c r="AH8">
        <f t="shared" si="2"/>
        <v>0</v>
      </c>
      <c r="AI8" s="1">
        <f t="shared" si="10"/>
        <v>1</v>
      </c>
      <c r="AK8" s="1" t="s">
        <v>36</v>
      </c>
      <c r="AL8">
        <f t="shared" si="11"/>
        <v>0</v>
      </c>
      <c r="AM8">
        <f t="shared" si="3"/>
        <v>1</v>
      </c>
      <c r="AN8">
        <f t="shared" si="3"/>
        <v>0</v>
      </c>
      <c r="AO8">
        <f t="shared" si="3"/>
        <v>0</v>
      </c>
      <c r="AP8">
        <f t="shared" si="3"/>
        <v>0</v>
      </c>
      <c r="AQ8">
        <f t="shared" si="3"/>
        <v>0</v>
      </c>
      <c r="AR8">
        <f t="shared" si="3"/>
        <v>0</v>
      </c>
      <c r="AS8">
        <f t="shared" si="3"/>
        <v>0</v>
      </c>
      <c r="AU8" s="1" t="s">
        <v>46</v>
      </c>
      <c r="AV8" s="1">
        <f t="shared" si="18"/>
        <v>0</v>
      </c>
      <c r="AW8" s="1">
        <f t="shared" si="19"/>
        <v>1</v>
      </c>
      <c r="AX8" s="1">
        <f t="shared" si="20"/>
        <v>0</v>
      </c>
      <c r="AY8" s="1" t="s">
        <v>46</v>
      </c>
      <c r="BA8" s="1" t="s">
        <v>214</v>
      </c>
      <c r="BB8">
        <f t="shared" si="12"/>
        <v>0</v>
      </c>
      <c r="BC8">
        <f t="shared" si="4"/>
        <v>0</v>
      </c>
      <c r="BD8">
        <f t="shared" si="4"/>
        <v>0</v>
      </c>
      <c r="BE8">
        <f t="shared" si="4"/>
        <v>0</v>
      </c>
      <c r="BF8">
        <f t="shared" si="4"/>
        <v>0</v>
      </c>
      <c r="BG8">
        <f t="shared" si="4"/>
        <v>0</v>
      </c>
      <c r="BH8">
        <f t="shared" si="4"/>
        <v>1</v>
      </c>
      <c r="BI8">
        <f t="shared" si="4"/>
        <v>1</v>
      </c>
      <c r="BJ8">
        <f t="shared" si="4"/>
        <v>0</v>
      </c>
      <c r="BK8">
        <f t="shared" si="13"/>
        <v>2</v>
      </c>
      <c r="BM8" s="1" t="s">
        <v>215</v>
      </c>
      <c r="BN8" s="1" t="s">
        <v>216</v>
      </c>
      <c r="BO8">
        <f t="shared" si="14"/>
        <v>1</v>
      </c>
      <c r="BP8">
        <f t="shared" si="5"/>
        <v>0</v>
      </c>
      <c r="BQ8">
        <f t="shared" si="5"/>
        <v>0</v>
      </c>
      <c r="BR8">
        <f t="shared" si="5"/>
        <v>0</v>
      </c>
      <c r="BS8">
        <f t="shared" si="5"/>
        <v>0</v>
      </c>
      <c r="BT8">
        <f t="shared" si="5"/>
        <v>1</v>
      </c>
      <c r="BU8">
        <f t="shared" si="5"/>
        <v>0</v>
      </c>
      <c r="BW8" s="1" t="s">
        <v>217</v>
      </c>
      <c r="CM8" s="1" t="s">
        <v>45</v>
      </c>
      <c r="CQ8" s="1" t="s">
        <v>45</v>
      </c>
      <c r="DC8" s="1" t="s">
        <v>177</v>
      </c>
    </row>
    <row r="9" spans="1:107" x14ac:dyDescent="0.25">
      <c r="A9" s="1" t="b">
        <v>1</v>
      </c>
      <c r="B9" s="2">
        <v>46150.957337962966</v>
      </c>
      <c r="C9" s="1" t="s">
        <v>218</v>
      </c>
      <c r="D9" s="1" t="s">
        <v>156</v>
      </c>
      <c r="E9">
        <f t="shared" si="6"/>
        <v>1</v>
      </c>
      <c r="F9">
        <f t="shared" si="0"/>
        <v>0</v>
      </c>
      <c r="G9">
        <f t="shared" si="0"/>
        <v>0</v>
      </c>
      <c r="H9">
        <f t="shared" si="0"/>
        <v>0</v>
      </c>
      <c r="I9">
        <f t="shared" si="0"/>
        <v>30</v>
      </c>
      <c r="J9">
        <f t="shared" si="0"/>
        <v>62</v>
      </c>
      <c r="K9">
        <f t="shared" si="0"/>
        <v>0</v>
      </c>
      <c r="L9">
        <f t="shared" si="7"/>
        <v>62</v>
      </c>
      <c r="N9" s="1" t="s">
        <v>219</v>
      </c>
      <c r="O9" s="1"/>
      <c r="P9" s="1"/>
      <c r="Q9" s="1"/>
      <c r="R9" s="1"/>
      <c r="S9" s="1"/>
      <c r="T9" s="1"/>
      <c r="V9" s="1" t="s">
        <v>21</v>
      </c>
      <c r="W9" s="1" t="str">
        <f t="shared" ref="W9:AA9" si="22">IF(W$1=$V9, "True", "False")</f>
        <v>True</v>
      </c>
      <c r="X9" s="1" t="str">
        <f t="shared" si="22"/>
        <v>False</v>
      </c>
      <c r="Y9" s="1" t="str">
        <f t="shared" si="22"/>
        <v>False</v>
      </c>
      <c r="Z9" s="1" t="str">
        <f t="shared" si="22"/>
        <v>False</v>
      </c>
      <c r="AA9" s="1" t="str">
        <f t="shared" si="22"/>
        <v>False</v>
      </c>
      <c r="AB9" s="1" t="s">
        <v>180</v>
      </c>
      <c r="AC9">
        <f t="shared" si="9"/>
        <v>0</v>
      </c>
      <c r="AD9">
        <f t="shared" si="2"/>
        <v>0</v>
      </c>
      <c r="AE9">
        <f t="shared" si="2"/>
        <v>0</v>
      </c>
      <c r="AF9">
        <f t="shared" si="2"/>
        <v>0</v>
      </c>
      <c r="AG9">
        <f t="shared" si="2"/>
        <v>0</v>
      </c>
      <c r="AH9">
        <f t="shared" si="2"/>
        <v>0</v>
      </c>
      <c r="AI9" s="1">
        <f t="shared" si="10"/>
        <v>0</v>
      </c>
      <c r="AJ9" s="1" t="s">
        <v>220</v>
      </c>
      <c r="AK9" s="1" t="s">
        <v>221</v>
      </c>
      <c r="AL9">
        <f t="shared" si="11"/>
        <v>1</v>
      </c>
      <c r="AM9">
        <f t="shared" si="3"/>
        <v>0</v>
      </c>
      <c r="AN9">
        <f t="shared" si="3"/>
        <v>1</v>
      </c>
      <c r="AO9">
        <f t="shared" si="3"/>
        <v>0</v>
      </c>
      <c r="AP9">
        <f t="shared" si="3"/>
        <v>0</v>
      </c>
      <c r="AQ9">
        <f t="shared" si="3"/>
        <v>1</v>
      </c>
      <c r="AR9">
        <f t="shared" si="3"/>
        <v>0</v>
      </c>
      <c r="AS9">
        <f t="shared" si="3"/>
        <v>0</v>
      </c>
      <c r="AU9" s="1" t="s">
        <v>45</v>
      </c>
      <c r="AV9" s="1">
        <f t="shared" si="18"/>
        <v>1</v>
      </c>
      <c r="AW9" s="1">
        <f t="shared" si="19"/>
        <v>0</v>
      </c>
      <c r="AX9" s="1">
        <f t="shared" si="20"/>
        <v>0</v>
      </c>
      <c r="AY9" s="1" t="s">
        <v>45</v>
      </c>
      <c r="AZ9" s="1" t="s">
        <v>46</v>
      </c>
      <c r="BA9" s="1" t="s">
        <v>222</v>
      </c>
      <c r="BB9">
        <f t="shared" si="12"/>
        <v>0</v>
      </c>
      <c r="BC9">
        <f t="shared" si="4"/>
        <v>0</v>
      </c>
      <c r="BD9">
        <f t="shared" si="4"/>
        <v>0</v>
      </c>
      <c r="BE9">
        <f t="shared" si="4"/>
        <v>1</v>
      </c>
      <c r="BF9">
        <f t="shared" si="4"/>
        <v>0</v>
      </c>
      <c r="BG9">
        <f t="shared" si="4"/>
        <v>0</v>
      </c>
      <c r="BH9">
        <f t="shared" si="4"/>
        <v>0</v>
      </c>
      <c r="BI9">
        <f t="shared" si="4"/>
        <v>0</v>
      </c>
      <c r="BJ9">
        <f t="shared" si="4"/>
        <v>1</v>
      </c>
      <c r="BK9">
        <f t="shared" si="13"/>
        <v>2</v>
      </c>
      <c r="BO9">
        <f t="shared" si="14"/>
        <v>0</v>
      </c>
      <c r="BP9">
        <f t="shared" si="5"/>
        <v>0</v>
      </c>
      <c r="BQ9">
        <f t="shared" si="5"/>
        <v>0</v>
      </c>
      <c r="BR9">
        <f t="shared" si="5"/>
        <v>0</v>
      </c>
      <c r="BS9">
        <f t="shared" si="5"/>
        <v>0</v>
      </c>
      <c r="BT9">
        <f t="shared" si="5"/>
        <v>0</v>
      </c>
      <c r="BU9">
        <f t="shared" si="5"/>
        <v>0</v>
      </c>
    </row>
    <row r="10" spans="1:107" x14ac:dyDescent="0.25">
      <c r="A10" s="1" t="b">
        <v>1</v>
      </c>
      <c r="B10" s="2">
        <v>46151.013645833336</v>
      </c>
      <c r="C10" s="1" t="s">
        <v>223</v>
      </c>
      <c r="D10" s="1" t="s">
        <v>224</v>
      </c>
      <c r="E10">
        <f t="shared" si="6"/>
        <v>1</v>
      </c>
      <c r="F10">
        <f t="shared" si="0"/>
        <v>30</v>
      </c>
      <c r="G10">
        <f t="shared" si="0"/>
        <v>0</v>
      </c>
      <c r="H10">
        <f t="shared" si="0"/>
        <v>0</v>
      </c>
      <c r="I10">
        <f t="shared" si="0"/>
        <v>0</v>
      </c>
      <c r="J10">
        <f t="shared" si="0"/>
        <v>0</v>
      </c>
      <c r="K10">
        <f t="shared" si="0"/>
        <v>0</v>
      </c>
      <c r="L10">
        <f t="shared" si="7"/>
        <v>30</v>
      </c>
      <c r="M10" s="1" t="s">
        <v>225</v>
      </c>
      <c r="N10" s="1" t="s">
        <v>226</v>
      </c>
      <c r="O10" s="1"/>
      <c r="P10" s="1"/>
      <c r="Q10" s="1"/>
      <c r="R10" s="1"/>
      <c r="S10" s="1"/>
      <c r="T10" s="1"/>
      <c r="V10" s="1" t="s">
        <v>25</v>
      </c>
      <c r="W10" s="1" t="str">
        <f t="shared" ref="W10:AA10" si="23">IF(W$1=$V10, "True", "False")</f>
        <v>False</v>
      </c>
      <c r="X10" s="1" t="str">
        <f t="shared" si="23"/>
        <v>False</v>
      </c>
      <c r="Y10" s="1" t="str">
        <f t="shared" si="23"/>
        <v>False</v>
      </c>
      <c r="Z10" s="1" t="str">
        <f t="shared" si="23"/>
        <v>False</v>
      </c>
      <c r="AA10" s="1" t="str">
        <f t="shared" si="23"/>
        <v>True</v>
      </c>
      <c r="AB10" s="1" t="s">
        <v>227</v>
      </c>
      <c r="AC10">
        <f t="shared" si="9"/>
        <v>1</v>
      </c>
      <c r="AD10">
        <f t="shared" si="2"/>
        <v>1</v>
      </c>
      <c r="AE10">
        <f t="shared" si="2"/>
        <v>0</v>
      </c>
      <c r="AF10">
        <f t="shared" si="2"/>
        <v>0</v>
      </c>
      <c r="AG10">
        <f t="shared" si="2"/>
        <v>0</v>
      </c>
      <c r="AH10">
        <f t="shared" si="2"/>
        <v>0</v>
      </c>
      <c r="AI10" s="1">
        <f t="shared" si="10"/>
        <v>2</v>
      </c>
      <c r="AK10" s="1" t="s">
        <v>186</v>
      </c>
      <c r="AL10">
        <f t="shared" si="11"/>
        <v>1</v>
      </c>
      <c r="AM10">
        <f t="shared" si="3"/>
        <v>1</v>
      </c>
      <c r="AN10">
        <f t="shared" si="3"/>
        <v>1</v>
      </c>
      <c r="AO10">
        <f t="shared" si="3"/>
        <v>1</v>
      </c>
      <c r="AP10">
        <f t="shared" si="3"/>
        <v>0</v>
      </c>
      <c r="AQ10">
        <f t="shared" si="3"/>
        <v>1</v>
      </c>
      <c r="AR10">
        <f t="shared" si="3"/>
        <v>0</v>
      </c>
      <c r="AS10">
        <f t="shared" si="3"/>
        <v>0</v>
      </c>
      <c r="AU10" s="1" t="s">
        <v>46</v>
      </c>
      <c r="AV10" s="1">
        <f t="shared" si="18"/>
        <v>0</v>
      </c>
      <c r="AW10" s="1">
        <f t="shared" si="19"/>
        <v>1</v>
      </c>
      <c r="AX10" s="1">
        <f t="shared" si="20"/>
        <v>0</v>
      </c>
      <c r="AY10" s="1" t="s">
        <v>46</v>
      </c>
      <c r="BA10" s="1" t="s">
        <v>228</v>
      </c>
      <c r="BB10">
        <f t="shared" si="12"/>
        <v>1</v>
      </c>
      <c r="BC10">
        <f t="shared" si="4"/>
        <v>1</v>
      </c>
      <c r="BD10">
        <f t="shared" si="4"/>
        <v>1</v>
      </c>
      <c r="BE10">
        <f t="shared" si="4"/>
        <v>1</v>
      </c>
      <c r="BF10">
        <f t="shared" si="4"/>
        <v>1</v>
      </c>
      <c r="BG10">
        <f t="shared" si="4"/>
        <v>1</v>
      </c>
      <c r="BH10">
        <f t="shared" si="4"/>
        <v>0</v>
      </c>
      <c r="BI10">
        <f t="shared" si="4"/>
        <v>0</v>
      </c>
      <c r="BJ10">
        <f t="shared" si="4"/>
        <v>1</v>
      </c>
      <c r="BK10">
        <f t="shared" si="13"/>
        <v>7</v>
      </c>
      <c r="BM10" s="1" t="s">
        <v>229</v>
      </c>
      <c r="BN10" s="1" t="s">
        <v>230</v>
      </c>
      <c r="BO10">
        <f t="shared" si="14"/>
        <v>1</v>
      </c>
      <c r="BP10">
        <f t="shared" si="5"/>
        <v>0</v>
      </c>
      <c r="BQ10">
        <f t="shared" si="5"/>
        <v>1</v>
      </c>
      <c r="BR10">
        <f t="shared" si="5"/>
        <v>0</v>
      </c>
      <c r="BS10">
        <f t="shared" si="5"/>
        <v>0</v>
      </c>
      <c r="BT10">
        <f t="shared" si="5"/>
        <v>0</v>
      </c>
      <c r="BU10">
        <f t="shared" si="5"/>
        <v>0</v>
      </c>
      <c r="BW10" s="1" t="s">
        <v>166</v>
      </c>
      <c r="BZ10" s="1" t="s">
        <v>231</v>
      </c>
      <c r="CX10" s="1" t="s">
        <v>232</v>
      </c>
      <c r="CZ10" s="1" t="s">
        <v>233</v>
      </c>
      <c r="DB10" s="1" t="s">
        <v>234</v>
      </c>
      <c r="DC10" s="1" t="s">
        <v>235</v>
      </c>
    </row>
    <row r="11" spans="1:107" x14ac:dyDescent="0.25">
      <c r="A11" s="1" t="b">
        <v>1</v>
      </c>
      <c r="B11" s="2">
        <v>46151.224618055552</v>
      </c>
      <c r="C11" s="1" t="s">
        <v>236</v>
      </c>
      <c r="D11" s="1" t="s">
        <v>4</v>
      </c>
      <c r="E11">
        <f t="shared" si="6"/>
        <v>1</v>
      </c>
      <c r="F11">
        <f t="shared" si="0"/>
        <v>0</v>
      </c>
      <c r="G11">
        <f t="shared" si="0"/>
        <v>0</v>
      </c>
      <c r="H11">
        <f t="shared" si="0"/>
        <v>0</v>
      </c>
      <c r="I11">
        <f t="shared" si="0"/>
        <v>0</v>
      </c>
      <c r="J11">
        <f t="shared" si="0"/>
        <v>0</v>
      </c>
      <c r="K11">
        <f t="shared" si="0"/>
        <v>0</v>
      </c>
      <c r="L11">
        <f t="shared" si="7"/>
        <v>1</v>
      </c>
      <c r="N11" s="1" t="s">
        <v>237</v>
      </c>
      <c r="O11" s="1"/>
      <c r="P11" s="1"/>
      <c r="Q11" s="1"/>
      <c r="R11" s="1"/>
      <c r="S11" s="1"/>
      <c r="T11" s="1"/>
      <c r="W11" s="1" t="str">
        <f t="shared" ref="W11:AA11" si="24">IF(W$1=$V11, "True", "False")</f>
        <v>False</v>
      </c>
      <c r="X11" s="1" t="str">
        <f t="shared" si="24"/>
        <v>False</v>
      </c>
      <c r="Y11" s="1" t="str">
        <f t="shared" si="24"/>
        <v>False</v>
      </c>
      <c r="Z11" s="1" t="str">
        <f t="shared" si="24"/>
        <v>False</v>
      </c>
      <c r="AA11" s="1" t="str">
        <f t="shared" si="24"/>
        <v>False</v>
      </c>
      <c r="AB11" s="1" t="s">
        <v>27</v>
      </c>
      <c r="AC11">
        <f t="shared" si="9"/>
        <v>1</v>
      </c>
      <c r="AD11">
        <f t="shared" si="2"/>
        <v>0</v>
      </c>
      <c r="AE11">
        <f t="shared" si="2"/>
        <v>0</v>
      </c>
      <c r="AF11">
        <f t="shared" si="2"/>
        <v>0</v>
      </c>
      <c r="AG11">
        <f t="shared" si="2"/>
        <v>0</v>
      </c>
      <c r="AH11">
        <f t="shared" si="2"/>
        <v>0</v>
      </c>
      <c r="AI11" s="1">
        <f t="shared" si="10"/>
        <v>1</v>
      </c>
      <c r="AK11" s="1" t="s">
        <v>238</v>
      </c>
      <c r="AL11">
        <f t="shared" si="11"/>
        <v>1</v>
      </c>
      <c r="AM11">
        <f t="shared" si="3"/>
        <v>1</v>
      </c>
      <c r="AN11">
        <f t="shared" si="3"/>
        <v>0</v>
      </c>
      <c r="AO11">
        <f t="shared" si="3"/>
        <v>1</v>
      </c>
      <c r="AP11">
        <f t="shared" si="3"/>
        <v>1</v>
      </c>
      <c r="AQ11">
        <f t="shared" si="3"/>
        <v>0</v>
      </c>
      <c r="AR11">
        <f t="shared" si="3"/>
        <v>0</v>
      </c>
      <c r="AS11">
        <f t="shared" si="3"/>
        <v>0</v>
      </c>
      <c r="AU11" s="1" t="s">
        <v>47</v>
      </c>
      <c r="AV11" s="1">
        <f t="shared" si="18"/>
        <v>0</v>
      </c>
      <c r="AW11" s="1">
        <f t="shared" si="19"/>
        <v>0</v>
      </c>
      <c r="AX11" s="1">
        <f t="shared" si="20"/>
        <v>1</v>
      </c>
      <c r="AY11" s="1" t="s">
        <v>46</v>
      </c>
      <c r="BA11" s="1" t="s">
        <v>59</v>
      </c>
      <c r="BB11">
        <f t="shared" si="12"/>
        <v>0</v>
      </c>
      <c r="BC11">
        <f t="shared" si="4"/>
        <v>0</v>
      </c>
      <c r="BD11">
        <f t="shared" si="4"/>
        <v>0</v>
      </c>
      <c r="BE11">
        <f t="shared" si="4"/>
        <v>0</v>
      </c>
      <c r="BF11">
        <f t="shared" si="4"/>
        <v>0</v>
      </c>
      <c r="BG11">
        <f t="shared" si="4"/>
        <v>0</v>
      </c>
      <c r="BH11">
        <f t="shared" si="4"/>
        <v>0</v>
      </c>
      <c r="BI11">
        <f t="shared" si="4"/>
        <v>0</v>
      </c>
      <c r="BJ11">
        <f t="shared" si="4"/>
        <v>1</v>
      </c>
      <c r="BK11">
        <f t="shared" si="13"/>
        <v>1</v>
      </c>
      <c r="BM11" s="1" t="s">
        <v>163</v>
      </c>
      <c r="BN11" s="1" t="s">
        <v>69</v>
      </c>
      <c r="BO11">
        <f t="shared" si="14"/>
        <v>0</v>
      </c>
      <c r="BP11">
        <f t="shared" si="5"/>
        <v>0</v>
      </c>
      <c r="BQ11">
        <f t="shared" si="5"/>
        <v>0</v>
      </c>
      <c r="BR11">
        <f t="shared" si="5"/>
        <v>0</v>
      </c>
      <c r="BS11">
        <f t="shared" si="5"/>
        <v>0</v>
      </c>
      <c r="BT11">
        <f t="shared" si="5"/>
        <v>0</v>
      </c>
      <c r="BU11">
        <f t="shared" si="5"/>
        <v>1</v>
      </c>
    </row>
    <row r="12" spans="1:107" x14ac:dyDescent="0.25">
      <c r="A12" s="1" t="b">
        <v>1</v>
      </c>
      <c r="B12" s="2">
        <v>46151.311597222222</v>
      </c>
      <c r="C12" s="1" t="s">
        <v>239</v>
      </c>
      <c r="D12" s="1" t="s">
        <v>240</v>
      </c>
      <c r="E12">
        <f t="shared" si="6"/>
        <v>1</v>
      </c>
      <c r="F12">
        <f t="shared" si="0"/>
        <v>30</v>
      </c>
      <c r="G12">
        <f t="shared" si="0"/>
        <v>105</v>
      </c>
      <c r="H12">
        <f t="shared" si="0"/>
        <v>0</v>
      </c>
      <c r="I12">
        <f t="shared" si="0"/>
        <v>0</v>
      </c>
      <c r="J12">
        <f t="shared" si="0"/>
        <v>0</v>
      </c>
      <c r="K12">
        <f t="shared" si="0"/>
        <v>0</v>
      </c>
      <c r="L12">
        <f t="shared" si="7"/>
        <v>105</v>
      </c>
      <c r="N12" s="1" t="s">
        <v>241</v>
      </c>
      <c r="O12" s="1"/>
      <c r="P12" s="1"/>
      <c r="Q12" s="1"/>
      <c r="R12" s="1"/>
      <c r="S12" s="1"/>
      <c r="T12" s="1"/>
      <c r="V12" s="1" t="s">
        <v>24</v>
      </c>
      <c r="W12" s="1" t="str">
        <f t="shared" ref="W12:AA12" si="25">IF(W$1=$V12, "True", "False")</f>
        <v>False</v>
      </c>
      <c r="X12" s="1" t="str">
        <f t="shared" si="25"/>
        <v>False</v>
      </c>
      <c r="Y12" s="1" t="str">
        <f t="shared" si="25"/>
        <v>False</v>
      </c>
      <c r="Z12" s="1" t="str">
        <f t="shared" si="25"/>
        <v>True</v>
      </c>
      <c r="AA12" s="1" t="str">
        <f t="shared" si="25"/>
        <v>False</v>
      </c>
      <c r="AB12" s="1" t="s">
        <v>242</v>
      </c>
      <c r="AC12">
        <f t="shared" si="9"/>
        <v>1</v>
      </c>
      <c r="AD12">
        <f t="shared" si="2"/>
        <v>0</v>
      </c>
      <c r="AE12">
        <f t="shared" si="2"/>
        <v>0</v>
      </c>
      <c r="AF12">
        <f t="shared" si="2"/>
        <v>1</v>
      </c>
      <c r="AG12">
        <f t="shared" si="2"/>
        <v>0</v>
      </c>
      <c r="AH12">
        <f t="shared" si="2"/>
        <v>0</v>
      </c>
      <c r="AI12" s="1">
        <f t="shared" si="10"/>
        <v>2</v>
      </c>
      <c r="AK12" s="1" t="s">
        <v>243</v>
      </c>
      <c r="AL12">
        <f t="shared" si="11"/>
        <v>1</v>
      </c>
      <c r="AM12">
        <f t="shared" si="3"/>
        <v>1</v>
      </c>
      <c r="AN12">
        <f t="shared" si="3"/>
        <v>0</v>
      </c>
      <c r="AO12">
        <f t="shared" si="3"/>
        <v>1</v>
      </c>
      <c r="AP12">
        <f t="shared" si="3"/>
        <v>0</v>
      </c>
      <c r="AQ12">
        <f t="shared" si="3"/>
        <v>1</v>
      </c>
      <c r="AR12">
        <f t="shared" si="3"/>
        <v>0</v>
      </c>
      <c r="AS12">
        <f t="shared" si="3"/>
        <v>0</v>
      </c>
      <c r="AU12" s="1" t="s">
        <v>45</v>
      </c>
      <c r="AV12" s="1">
        <f t="shared" si="18"/>
        <v>1</v>
      </c>
      <c r="AW12" s="1">
        <f t="shared" si="19"/>
        <v>0</v>
      </c>
      <c r="AX12" s="1">
        <f t="shared" si="20"/>
        <v>0</v>
      </c>
      <c r="AY12" s="1" t="s">
        <v>46</v>
      </c>
      <c r="BA12" s="1" t="s">
        <v>244</v>
      </c>
      <c r="BB12">
        <f t="shared" si="12"/>
        <v>1</v>
      </c>
      <c r="BC12">
        <f t="shared" si="4"/>
        <v>1</v>
      </c>
      <c r="BD12">
        <f t="shared" si="4"/>
        <v>1</v>
      </c>
      <c r="BE12">
        <f t="shared" si="4"/>
        <v>1</v>
      </c>
      <c r="BF12">
        <f t="shared" si="4"/>
        <v>1</v>
      </c>
      <c r="BG12">
        <f t="shared" si="4"/>
        <v>0</v>
      </c>
      <c r="BH12">
        <f t="shared" si="4"/>
        <v>1</v>
      </c>
      <c r="BI12">
        <f t="shared" si="4"/>
        <v>0</v>
      </c>
      <c r="BJ12">
        <f t="shared" si="4"/>
        <v>1</v>
      </c>
      <c r="BK12">
        <f t="shared" si="13"/>
        <v>7</v>
      </c>
      <c r="BM12" s="1" t="s">
        <v>163</v>
      </c>
      <c r="BN12" s="1" t="s">
        <v>245</v>
      </c>
      <c r="BO12">
        <f t="shared" si="14"/>
        <v>0</v>
      </c>
      <c r="BP12">
        <f t="shared" si="5"/>
        <v>1</v>
      </c>
      <c r="BQ12">
        <f t="shared" si="5"/>
        <v>1</v>
      </c>
      <c r="BR12">
        <f t="shared" si="5"/>
        <v>0</v>
      </c>
      <c r="BS12">
        <f t="shared" si="5"/>
        <v>1</v>
      </c>
      <c r="BT12">
        <f t="shared" si="5"/>
        <v>0</v>
      </c>
      <c r="BU12">
        <f t="shared" si="5"/>
        <v>0</v>
      </c>
      <c r="CU12" s="1" t="s">
        <v>233</v>
      </c>
      <c r="CX12" s="1" t="s">
        <v>246</v>
      </c>
      <c r="CZ12" s="1" t="s">
        <v>247</v>
      </c>
      <c r="DC12" s="1" t="s">
        <v>235</v>
      </c>
    </row>
    <row r="13" spans="1:107" x14ac:dyDescent="0.25">
      <c r="A13" s="1" t="b">
        <v>1</v>
      </c>
      <c r="B13" s="2">
        <v>46151.410277777781</v>
      </c>
      <c r="C13" s="1" t="s">
        <v>248</v>
      </c>
      <c r="D13" s="1" t="s">
        <v>5</v>
      </c>
      <c r="E13">
        <f t="shared" si="6"/>
        <v>0</v>
      </c>
      <c r="F13">
        <f t="shared" si="0"/>
        <v>1</v>
      </c>
      <c r="G13">
        <f t="shared" si="0"/>
        <v>0</v>
      </c>
      <c r="H13">
        <f t="shared" si="0"/>
        <v>0</v>
      </c>
      <c r="I13">
        <f t="shared" si="0"/>
        <v>0</v>
      </c>
      <c r="J13">
        <f t="shared" si="0"/>
        <v>0</v>
      </c>
      <c r="K13">
        <f t="shared" si="0"/>
        <v>0</v>
      </c>
      <c r="L13">
        <f t="shared" si="7"/>
        <v>1</v>
      </c>
      <c r="N13" s="1" t="s">
        <v>237</v>
      </c>
      <c r="O13" s="1"/>
      <c r="P13" s="1"/>
      <c r="Q13" s="1"/>
      <c r="R13" s="1"/>
      <c r="S13" s="1"/>
      <c r="T13" s="1"/>
      <c r="V13" s="1" t="s">
        <v>23</v>
      </c>
      <c r="W13" s="1" t="str">
        <f t="shared" ref="W13:AA13" si="26">IF(W$1=$V13, "True", "False")</f>
        <v>False</v>
      </c>
      <c r="X13" s="1" t="str">
        <f t="shared" si="26"/>
        <v>False</v>
      </c>
      <c r="Y13" s="1" t="str">
        <f t="shared" si="26"/>
        <v>True</v>
      </c>
      <c r="Z13" s="1" t="str">
        <f t="shared" si="26"/>
        <v>False</v>
      </c>
      <c r="AA13" s="1" t="str">
        <f t="shared" si="26"/>
        <v>False</v>
      </c>
      <c r="AB13" s="1" t="s">
        <v>27</v>
      </c>
      <c r="AC13">
        <f t="shared" si="9"/>
        <v>1</v>
      </c>
      <c r="AD13">
        <f t="shared" si="2"/>
        <v>0</v>
      </c>
      <c r="AE13">
        <f t="shared" si="2"/>
        <v>0</v>
      </c>
      <c r="AF13">
        <f t="shared" si="2"/>
        <v>0</v>
      </c>
      <c r="AG13">
        <f t="shared" si="2"/>
        <v>0</v>
      </c>
      <c r="AH13">
        <f t="shared" si="2"/>
        <v>0</v>
      </c>
      <c r="AI13" s="1">
        <f t="shared" si="10"/>
        <v>1</v>
      </c>
      <c r="AK13" s="1" t="s">
        <v>249</v>
      </c>
      <c r="AL13">
        <f t="shared" si="11"/>
        <v>0</v>
      </c>
      <c r="AM13">
        <f t="shared" si="3"/>
        <v>1</v>
      </c>
      <c r="AN13">
        <f t="shared" si="3"/>
        <v>1</v>
      </c>
      <c r="AO13">
        <f t="shared" si="3"/>
        <v>0</v>
      </c>
      <c r="AP13">
        <f t="shared" si="3"/>
        <v>0</v>
      </c>
      <c r="AQ13">
        <f t="shared" si="3"/>
        <v>1</v>
      </c>
      <c r="AR13">
        <f t="shared" si="3"/>
        <v>0</v>
      </c>
      <c r="AS13">
        <f t="shared" si="3"/>
        <v>0</v>
      </c>
      <c r="AU13" s="1" t="s">
        <v>46</v>
      </c>
      <c r="AV13" s="1">
        <f t="shared" si="18"/>
        <v>0</v>
      </c>
      <c r="AW13" s="1">
        <f t="shared" si="19"/>
        <v>1</v>
      </c>
      <c r="AX13" s="1">
        <f t="shared" si="20"/>
        <v>0</v>
      </c>
      <c r="AY13" s="1" t="s">
        <v>46</v>
      </c>
      <c r="BA13" s="1" t="s">
        <v>250</v>
      </c>
      <c r="BB13">
        <f t="shared" si="12"/>
        <v>1</v>
      </c>
      <c r="BC13">
        <f t="shared" si="4"/>
        <v>1</v>
      </c>
      <c r="BD13">
        <f t="shared" si="4"/>
        <v>1</v>
      </c>
      <c r="BE13">
        <f t="shared" si="4"/>
        <v>1</v>
      </c>
      <c r="BF13">
        <f t="shared" si="4"/>
        <v>1</v>
      </c>
      <c r="BG13">
        <f t="shared" si="4"/>
        <v>0</v>
      </c>
      <c r="BH13">
        <f t="shared" si="4"/>
        <v>0</v>
      </c>
      <c r="BI13">
        <f t="shared" si="4"/>
        <v>0</v>
      </c>
      <c r="BJ13">
        <f t="shared" si="4"/>
        <v>1</v>
      </c>
      <c r="BK13">
        <f t="shared" si="13"/>
        <v>6</v>
      </c>
      <c r="BM13" s="1" t="s">
        <v>215</v>
      </c>
      <c r="BN13" s="1" t="s">
        <v>251</v>
      </c>
      <c r="BO13">
        <f t="shared" si="14"/>
        <v>1</v>
      </c>
      <c r="BP13">
        <f t="shared" si="5"/>
        <v>1</v>
      </c>
      <c r="BQ13">
        <f t="shared" si="5"/>
        <v>0</v>
      </c>
      <c r="BR13">
        <f t="shared" si="5"/>
        <v>1</v>
      </c>
      <c r="BS13">
        <f t="shared" si="5"/>
        <v>0</v>
      </c>
      <c r="BT13">
        <f t="shared" si="5"/>
        <v>1</v>
      </c>
      <c r="BU13">
        <f t="shared" si="5"/>
        <v>0</v>
      </c>
      <c r="BW13" s="1" t="s">
        <v>252</v>
      </c>
      <c r="BZ13" s="1" t="s">
        <v>253</v>
      </c>
      <c r="CX13" s="1" t="s">
        <v>254</v>
      </c>
      <c r="CZ13" s="1" t="s">
        <v>175</v>
      </c>
      <c r="DC13" s="1" t="s">
        <v>235</v>
      </c>
    </row>
    <row r="14" spans="1:107" x14ac:dyDescent="0.25">
      <c r="A14" s="1" t="b">
        <v>1</v>
      </c>
      <c r="B14" s="2">
        <v>46151.550763888888</v>
      </c>
      <c r="C14" s="1" t="s">
        <v>255</v>
      </c>
      <c r="D14" s="1" t="s">
        <v>204</v>
      </c>
      <c r="E14">
        <f t="shared" si="6"/>
        <v>1</v>
      </c>
      <c r="F14">
        <f t="shared" si="0"/>
        <v>30</v>
      </c>
      <c r="G14">
        <f t="shared" si="0"/>
        <v>0</v>
      </c>
      <c r="H14">
        <f t="shared" si="0"/>
        <v>0</v>
      </c>
      <c r="I14">
        <f t="shared" si="0"/>
        <v>0</v>
      </c>
      <c r="J14">
        <f t="shared" si="0"/>
        <v>0</v>
      </c>
      <c r="K14">
        <f t="shared" si="0"/>
        <v>0</v>
      </c>
      <c r="L14">
        <f t="shared" si="7"/>
        <v>30</v>
      </c>
      <c r="N14" s="1" t="s">
        <v>205</v>
      </c>
      <c r="O14" s="1"/>
      <c r="P14" s="1"/>
      <c r="Q14" s="1"/>
      <c r="R14" s="1"/>
      <c r="S14" s="1"/>
      <c r="T14" s="1"/>
      <c r="W14" s="1" t="str">
        <f t="shared" ref="W14:AA14" si="27">IF(W$1=$V14, "True", "False")</f>
        <v>False</v>
      </c>
      <c r="X14" s="1" t="str">
        <f t="shared" si="27"/>
        <v>False</v>
      </c>
      <c r="Y14" s="1" t="str">
        <f t="shared" si="27"/>
        <v>False</v>
      </c>
      <c r="Z14" s="1" t="str">
        <f t="shared" si="27"/>
        <v>False</v>
      </c>
      <c r="AA14" s="1" t="str">
        <f t="shared" si="27"/>
        <v>False</v>
      </c>
      <c r="AB14" s="1" t="s">
        <v>242</v>
      </c>
      <c r="AC14">
        <f t="shared" si="9"/>
        <v>1</v>
      </c>
      <c r="AD14">
        <f t="shared" si="2"/>
        <v>0</v>
      </c>
      <c r="AE14">
        <f t="shared" si="2"/>
        <v>0</v>
      </c>
      <c r="AF14">
        <f t="shared" si="2"/>
        <v>1</v>
      </c>
      <c r="AG14">
        <f t="shared" si="2"/>
        <v>0</v>
      </c>
      <c r="AH14">
        <f t="shared" si="2"/>
        <v>0</v>
      </c>
      <c r="AI14" s="1">
        <f t="shared" si="10"/>
        <v>2</v>
      </c>
      <c r="AK14" s="1" t="s">
        <v>256</v>
      </c>
      <c r="AL14">
        <f t="shared" si="11"/>
        <v>1</v>
      </c>
      <c r="AM14">
        <f t="shared" si="3"/>
        <v>1</v>
      </c>
      <c r="AN14">
        <f t="shared" si="3"/>
        <v>0</v>
      </c>
      <c r="AO14">
        <f t="shared" si="3"/>
        <v>1</v>
      </c>
      <c r="AP14">
        <f t="shared" si="3"/>
        <v>0</v>
      </c>
      <c r="AQ14">
        <f t="shared" si="3"/>
        <v>0</v>
      </c>
      <c r="AR14">
        <f t="shared" si="3"/>
        <v>0</v>
      </c>
      <c r="AS14">
        <f t="shared" si="3"/>
        <v>0</v>
      </c>
      <c r="AU14" s="1" t="s">
        <v>46</v>
      </c>
      <c r="AV14" s="1">
        <f t="shared" si="18"/>
        <v>0</v>
      </c>
      <c r="AW14" s="1">
        <f t="shared" si="19"/>
        <v>1</v>
      </c>
      <c r="AX14" s="1">
        <f t="shared" si="20"/>
        <v>0</v>
      </c>
      <c r="AY14" s="1" t="s">
        <v>46</v>
      </c>
      <c r="BA14" s="1" t="s">
        <v>228</v>
      </c>
      <c r="BB14">
        <f t="shared" si="12"/>
        <v>1</v>
      </c>
      <c r="BC14">
        <f t="shared" si="4"/>
        <v>1</v>
      </c>
      <c r="BD14">
        <f t="shared" si="4"/>
        <v>1</v>
      </c>
      <c r="BE14">
        <f t="shared" si="4"/>
        <v>1</v>
      </c>
      <c r="BF14">
        <f t="shared" si="4"/>
        <v>1</v>
      </c>
      <c r="BG14">
        <f t="shared" si="4"/>
        <v>1</v>
      </c>
      <c r="BH14">
        <f t="shared" si="4"/>
        <v>0</v>
      </c>
      <c r="BI14">
        <f t="shared" si="4"/>
        <v>0</v>
      </c>
      <c r="BJ14">
        <f t="shared" si="4"/>
        <v>1</v>
      </c>
      <c r="BK14">
        <f t="shared" si="13"/>
        <v>7</v>
      </c>
      <c r="BM14" s="1" t="s">
        <v>229</v>
      </c>
      <c r="BN14" s="1" t="s">
        <v>257</v>
      </c>
      <c r="BO14">
        <f t="shared" si="14"/>
        <v>0</v>
      </c>
      <c r="BP14">
        <f t="shared" si="5"/>
        <v>1</v>
      </c>
      <c r="BQ14">
        <f t="shared" si="5"/>
        <v>0</v>
      </c>
      <c r="BR14">
        <f t="shared" si="5"/>
        <v>1</v>
      </c>
      <c r="BS14">
        <f t="shared" si="5"/>
        <v>0</v>
      </c>
      <c r="BT14">
        <f t="shared" si="5"/>
        <v>0</v>
      </c>
      <c r="BU14">
        <f t="shared" si="5"/>
        <v>1</v>
      </c>
      <c r="BW14" s="1" t="s">
        <v>209</v>
      </c>
      <c r="BZ14" s="1" t="s">
        <v>253</v>
      </c>
      <c r="CX14" s="1" t="s">
        <v>258</v>
      </c>
      <c r="CZ14" s="1" t="s">
        <v>259</v>
      </c>
      <c r="DB14" s="1" t="s">
        <v>260</v>
      </c>
      <c r="DC14" s="1" t="s">
        <v>235</v>
      </c>
    </row>
    <row r="15" spans="1:107" x14ac:dyDescent="0.25">
      <c r="A15" s="1" t="b">
        <v>1</v>
      </c>
      <c r="B15" s="2">
        <v>46151.560682870368</v>
      </c>
      <c r="C15" s="1" t="s">
        <v>261</v>
      </c>
      <c r="D15" s="1" t="s">
        <v>4</v>
      </c>
      <c r="E15">
        <f t="shared" si="6"/>
        <v>1</v>
      </c>
      <c r="F15">
        <f t="shared" si="0"/>
        <v>0</v>
      </c>
      <c r="G15">
        <f t="shared" si="0"/>
        <v>0</v>
      </c>
      <c r="H15">
        <f t="shared" si="0"/>
        <v>0</v>
      </c>
      <c r="I15">
        <f t="shared" si="0"/>
        <v>0</v>
      </c>
      <c r="J15">
        <f t="shared" si="0"/>
        <v>0</v>
      </c>
      <c r="K15">
        <f t="shared" si="0"/>
        <v>0</v>
      </c>
      <c r="L15">
        <f t="shared" si="7"/>
        <v>1</v>
      </c>
      <c r="N15" s="1" t="s">
        <v>262</v>
      </c>
      <c r="O15" s="1"/>
      <c r="P15" s="1"/>
      <c r="Q15" s="1"/>
      <c r="R15" s="1"/>
      <c r="S15" s="1"/>
      <c r="T15" s="1"/>
      <c r="V15" s="1" t="s">
        <v>21</v>
      </c>
      <c r="W15" s="1" t="str">
        <f t="shared" ref="W15:AA15" si="28">IF(W$1=$V15, "True", "False")</f>
        <v>True</v>
      </c>
      <c r="X15" s="1" t="str">
        <f t="shared" si="28"/>
        <v>False</v>
      </c>
      <c r="Y15" s="1" t="str">
        <f t="shared" si="28"/>
        <v>False</v>
      </c>
      <c r="Z15" s="1" t="str">
        <f t="shared" si="28"/>
        <v>False</v>
      </c>
      <c r="AA15" s="1" t="str">
        <f t="shared" si="28"/>
        <v>False</v>
      </c>
      <c r="AB15" s="1" t="s">
        <v>27</v>
      </c>
      <c r="AC15">
        <f t="shared" si="9"/>
        <v>1</v>
      </c>
      <c r="AD15">
        <f t="shared" si="2"/>
        <v>0</v>
      </c>
      <c r="AE15">
        <f t="shared" si="2"/>
        <v>0</v>
      </c>
      <c r="AF15">
        <f t="shared" si="2"/>
        <v>0</v>
      </c>
      <c r="AG15">
        <f t="shared" si="2"/>
        <v>0</v>
      </c>
      <c r="AH15">
        <f t="shared" si="2"/>
        <v>0</v>
      </c>
      <c r="AI15" s="1">
        <f t="shared" si="10"/>
        <v>1</v>
      </c>
      <c r="AK15" s="1" t="s">
        <v>263</v>
      </c>
      <c r="AL15">
        <f t="shared" si="11"/>
        <v>0</v>
      </c>
      <c r="AM15">
        <f t="shared" si="3"/>
        <v>1</v>
      </c>
      <c r="AN15">
        <f t="shared" si="3"/>
        <v>1</v>
      </c>
      <c r="AO15">
        <f t="shared" si="3"/>
        <v>1</v>
      </c>
      <c r="AP15">
        <f t="shared" si="3"/>
        <v>0</v>
      </c>
      <c r="AQ15">
        <f t="shared" si="3"/>
        <v>1</v>
      </c>
      <c r="AR15">
        <f t="shared" si="3"/>
        <v>1</v>
      </c>
      <c r="AS15">
        <f t="shared" si="3"/>
        <v>0</v>
      </c>
      <c r="AU15" s="1" t="s">
        <v>45</v>
      </c>
      <c r="AV15" s="1">
        <f t="shared" si="18"/>
        <v>1</v>
      </c>
      <c r="AW15" s="1">
        <f t="shared" si="19"/>
        <v>0</v>
      </c>
      <c r="AX15" s="1">
        <f t="shared" si="20"/>
        <v>0</v>
      </c>
      <c r="AY15" s="1" t="s">
        <v>46</v>
      </c>
      <c r="BA15" s="1" t="s">
        <v>59</v>
      </c>
      <c r="BB15">
        <f t="shared" si="12"/>
        <v>0</v>
      </c>
      <c r="BC15">
        <f t="shared" si="4"/>
        <v>0</v>
      </c>
      <c r="BD15">
        <f t="shared" si="4"/>
        <v>0</v>
      </c>
      <c r="BE15">
        <f t="shared" si="4"/>
        <v>0</v>
      </c>
      <c r="BF15">
        <f t="shared" si="4"/>
        <v>0</v>
      </c>
      <c r="BG15">
        <f t="shared" si="4"/>
        <v>0</v>
      </c>
      <c r="BH15">
        <f t="shared" si="4"/>
        <v>0</v>
      </c>
      <c r="BI15">
        <f t="shared" si="4"/>
        <v>0</v>
      </c>
      <c r="BJ15">
        <f t="shared" si="4"/>
        <v>1</v>
      </c>
      <c r="BK15">
        <f t="shared" si="13"/>
        <v>1</v>
      </c>
      <c r="BM15" s="1" t="s">
        <v>264</v>
      </c>
      <c r="BN15" s="1" t="s">
        <v>265</v>
      </c>
      <c r="BO15">
        <f t="shared" si="14"/>
        <v>1</v>
      </c>
      <c r="BP15">
        <f t="shared" si="5"/>
        <v>1</v>
      </c>
      <c r="BQ15">
        <f t="shared" si="5"/>
        <v>0</v>
      </c>
      <c r="BR15">
        <f t="shared" si="5"/>
        <v>0</v>
      </c>
      <c r="BS15">
        <f t="shared" si="5"/>
        <v>0</v>
      </c>
      <c r="BT15">
        <f t="shared" si="5"/>
        <v>0</v>
      </c>
      <c r="BU15">
        <f t="shared" si="5"/>
        <v>0</v>
      </c>
      <c r="BV15" s="1" t="s">
        <v>266</v>
      </c>
      <c r="DC15" s="1" t="s">
        <v>235</v>
      </c>
    </row>
    <row r="16" spans="1:107" x14ac:dyDescent="0.25">
      <c r="A16" s="1" t="b">
        <v>1</v>
      </c>
      <c r="B16" s="2">
        <v>46151.902384259258</v>
      </c>
      <c r="C16" s="1" t="s">
        <v>267</v>
      </c>
      <c r="D16" s="1" t="s">
        <v>268</v>
      </c>
      <c r="E16">
        <f t="shared" si="6"/>
        <v>1</v>
      </c>
      <c r="F16">
        <f t="shared" si="0"/>
        <v>30</v>
      </c>
      <c r="G16">
        <f t="shared" si="0"/>
        <v>105</v>
      </c>
      <c r="H16">
        <f t="shared" si="0"/>
        <v>0</v>
      </c>
      <c r="I16">
        <f t="shared" si="0"/>
        <v>0</v>
      </c>
      <c r="J16">
        <f t="shared" si="0"/>
        <v>161</v>
      </c>
      <c r="K16">
        <f t="shared" si="0"/>
        <v>0</v>
      </c>
      <c r="L16">
        <f t="shared" si="7"/>
        <v>161</v>
      </c>
      <c r="N16" s="1" t="s">
        <v>269</v>
      </c>
      <c r="O16" s="1"/>
      <c r="P16" s="1"/>
      <c r="Q16" s="1"/>
      <c r="R16" s="1"/>
      <c r="S16" s="1"/>
      <c r="T16" s="1"/>
      <c r="V16" s="1" t="s">
        <v>23</v>
      </c>
      <c r="W16" s="1" t="str">
        <f t="shared" ref="W16:AA16" si="29">IF(W$1=$V16, "True", "False")</f>
        <v>False</v>
      </c>
      <c r="X16" s="1" t="str">
        <f t="shared" si="29"/>
        <v>False</v>
      </c>
      <c r="Y16" s="1" t="str">
        <f t="shared" si="29"/>
        <v>True</v>
      </c>
      <c r="Z16" s="1" t="str">
        <f t="shared" si="29"/>
        <v>False</v>
      </c>
      <c r="AA16" s="1" t="str">
        <f t="shared" si="29"/>
        <v>False</v>
      </c>
      <c r="AB16" s="1" t="s">
        <v>270</v>
      </c>
      <c r="AC16">
        <f t="shared" si="9"/>
        <v>0</v>
      </c>
      <c r="AD16">
        <f t="shared" si="2"/>
        <v>0</v>
      </c>
      <c r="AE16">
        <f t="shared" si="2"/>
        <v>0</v>
      </c>
      <c r="AF16">
        <f t="shared" si="2"/>
        <v>0</v>
      </c>
      <c r="AG16">
        <f t="shared" si="2"/>
        <v>1</v>
      </c>
      <c r="AH16">
        <f t="shared" si="2"/>
        <v>0</v>
      </c>
      <c r="AI16" s="1">
        <f t="shared" si="10"/>
        <v>1</v>
      </c>
      <c r="AJ16" s="1" t="s">
        <v>271</v>
      </c>
      <c r="AK16" s="1" t="s">
        <v>256</v>
      </c>
      <c r="AL16">
        <f t="shared" si="11"/>
        <v>1</v>
      </c>
      <c r="AM16">
        <f t="shared" si="3"/>
        <v>1</v>
      </c>
      <c r="AN16">
        <f t="shared" si="3"/>
        <v>0</v>
      </c>
      <c r="AO16">
        <f t="shared" si="3"/>
        <v>1</v>
      </c>
      <c r="AP16">
        <f t="shared" si="3"/>
        <v>0</v>
      </c>
      <c r="AQ16">
        <f t="shared" si="3"/>
        <v>0</v>
      </c>
      <c r="AR16">
        <f t="shared" si="3"/>
        <v>0</v>
      </c>
      <c r="AS16">
        <f t="shared" si="3"/>
        <v>0</v>
      </c>
      <c r="AU16" s="1" t="s">
        <v>46</v>
      </c>
      <c r="AV16" s="1">
        <f t="shared" si="18"/>
        <v>0</v>
      </c>
      <c r="AW16" s="1">
        <f t="shared" si="19"/>
        <v>1</v>
      </c>
      <c r="AX16" s="1">
        <f t="shared" si="20"/>
        <v>0</v>
      </c>
      <c r="AY16" s="1" t="s">
        <v>46</v>
      </c>
      <c r="BA16" s="1" t="s">
        <v>272</v>
      </c>
      <c r="BB16">
        <f t="shared" si="12"/>
        <v>0</v>
      </c>
      <c r="BC16">
        <f t="shared" si="4"/>
        <v>1</v>
      </c>
      <c r="BD16">
        <f t="shared" si="4"/>
        <v>1</v>
      </c>
      <c r="BE16">
        <f t="shared" si="4"/>
        <v>1</v>
      </c>
      <c r="BF16">
        <f t="shared" si="4"/>
        <v>0</v>
      </c>
      <c r="BG16">
        <f t="shared" si="4"/>
        <v>0</v>
      </c>
      <c r="BH16">
        <f t="shared" si="4"/>
        <v>1</v>
      </c>
      <c r="BI16">
        <f t="shared" si="4"/>
        <v>1</v>
      </c>
      <c r="BJ16">
        <f t="shared" si="4"/>
        <v>1</v>
      </c>
      <c r="BK16">
        <f t="shared" si="13"/>
        <v>6</v>
      </c>
      <c r="BM16" s="1" t="s">
        <v>163</v>
      </c>
      <c r="BN16" s="1" t="s">
        <v>273</v>
      </c>
      <c r="BO16">
        <f t="shared" si="14"/>
        <v>1</v>
      </c>
      <c r="BP16">
        <f t="shared" si="5"/>
        <v>0</v>
      </c>
      <c r="BQ16">
        <f t="shared" si="5"/>
        <v>0</v>
      </c>
      <c r="BR16">
        <f t="shared" si="5"/>
        <v>1</v>
      </c>
      <c r="BS16">
        <f t="shared" si="5"/>
        <v>1</v>
      </c>
      <c r="BT16">
        <f t="shared" si="5"/>
        <v>0</v>
      </c>
      <c r="BU16">
        <f t="shared" si="5"/>
        <v>0</v>
      </c>
      <c r="BW16" s="1" t="s">
        <v>274</v>
      </c>
      <c r="BZ16" s="1" t="s">
        <v>275</v>
      </c>
      <c r="CR16" s="1" t="s">
        <v>175</v>
      </c>
      <c r="CT16" s="1" t="s">
        <v>276</v>
      </c>
      <c r="CU16" s="1" t="s">
        <v>277</v>
      </c>
      <c r="CW16" s="1" t="s">
        <v>278</v>
      </c>
      <c r="CX16" s="1" t="s">
        <v>279</v>
      </c>
      <c r="CZ16" s="1" t="s">
        <v>280</v>
      </c>
      <c r="DB16" s="1" t="s">
        <v>281</v>
      </c>
      <c r="DC16" s="1" t="s">
        <v>177</v>
      </c>
    </row>
    <row r="17" spans="1:107" x14ac:dyDescent="0.25">
      <c r="A17" s="1" t="b">
        <v>1</v>
      </c>
      <c r="B17" s="2">
        <v>46152.460173611114</v>
      </c>
      <c r="C17" s="1" t="s">
        <v>282</v>
      </c>
      <c r="D17" s="1" t="s">
        <v>283</v>
      </c>
      <c r="E17">
        <f t="shared" si="6"/>
        <v>1</v>
      </c>
      <c r="F17">
        <f t="shared" si="0"/>
        <v>0</v>
      </c>
      <c r="G17">
        <f t="shared" si="0"/>
        <v>0</v>
      </c>
      <c r="H17">
        <f t="shared" si="0"/>
        <v>0</v>
      </c>
      <c r="I17">
        <f t="shared" si="0"/>
        <v>0</v>
      </c>
      <c r="J17">
        <f t="shared" si="0"/>
        <v>30</v>
      </c>
      <c r="K17">
        <f t="shared" si="0"/>
        <v>67</v>
      </c>
      <c r="L17">
        <f t="shared" si="7"/>
        <v>67</v>
      </c>
      <c r="N17" s="1" t="s">
        <v>205</v>
      </c>
      <c r="O17" s="1"/>
      <c r="P17" s="1"/>
      <c r="Q17" s="1"/>
      <c r="R17" s="1"/>
      <c r="S17" s="1"/>
      <c r="T17" s="1"/>
      <c r="V17" s="1" t="s">
        <v>24</v>
      </c>
      <c r="W17" s="1" t="str">
        <f t="shared" ref="W17:AA17" si="30">IF(W$1=$V17, "True", "False")</f>
        <v>False</v>
      </c>
      <c r="X17" s="1" t="str">
        <f t="shared" si="30"/>
        <v>False</v>
      </c>
      <c r="Y17" s="1" t="str">
        <f t="shared" si="30"/>
        <v>False</v>
      </c>
      <c r="Z17" s="1" t="str">
        <f t="shared" si="30"/>
        <v>True</v>
      </c>
      <c r="AA17" s="1" t="str">
        <f t="shared" si="30"/>
        <v>False</v>
      </c>
      <c r="AB17" s="1" t="s">
        <v>284</v>
      </c>
      <c r="AC17">
        <f t="shared" si="9"/>
        <v>0</v>
      </c>
      <c r="AD17">
        <f t="shared" si="2"/>
        <v>0</v>
      </c>
      <c r="AE17">
        <f t="shared" si="2"/>
        <v>0</v>
      </c>
      <c r="AF17">
        <f t="shared" si="2"/>
        <v>1</v>
      </c>
      <c r="AG17">
        <f t="shared" si="2"/>
        <v>1</v>
      </c>
      <c r="AH17">
        <f t="shared" si="2"/>
        <v>0</v>
      </c>
      <c r="AI17" s="1">
        <f t="shared" si="10"/>
        <v>2</v>
      </c>
      <c r="AK17" s="1" t="s">
        <v>285</v>
      </c>
      <c r="AL17">
        <f t="shared" si="11"/>
        <v>0</v>
      </c>
      <c r="AM17">
        <f t="shared" si="3"/>
        <v>1</v>
      </c>
      <c r="AN17">
        <f t="shared" si="3"/>
        <v>0</v>
      </c>
      <c r="AO17">
        <f t="shared" si="3"/>
        <v>1</v>
      </c>
      <c r="AP17">
        <f t="shared" si="3"/>
        <v>0</v>
      </c>
      <c r="AQ17">
        <f t="shared" si="3"/>
        <v>0</v>
      </c>
      <c r="AR17">
        <f t="shared" si="3"/>
        <v>0</v>
      </c>
      <c r="AS17">
        <f t="shared" si="3"/>
        <v>0</v>
      </c>
      <c r="AU17" s="1" t="s">
        <v>46</v>
      </c>
      <c r="AV17" s="1">
        <f t="shared" si="18"/>
        <v>0</v>
      </c>
      <c r="AW17" s="1">
        <f t="shared" si="19"/>
        <v>1</v>
      </c>
      <c r="AX17" s="1">
        <f t="shared" si="20"/>
        <v>0</v>
      </c>
      <c r="AY17" s="1" t="s">
        <v>46</v>
      </c>
      <c r="BA17" s="1" t="s">
        <v>286</v>
      </c>
      <c r="BB17">
        <f t="shared" si="12"/>
        <v>0</v>
      </c>
      <c r="BC17">
        <f t="shared" si="4"/>
        <v>1</v>
      </c>
      <c r="BD17">
        <f t="shared" si="4"/>
        <v>1</v>
      </c>
      <c r="BE17">
        <f t="shared" si="4"/>
        <v>1</v>
      </c>
      <c r="BF17">
        <f t="shared" si="4"/>
        <v>0</v>
      </c>
      <c r="BG17">
        <f t="shared" si="4"/>
        <v>0</v>
      </c>
      <c r="BH17">
        <f t="shared" si="4"/>
        <v>1</v>
      </c>
      <c r="BI17">
        <f t="shared" si="4"/>
        <v>0</v>
      </c>
      <c r="BJ17">
        <f t="shared" si="4"/>
        <v>1</v>
      </c>
      <c r="BK17">
        <f t="shared" si="13"/>
        <v>5</v>
      </c>
      <c r="BM17" s="1" t="s">
        <v>163</v>
      </c>
      <c r="BN17" s="1" t="s">
        <v>287</v>
      </c>
      <c r="BO17">
        <f t="shared" si="14"/>
        <v>0</v>
      </c>
      <c r="BP17">
        <f t="shared" si="5"/>
        <v>0</v>
      </c>
      <c r="BQ17">
        <f t="shared" si="5"/>
        <v>0</v>
      </c>
      <c r="BR17">
        <f t="shared" si="5"/>
        <v>1</v>
      </c>
      <c r="BS17">
        <f t="shared" si="5"/>
        <v>0</v>
      </c>
      <c r="BT17">
        <f t="shared" si="5"/>
        <v>1</v>
      </c>
      <c r="BU17">
        <f t="shared" si="5"/>
        <v>0</v>
      </c>
      <c r="BW17" s="1" t="s">
        <v>217</v>
      </c>
      <c r="BY17" s="1" t="s">
        <v>288</v>
      </c>
      <c r="BZ17" s="1" t="s">
        <v>275</v>
      </c>
      <c r="CM17" s="1" t="s">
        <v>45</v>
      </c>
      <c r="CQ17" s="1" t="s">
        <v>46</v>
      </c>
      <c r="CR17" s="1" t="s">
        <v>211</v>
      </c>
      <c r="CT17" s="1" t="s">
        <v>289</v>
      </c>
      <c r="DC17" s="1" t="s">
        <v>235</v>
      </c>
    </row>
    <row r="18" spans="1:107" x14ac:dyDescent="0.25">
      <c r="A18" s="1" t="b">
        <v>1</v>
      </c>
      <c r="B18" s="2">
        <v>46152.556076388886</v>
      </c>
      <c r="C18" s="1" t="s">
        <v>290</v>
      </c>
      <c r="D18" s="1" t="s">
        <v>4</v>
      </c>
      <c r="E18">
        <f t="shared" si="6"/>
        <v>1</v>
      </c>
      <c r="F18">
        <f t="shared" si="0"/>
        <v>0</v>
      </c>
      <c r="G18">
        <f t="shared" si="0"/>
        <v>0</v>
      </c>
      <c r="H18">
        <f t="shared" si="0"/>
        <v>0</v>
      </c>
      <c r="I18">
        <f t="shared" si="0"/>
        <v>0</v>
      </c>
      <c r="J18">
        <f t="shared" si="0"/>
        <v>0</v>
      </c>
      <c r="K18">
        <f t="shared" si="0"/>
        <v>0</v>
      </c>
      <c r="L18">
        <f t="shared" si="7"/>
        <v>1</v>
      </c>
      <c r="N18" s="1" t="s">
        <v>291</v>
      </c>
      <c r="O18" s="1"/>
      <c r="P18" s="1"/>
      <c r="Q18" s="1"/>
      <c r="R18" s="1"/>
      <c r="S18" s="1"/>
      <c r="T18" s="1"/>
      <c r="V18" s="1" t="s">
        <v>21</v>
      </c>
      <c r="W18" s="1" t="str">
        <f t="shared" ref="W18:AA18" si="31">IF(W$1=$V18, "True", "False")</f>
        <v>True</v>
      </c>
      <c r="X18" s="1" t="str">
        <f t="shared" si="31"/>
        <v>False</v>
      </c>
      <c r="Y18" s="1" t="str">
        <f t="shared" si="31"/>
        <v>False</v>
      </c>
      <c r="Z18" s="1" t="str">
        <f t="shared" si="31"/>
        <v>False</v>
      </c>
      <c r="AA18" s="1" t="str">
        <f t="shared" si="31"/>
        <v>False</v>
      </c>
      <c r="AB18" s="1" t="s">
        <v>28</v>
      </c>
      <c r="AC18">
        <f t="shared" si="9"/>
        <v>0</v>
      </c>
      <c r="AD18">
        <f t="shared" si="2"/>
        <v>1</v>
      </c>
      <c r="AE18">
        <f t="shared" si="2"/>
        <v>0</v>
      </c>
      <c r="AF18">
        <f t="shared" si="2"/>
        <v>0</v>
      </c>
      <c r="AG18">
        <f t="shared" si="2"/>
        <v>0</v>
      </c>
      <c r="AH18">
        <f t="shared" si="2"/>
        <v>0</v>
      </c>
      <c r="AI18" s="1">
        <f t="shared" si="10"/>
        <v>1</v>
      </c>
      <c r="AK18" s="1" t="s">
        <v>42</v>
      </c>
      <c r="AL18">
        <f t="shared" si="11"/>
        <v>0</v>
      </c>
      <c r="AM18">
        <f t="shared" si="3"/>
        <v>0</v>
      </c>
      <c r="AN18">
        <f t="shared" si="3"/>
        <v>0</v>
      </c>
      <c r="AO18">
        <f t="shared" si="3"/>
        <v>0</v>
      </c>
      <c r="AP18">
        <f t="shared" si="3"/>
        <v>0</v>
      </c>
      <c r="AQ18">
        <f t="shared" si="3"/>
        <v>0</v>
      </c>
      <c r="AR18">
        <f t="shared" si="3"/>
        <v>0</v>
      </c>
      <c r="AS18">
        <f t="shared" si="3"/>
        <v>1</v>
      </c>
      <c r="AU18" s="1" t="s">
        <v>45</v>
      </c>
      <c r="AV18" s="1">
        <f t="shared" si="18"/>
        <v>1</v>
      </c>
      <c r="AW18" s="1">
        <f t="shared" si="19"/>
        <v>0</v>
      </c>
      <c r="AX18" s="1">
        <f t="shared" si="20"/>
        <v>0</v>
      </c>
      <c r="AY18" s="1" t="s">
        <v>45</v>
      </c>
      <c r="AZ18" s="1" t="s">
        <v>45</v>
      </c>
      <c r="BA18" s="1" t="s">
        <v>52</v>
      </c>
      <c r="BB18">
        <f t="shared" si="12"/>
        <v>0</v>
      </c>
      <c r="BC18">
        <f t="shared" si="4"/>
        <v>1</v>
      </c>
      <c r="BD18">
        <f t="shared" si="4"/>
        <v>0</v>
      </c>
      <c r="BE18">
        <f t="shared" si="4"/>
        <v>0</v>
      </c>
      <c r="BF18">
        <f t="shared" si="4"/>
        <v>0</v>
      </c>
      <c r="BG18">
        <f t="shared" si="4"/>
        <v>0</v>
      </c>
      <c r="BH18">
        <f t="shared" si="4"/>
        <v>0</v>
      </c>
      <c r="BI18">
        <f t="shared" si="4"/>
        <v>0</v>
      </c>
      <c r="BJ18">
        <f t="shared" si="4"/>
        <v>0</v>
      </c>
      <c r="BK18">
        <f t="shared" si="13"/>
        <v>1</v>
      </c>
      <c r="BO18">
        <f t="shared" si="14"/>
        <v>0</v>
      </c>
      <c r="BP18">
        <f t="shared" si="5"/>
        <v>0</v>
      </c>
      <c r="BQ18">
        <f t="shared" si="5"/>
        <v>0</v>
      </c>
      <c r="BR18">
        <f t="shared" si="5"/>
        <v>0</v>
      </c>
      <c r="BS18">
        <f t="shared" si="5"/>
        <v>0</v>
      </c>
      <c r="BT18">
        <f t="shared" si="5"/>
        <v>0</v>
      </c>
      <c r="BU18">
        <f t="shared" si="5"/>
        <v>0</v>
      </c>
      <c r="DC18" s="1" t="s">
        <v>177</v>
      </c>
    </row>
    <row r="19" spans="1:107" x14ac:dyDescent="0.25">
      <c r="A19" s="1" t="b">
        <v>0</v>
      </c>
      <c r="B19" s="2">
        <v>46152.652453703704</v>
      </c>
      <c r="C19" s="1" t="s">
        <v>292</v>
      </c>
      <c r="D19" s="1" t="s">
        <v>293</v>
      </c>
      <c r="E19">
        <f t="shared" si="6"/>
        <v>1</v>
      </c>
      <c r="F19">
        <f t="shared" si="6"/>
        <v>30</v>
      </c>
      <c r="G19">
        <f t="shared" si="6"/>
        <v>105</v>
      </c>
      <c r="H19">
        <f t="shared" si="6"/>
        <v>161</v>
      </c>
      <c r="I19">
        <f t="shared" si="6"/>
        <v>199</v>
      </c>
      <c r="J19">
        <f t="shared" si="6"/>
        <v>231</v>
      </c>
      <c r="K19">
        <f t="shared" si="6"/>
        <v>0</v>
      </c>
      <c r="L19">
        <f t="shared" si="7"/>
        <v>231</v>
      </c>
      <c r="N19" s="1" t="s">
        <v>237</v>
      </c>
      <c r="O19" s="1"/>
      <c r="P19" s="1"/>
      <c r="Q19" s="1"/>
      <c r="R19" s="1"/>
      <c r="S19" s="1"/>
      <c r="T19" s="1"/>
      <c r="V19" s="1" t="s">
        <v>23</v>
      </c>
      <c r="W19" s="1" t="str">
        <f t="shared" ref="W19:AA19" si="32">IF(W$1=$V19, "True", "False")</f>
        <v>False</v>
      </c>
      <c r="X19" s="1" t="str">
        <f t="shared" si="32"/>
        <v>False</v>
      </c>
      <c r="Y19" s="1" t="str">
        <f t="shared" si="32"/>
        <v>True</v>
      </c>
      <c r="Z19" s="1" t="str">
        <f t="shared" si="32"/>
        <v>False</v>
      </c>
      <c r="AA19" s="1" t="str">
        <f t="shared" si="32"/>
        <v>False</v>
      </c>
      <c r="AB19" s="1" t="s">
        <v>32</v>
      </c>
      <c r="AC19">
        <f t="shared" si="9"/>
        <v>0</v>
      </c>
      <c r="AD19">
        <f t="shared" si="9"/>
        <v>0</v>
      </c>
      <c r="AE19">
        <f t="shared" si="9"/>
        <v>0</v>
      </c>
      <c r="AF19">
        <f t="shared" si="9"/>
        <v>0</v>
      </c>
      <c r="AG19">
        <f t="shared" si="9"/>
        <v>0</v>
      </c>
      <c r="AH19">
        <f t="shared" si="9"/>
        <v>1</v>
      </c>
      <c r="AI19" s="1">
        <f t="shared" si="10"/>
        <v>1</v>
      </c>
      <c r="AJ19" s="1"/>
      <c r="AK19" s="1" t="s">
        <v>36</v>
      </c>
      <c r="AL19">
        <f t="shared" si="11"/>
        <v>0</v>
      </c>
      <c r="AM19">
        <f t="shared" si="11"/>
        <v>1</v>
      </c>
      <c r="AN19">
        <f t="shared" si="11"/>
        <v>0</v>
      </c>
      <c r="AO19">
        <f t="shared" si="11"/>
        <v>0</v>
      </c>
      <c r="AP19">
        <f t="shared" si="11"/>
        <v>0</v>
      </c>
      <c r="AQ19">
        <f t="shared" si="11"/>
        <v>0</v>
      </c>
      <c r="AR19">
        <f t="shared" si="11"/>
        <v>0</v>
      </c>
      <c r="AS19">
        <f t="shared" si="11"/>
        <v>0</v>
      </c>
      <c r="AU19" s="1" t="s">
        <v>46</v>
      </c>
      <c r="AV19" s="1">
        <f t="shared" si="18"/>
        <v>0</v>
      </c>
      <c r="AW19" s="1">
        <f t="shared" si="19"/>
        <v>1</v>
      </c>
      <c r="AX19" s="1">
        <f t="shared" si="20"/>
        <v>0</v>
      </c>
      <c r="AY19" s="1" t="s">
        <v>46</v>
      </c>
      <c r="BA19" s="1" t="s">
        <v>294</v>
      </c>
      <c r="BB19">
        <f t="shared" si="12"/>
        <v>1</v>
      </c>
      <c r="BC19">
        <f t="shared" si="12"/>
        <v>0</v>
      </c>
      <c r="BD19">
        <f t="shared" si="12"/>
        <v>1</v>
      </c>
      <c r="BE19">
        <f t="shared" si="12"/>
        <v>0</v>
      </c>
      <c r="BF19">
        <f t="shared" si="12"/>
        <v>1</v>
      </c>
      <c r="BG19">
        <f t="shared" si="12"/>
        <v>1</v>
      </c>
      <c r="BH19">
        <f t="shared" si="12"/>
        <v>0</v>
      </c>
      <c r="BI19">
        <f t="shared" si="12"/>
        <v>0</v>
      </c>
      <c r="BJ19">
        <f t="shared" si="12"/>
        <v>1</v>
      </c>
      <c r="BK19">
        <f t="shared" si="13"/>
        <v>5</v>
      </c>
      <c r="BM19" s="1" t="s">
        <v>187</v>
      </c>
      <c r="BN19" s="1" t="s">
        <v>295</v>
      </c>
      <c r="BO19">
        <f t="shared" si="14"/>
        <v>0</v>
      </c>
      <c r="BP19">
        <f t="shared" si="14"/>
        <v>0</v>
      </c>
      <c r="BQ19">
        <f t="shared" si="14"/>
        <v>0</v>
      </c>
      <c r="BR19">
        <f t="shared" si="14"/>
        <v>1</v>
      </c>
      <c r="BS19">
        <f t="shared" si="14"/>
        <v>1</v>
      </c>
      <c r="BT19">
        <f t="shared" si="14"/>
        <v>0</v>
      </c>
      <c r="BU19">
        <f t="shared" si="14"/>
        <v>1</v>
      </c>
      <c r="BV19" s="1" t="s">
        <v>296</v>
      </c>
      <c r="BY19" s="1" t="s">
        <v>297</v>
      </c>
    </row>
    <row r="20" spans="1:107" x14ac:dyDescent="0.25">
      <c r="A20" s="1" t="b">
        <v>0</v>
      </c>
      <c r="B20" s="2">
        <v>46152.736087962963</v>
      </c>
      <c r="C20" s="1" t="s">
        <v>298</v>
      </c>
      <c r="D20" s="1" t="s">
        <v>299</v>
      </c>
      <c r="E20">
        <f t="shared" ref="E20:K35" si="33">IF(ISNUMBER(SEARCH(E$1,$D20)), SEARCH(E$1,$D20), 0)</f>
        <v>1</v>
      </c>
      <c r="F20">
        <f t="shared" si="33"/>
        <v>0</v>
      </c>
      <c r="G20">
        <f t="shared" si="33"/>
        <v>30</v>
      </c>
      <c r="H20">
        <f t="shared" si="33"/>
        <v>0</v>
      </c>
      <c r="I20">
        <f t="shared" si="33"/>
        <v>0</v>
      </c>
      <c r="J20">
        <f t="shared" si="33"/>
        <v>0</v>
      </c>
      <c r="K20">
        <f t="shared" si="33"/>
        <v>0</v>
      </c>
      <c r="L20">
        <f t="shared" si="7"/>
        <v>30</v>
      </c>
      <c r="N20" s="1" t="s">
        <v>219</v>
      </c>
      <c r="O20" s="1"/>
      <c r="P20" s="1"/>
      <c r="Q20" s="1"/>
      <c r="R20" s="1"/>
      <c r="S20" s="1"/>
      <c r="T20" s="1"/>
      <c r="W20" s="1" t="str">
        <f t="shared" ref="W20:AA20" si="34">IF(W$1=$V20, "True", "False")</f>
        <v>False</v>
      </c>
      <c r="X20" s="1" t="str">
        <f t="shared" si="34"/>
        <v>False</v>
      </c>
      <c r="Y20" s="1" t="str">
        <f t="shared" si="34"/>
        <v>False</v>
      </c>
      <c r="Z20" s="1" t="str">
        <f t="shared" si="34"/>
        <v>False</v>
      </c>
      <c r="AA20" s="1" t="str">
        <f t="shared" si="34"/>
        <v>False</v>
      </c>
      <c r="AC20">
        <f t="shared" ref="AC20:AH35" si="35">IF(ISNUMBER(SEARCH(AC$1,$AB20)), 1, 0)</f>
        <v>0</v>
      </c>
      <c r="AD20">
        <f t="shared" si="35"/>
        <v>0</v>
      </c>
      <c r="AE20">
        <f t="shared" si="35"/>
        <v>0</v>
      </c>
      <c r="AF20">
        <f t="shared" si="35"/>
        <v>0</v>
      </c>
      <c r="AG20">
        <f t="shared" si="35"/>
        <v>0</v>
      </c>
      <c r="AH20">
        <f t="shared" si="35"/>
        <v>0</v>
      </c>
      <c r="AI20" s="1">
        <f t="shared" si="10"/>
        <v>0</v>
      </c>
      <c r="AL20">
        <f t="shared" ref="AL20:AS35" si="36">IF(ISNUMBER(SEARCH(AL$1,$AK20)), 1, 0)</f>
        <v>0</v>
      </c>
      <c r="AM20">
        <f t="shared" si="36"/>
        <v>0</v>
      </c>
      <c r="AN20">
        <f t="shared" si="36"/>
        <v>0</v>
      </c>
      <c r="AO20">
        <f t="shared" si="36"/>
        <v>0</v>
      </c>
      <c r="AP20">
        <f t="shared" si="36"/>
        <v>0</v>
      </c>
      <c r="AQ20">
        <f t="shared" si="36"/>
        <v>0</v>
      </c>
      <c r="AR20">
        <f t="shared" si="36"/>
        <v>0</v>
      </c>
      <c r="AS20">
        <f t="shared" si="36"/>
        <v>0</v>
      </c>
      <c r="AV20" s="1">
        <f t="shared" si="18"/>
        <v>0</v>
      </c>
      <c r="AW20" s="1">
        <f t="shared" si="19"/>
        <v>0</v>
      </c>
      <c r="AX20" s="1">
        <f t="shared" si="20"/>
        <v>0</v>
      </c>
      <c r="BB20">
        <f t="shared" ref="BB20:BJ35" si="37">IF(ISNUMBER(SEARCH(BB$1,$BA20)), 1, 0)</f>
        <v>0</v>
      </c>
      <c r="BC20">
        <f t="shared" si="37"/>
        <v>0</v>
      </c>
      <c r="BD20">
        <f t="shared" si="37"/>
        <v>0</v>
      </c>
      <c r="BE20">
        <f t="shared" si="37"/>
        <v>0</v>
      </c>
      <c r="BF20">
        <f t="shared" si="37"/>
        <v>0</v>
      </c>
      <c r="BG20">
        <f t="shared" si="37"/>
        <v>0</v>
      </c>
      <c r="BH20">
        <f t="shared" si="37"/>
        <v>0</v>
      </c>
      <c r="BI20">
        <f t="shared" si="37"/>
        <v>0</v>
      </c>
      <c r="BJ20">
        <f t="shared" si="37"/>
        <v>0</v>
      </c>
      <c r="BK20">
        <f t="shared" si="13"/>
        <v>0</v>
      </c>
      <c r="BO20">
        <f t="shared" ref="BO20:BU35" si="38">IF(ISNUMBER(SEARCH(BO$1,$BN20)), 1, 0)</f>
        <v>0</v>
      </c>
      <c r="BP20">
        <f t="shared" si="38"/>
        <v>0</v>
      </c>
      <c r="BQ20">
        <f t="shared" si="38"/>
        <v>0</v>
      </c>
      <c r="BR20">
        <f t="shared" si="38"/>
        <v>0</v>
      </c>
      <c r="BS20">
        <f t="shared" si="38"/>
        <v>0</v>
      </c>
      <c r="BT20">
        <f t="shared" si="38"/>
        <v>0</v>
      </c>
      <c r="BU20">
        <f t="shared" si="38"/>
        <v>0</v>
      </c>
    </row>
    <row r="21" spans="1:107" x14ac:dyDescent="0.25">
      <c r="A21" s="1" t="b">
        <v>1</v>
      </c>
      <c r="B21" s="2">
        <v>46152.914687500001</v>
      </c>
      <c r="C21" s="1" t="s">
        <v>300</v>
      </c>
      <c r="D21" s="1" t="s">
        <v>4</v>
      </c>
      <c r="E21">
        <f t="shared" si="33"/>
        <v>1</v>
      </c>
      <c r="F21">
        <f t="shared" si="33"/>
        <v>0</v>
      </c>
      <c r="G21">
        <f t="shared" si="33"/>
        <v>0</v>
      </c>
      <c r="H21">
        <f t="shared" si="33"/>
        <v>0</v>
      </c>
      <c r="I21">
        <f t="shared" si="33"/>
        <v>0</v>
      </c>
      <c r="J21">
        <f t="shared" si="33"/>
        <v>0</v>
      </c>
      <c r="K21">
        <f t="shared" si="33"/>
        <v>0</v>
      </c>
      <c r="L21">
        <f t="shared" si="7"/>
        <v>1</v>
      </c>
      <c r="N21" s="1" t="s">
        <v>291</v>
      </c>
      <c r="O21" s="1"/>
      <c r="P21" s="1"/>
      <c r="Q21" s="1"/>
      <c r="R21" s="1"/>
      <c r="S21" s="1"/>
      <c r="T21" s="1"/>
      <c r="V21" s="1" t="s">
        <v>21</v>
      </c>
      <c r="W21" s="1" t="str">
        <f t="shared" ref="W21:AA21" si="39">IF(W$1=$V21, "True", "False")</f>
        <v>True</v>
      </c>
      <c r="X21" s="1" t="str">
        <f t="shared" si="39"/>
        <v>False</v>
      </c>
      <c r="Y21" s="1" t="str">
        <f t="shared" si="39"/>
        <v>False</v>
      </c>
      <c r="Z21" s="1" t="str">
        <f t="shared" si="39"/>
        <v>False</v>
      </c>
      <c r="AA21" s="1" t="str">
        <f t="shared" si="39"/>
        <v>False</v>
      </c>
      <c r="AC21">
        <f t="shared" si="35"/>
        <v>0</v>
      </c>
      <c r="AD21">
        <f t="shared" si="35"/>
        <v>0</v>
      </c>
      <c r="AE21">
        <f t="shared" si="35"/>
        <v>0</v>
      </c>
      <c r="AF21">
        <f t="shared" si="35"/>
        <v>0</v>
      </c>
      <c r="AG21">
        <f t="shared" si="35"/>
        <v>0</v>
      </c>
      <c r="AH21">
        <f t="shared" si="35"/>
        <v>0</v>
      </c>
      <c r="AI21" s="1">
        <f t="shared" si="10"/>
        <v>0</v>
      </c>
      <c r="AK21" s="1" t="s">
        <v>36</v>
      </c>
      <c r="AL21">
        <f t="shared" si="36"/>
        <v>0</v>
      </c>
      <c r="AM21">
        <f t="shared" si="36"/>
        <v>1</v>
      </c>
      <c r="AN21">
        <f t="shared" si="36"/>
        <v>0</v>
      </c>
      <c r="AO21">
        <f t="shared" si="36"/>
        <v>0</v>
      </c>
      <c r="AP21">
        <f t="shared" si="36"/>
        <v>0</v>
      </c>
      <c r="AQ21">
        <f t="shared" si="36"/>
        <v>0</v>
      </c>
      <c r="AR21">
        <f t="shared" si="36"/>
        <v>0</v>
      </c>
      <c r="AS21">
        <f t="shared" si="36"/>
        <v>0</v>
      </c>
      <c r="AU21" s="1" t="s">
        <v>45</v>
      </c>
      <c r="AV21" s="1">
        <f t="shared" si="18"/>
        <v>1</v>
      </c>
      <c r="AW21" s="1">
        <f t="shared" si="19"/>
        <v>0</v>
      </c>
      <c r="AX21" s="1">
        <f t="shared" si="20"/>
        <v>0</v>
      </c>
      <c r="AY21" s="1" t="s">
        <v>45</v>
      </c>
      <c r="AZ21" s="1" t="s">
        <v>45</v>
      </c>
      <c r="BA21" s="1" t="s">
        <v>59</v>
      </c>
      <c r="BB21">
        <f t="shared" si="37"/>
        <v>0</v>
      </c>
      <c r="BC21">
        <f t="shared" si="37"/>
        <v>0</v>
      </c>
      <c r="BD21">
        <f t="shared" si="37"/>
        <v>0</v>
      </c>
      <c r="BE21">
        <f t="shared" si="37"/>
        <v>0</v>
      </c>
      <c r="BF21">
        <f t="shared" si="37"/>
        <v>0</v>
      </c>
      <c r="BG21">
        <f t="shared" si="37"/>
        <v>0</v>
      </c>
      <c r="BH21">
        <f t="shared" si="37"/>
        <v>0</v>
      </c>
      <c r="BI21">
        <f t="shared" si="37"/>
        <v>0</v>
      </c>
      <c r="BJ21">
        <f t="shared" si="37"/>
        <v>1</v>
      </c>
      <c r="BK21">
        <f t="shared" si="13"/>
        <v>1</v>
      </c>
      <c r="BO21">
        <f t="shared" si="38"/>
        <v>0</v>
      </c>
      <c r="BP21">
        <f t="shared" si="38"/>
        <v>0</v>
      </c>
      <c r="BQ21">
        <f t="shared" si="38"/>
        <v>0</v>
      </c>
      <c r="BR21">
        <f t="shared" si="38"/>
        <v>0</v>
      </c>
      <c r="BS21">
        <f t="shared" si="38"/>
        <v>0</v>
      </c>
      <c r="BT21">
        <f t="shared" si="38"/>
        <v>0</v>
      </c>
      <c r="BU21">
        <f t="shared" si="38"/>
        <v>0</v>
      </c>
    </row>
    <row r="22" spans="1:107" x14ac:dyDescent="0.25">
      <c r="A22" s="1" t="b">
        <v>1</v>
      </c>
      <c r="B22" s="2">
        <v>46152.990335648145</v>
      </c>
      <c r="C22" s="1" t="s">
        <v>301</v>
      </c>
      <c r="D22" s="1" t="s">
        <v>302</v>
      </c>
      <c r="E22">
        <f t="shared" si="33"/>
        <v>1</v>
      </c>
      <c r="F22">
        <f t="shared" si="33"/>
        <v>0</v>
      </c>
      <c r="G22">
        <f t="shared" si="33"/>
        <v>0</v>
      </c>
      <c r="H22">
        <f t="shared" si="33"/>
        <v>0</v>
      </c>
      <c r="I22">
        <f t="shared" si="33"/>
        <v>0</v>
      </c>
      <c r="J22">
        <f t="shared" si="33"/>
        <v>0</v>
      </c>
      <c r="K22">
        <f t="shared" si="33"/>
        <v>30</v>
      </c>
      <c r="L22">
        <f t="shared" si="7"/>
        <v>30</v>
      </c>
      <c r="N22" s="1" t="s">
        <v>303</v>
      </c>
      <c r="O22" s="1"/>
      <c r="P22" s="1"/>
      <c r="Q22" s="1"/>
      <c r="R22" s="1"/>
      <c r="S22" s="1"/>
      <c r="T22" s="1"/>
      <c r="V22" s="1" t="s">
        <v>21</v>
      </c>
      <c r="W22" s="1" t="str">
        <f t="shared" ref="W22:AA22" si="40">IF(W$1=$V22, "True", "False")</f>
        <v>True</v>
      </c>
      <c r="X22" s="1" t="str">
        <f t="shared" si="40"/>
        <v>False</v>
      </c>
      <c r="Y22" s="1" t="str">
        <f t="shared" si="40"/>
        <v>False</v>
      </c>
      <c r="Z22" s="1" t="str">
        <f t="shared" si="40"/>
        <v>False</v>
      </c>
      <c r="AA22" s="1" t="str">
        <f t="shared" si="40"/>
        <v>False</v>
      </c>
      <c r="AB22" s="1" t="s">
        <v>180</v>
      </c>
      <c r="AC22">
        <f t="shared" si="35"/>
        <v>0</v>
      </c>
      <c r="AD22">
        <f t="shared" si="35"/>
        <v>0</v>
      </c>
      <c r="AE22">
        <f t="shared" si="35"/>
        <v>0</v>
      </c>
      <c r="AF22">
        <f t="shared" si="35"/>
        <v>0</v>
      </c>
      <c r="AG22">
        <f t="shared" si="35"/>
        <v>0</v>
      </c>
      <c r="AH22">
        <f t="shared" si="35"/>
        <v>0</v>
      </c>
      <c r="AI22" s="1">
        <f t="shared" si="10"/>
        <v>0</v>
      </c>
      <c r="AJ22" s="1" t="s">
        <v>181</v>
      </c>
      <c r="AK22" s="1" t="s">
        <v>304</v>
      </c>
      <c r="AL22">
        <f t="shared" si="36"/>
        <v>1</v>
      </c>
      <c r="AM22">
        <f t="shared" si="36"/>
        <v>0</v>
      </c>
      <c r="AN22">
        <f t="shared" si="36"/>
        <v>1</v>
      </c>
      <c r="AO22">
        <f t="shared" si="36"/>
        <v>0</v>
      </c>
      <c r="AP22">
        <f t="shared" si="36"/>
        <v>0</v>
      </c>
      <c r="AQ22">
        <f t="shared" si="36"/>
        <v>0</v>
      </c>
      <c r="AR22">
        <f t="shared" si="36"/>
        <v>0</v>
      </c>
      <c r="AS22">
        <f t="shared" si="36"/>
        <v>0</v>
      </c>
      <c r="AU22" s="1" t="s">
        <v>45</v>
      </c>
      <c r="AV22" s="1">
        <f t="shared" si="18"/>
        <v>1</v>
      </c>
      <c r="AW22" s="1">
        <f t="shared" si="19"/>
        <v>0</v>
      </c>
      <c r="AX22" s="1">
        <f t="shared" si="20"/>
        <v>0</v>
      </c>
      <c r="AY22" s="1" t="s">
        <v>45</v>
      </c>
      <c r="AZ22" s="1" t="s">
        <v>45</v>
      </c>
      <c r="BA22" s="1" t="s">
        <v>305</v>
      </c>
      <c r="BB22">
        <f t="shared" si="37"/>
        <v>1</v>
      </c>
      <c r="BC22">
        <f t="shared" si="37"/>
        <v>1</v>
      </c>
      <c r="BD22">
        <f t="shared" si="37"/>
        <v>0</v>
      </c>
      <c r="BE22">
        <f t="shared" si="37"/>
        <v>1</v>
      </c>
      <c r="BF22">
        <f t="shared" si="37"/>
        <v>1</v>
      </c>
      <c r="BG22">
        <f t="shared" si="37"/>
        <v>1</v>
      </c>
      <c r="BH22">
        <f t="shared" si="37"/>
        <v>0</v>
      </c>
      <c r="BI22">
        <f t="shared" si="37"/>
        <v>0</v>
      </c>
      <c r="BJ22">
        <f t="shared" si="37"/>
        <v>1</v>
      </c>
      <c r="BK22">
        <f t="shared" si="13"/>
        <v>6</v>
      </c>
      <c r="BO22">
        <f t="shared" si="38"/>
        <v>0</v>
      </c>
      <c r="BP22">
        <f t="shared" si="38"/>
        <v>0</v>
      </c>
      <c r="BQ22">
        <f t="shared" si="38"/>
        <v>0</v>
      </c>
      <c r="BR22">
        <f t="shared" si="38"/>
        <v>0</v>
      </c>
      <c r="BS22">
        <f t="shared" si="38"/>
        <v>0</v>
      </c>
      <c r="BT22">
        <f t="shared" si="38"/>
        <v>0</v>
      </c>
      <c r="BU22">
        <f t="shared" si="38"/>
        <v>0</v>
      </c>
      <c r="DC22" s="1" t="s">
        <v>177</v>
      </c>
    </row>
    <row r="23" spans="1:107" x14ac:dyDescent="0.25">
      <c r="A23" s="1" t="b">
        <v>1</v>
      </c>
      <c r="B23" s="2">
        <v>46153.407986111109</v>
      </c>
      <c r="C23" s="1" t="s">
        <v>306</v>
      </c>
      <c r="D23" s="1" t="s">
        <v>4</v>
      </c>
      <c r="E23">
        <f t="shared" si="33"/>
        <v>1</v>
      </c>
      <c r="F23">
        <f t="shared" si="33"/>
        <v>0</v>
      </c>
      <c r="G23">
        <f t="shared" si="33"/>
        <v>0</v>
      </c>
      <c r="H23">
        <f t="shared" si="33"/>
        <v>0</v>
      </c>
      <c r="I23">
        <f t="shared" si="33"/>
        <v>0</v>
      </c>
      <c r="J23">
        <f t="shared" si="33"/>
        <v>0</v>
      </c>
      <c r="K23">
        <f t="shared" si="33"/>
        <v>0</v>
      </c>
      <c r="L23">
        <f t="shared" si="7"/>
        <v>1</v>
      </c>
      <c r="N23" s="1" t="s">
        <v>18</v>
      </c>
      <c r="O23" s="1"/>
      <c r="P23" s="1"/>
      <c r="Q23" s="1"/>
      <c r="R23" s="1"/>
      <c r="S23" s="1"/>
      <c r="T23" s="1"/>
      <c r="W23" s="1" t="str">
        <f t="shared" ref="W23:AA23" si="41">IF(W$1=$V23, "True", "False")</f>
        <v>False</v>
      </c>
      <c r="X23" s="1" t="str">
        <f t="shared" si="41"/>
        <v>False</v>
      </c>
      <c r="Y23" s="1" t="str">
        <f t="shared" si="41"/>
        <v>False</v>
      </c>
      <c r="Z23" s="1" t="str">
        <f t="shared" si="41"/>
        <v>False</v>
      </c>
      <c r="AA23" s="1" t="str">
        <f t="shared" si="41"/>
        <v>False</v>
      </c>
      <c r="AB23" s="1" t="s">
        <v>32</v>
      </c>
      <c r="AC23">
        <f t="shared" si="35"/>
        <v>0</v>
      </c>
      <c r="AD23">
        <f t="shared" si="35"/>
        <v>0</v>
      </c>
      <c r="AE23">
        <f t="shared" si="35"/>
        <v>0</v>
      </c>
      <c r="AF23">
        <f t="shared" si="35"/>
        <v>0</v>
      </c>
      <c r="AG23">
        <f t="shared" si="35"/>
        <v>0</v>
      </c>
      <c r="AH23">
        <f t="shared" si="35"/>
        <v>1</v>
      </c>
      <c r="AI23" s="1">
        <f t="shared" si="10"/>
        <v>1</v>
      </c>
      <c r="AK23" s="1" t="s">
        <v>40</v>
      </c>
      <c r="AL23">
        <f t="shared" si="36"/>
        <v>0</v>
      </c>
      <c r="AM23">
        <f t="shared" si="36"/>
        <v>0</v>
      </c>
      <c r="AN23">
        <f t="shared" si="36"/>
        <v>0</v>
      </c>
      <c r="AO23">
        <f t="shared" si="36"/>
        <v>0</v>
      </c>
      <c r="AP23">
        <f t="shared" si="36"/>
        <v>0</v>
      </c>
      <c r="AQ23">
        <f t="shared" si="36"/>
        <v>1</v>
      </c>
      <c r="AR23">
        <f t="shared" si="36"/>
        <v>0</v>
      </c>
      <c r="AS23">
        <f t="shared" si="36"/>
        <v>0</v>
      </c>
      <c r="AU23" s="1" t="s">
        <v>47</v>
      </c>
      <c r="AV23" s="1">
        <f t="shared" si="18"/>
        <v>0</v>
      </c>
      <c r="AW23" s="1">
        <f t="shared" si="19"/>
        <v>0</v>
      </c>
      <c r="AX23" s="1">
        <f t="shared" si="20"/>
        <v>1</v>
      </c>
      <c r="AY23" s="1" t="s">
        <v>46</v>
      </c>
      <c r="BA23" s="1" t="s">
        <v>55</v>
      </c>
      <c r="BB23">
        <f t="shared" si="37"/>
        <v>0</v>
      </c>
      <c r="BC23">
        <f t="shared" si="37"/>
        <v>0</v>
      </c>
      <c r="BD23">
        <f t="shared" si="37"/>
        <v>0</v>
      </c>
      <c r="BE23">
        <f t="shared" si="37"/>
        <v>0</v>
      </c>
      <c r="BF23">
        <f t="shared" si="37"/>
        <v>1</v>
      </c>
      <c r="BG23">
        <f t="shared" si="37"/>
        <v>0</v>
      </c>
      <c r="BH23">
        <f t="shared" si="37"/>
        <v>0</v>
      </c>
      <c r="BI23">
        <f t="shared" si="37"/>
        <v>0</v>
      </c>
      <c r="BJ23">
        <f t="shared" si="37"/>
        <v>0</v>
      </c>
      <c r="BK23">
        <f t="shared" si="13"/>
        <v>1</v>
      </c>
      <c r="BM23" s="1" t="s">
        <v>163</v>
      </c>
      <c r="BN23" s="1" t="s">
        <v>63</v>
      </c>
      <c r="BO23">
        <f t="shared" si="38"/>
        <v>1</v>
      </c>
      <c r="BP23">
        <f t="shared" si="38"/>
        <v>0</v>
      </c>
      <c r="BQ23">
        <f t="shared" si="38"/>
        <v>0</v>
      </c>
      <c r="BR23">
        <f t="shared" si="38"/>
        <v>0</v>
      </c>
      <c r="BS23">
        <f t="shared" si="38"/>
        <v>0</v>
      </c>
      <c r="BT23">
        <f t="shared" si="38"/>
        <v>0</v>
      </c>
      <c r="BU23">
        <f t="shared" si="38"/>
        <v>0</v>
      </c>
      <c r="DC23" s="1" t="s">
        <v>177</v>
      </c>
    </row>
    <row r="24" spans="1:107" x14ac:dyDescent="0.25">
      <c r="A24" s="1" t="b">
        <v>1</v>
      </c>
      <c r="B24" s="2">
        <v>46153.465046296296</v>
      </c>
      <c r="C24" s="1" t="s">
        <v>307</v>
      </c>
      <c r="D24" s="1" t="s">
        <v>4</v>
      </c>
      <c r="E24">
        <f t="shared" si="33"/>
        <v>1</v>
      </c>
      <c r="F24">
        <f t="shared" si="33"/>
        <v>0</v>
      </c>
      <c r="G24">
        <f t="shared" si="33"/>
        <v>0</v>
      </c>
      <c r="H24">
        <f t="shared" si="33"/>
        <v>0</v>
      </c>
      <c r="I24">
        <f t="shared" si="33"/>
        <v>0</v>
      </c>
      <c r="J24">
        <f t="shared" si="33"/>
        <v>0</v>
      </c>
      <c r="K24">
        <f t="shared" si="33"/>
        <v>0</v>
      </c>
      <c r="L24">
        <f t="shared" si="7"/>
        <v>1</v>
      </c>
      <c r="N24" s="1" t="s">
        <v>241</v>
      </c>
      <c r="O24" s="1"/>
      <c r="P24" s="1"/>
      <c r="Q24" s="1"/>
      <c r="R24" s="1"/>
      <c r="S24" s="1"/>
      <c r="T24" s="1"/>
      <c r="V24" s="1" t="s">
        <v>25</v>
      </c>
      <c r="W24" s="1" t="str">
        <f t="shared" ref="W24:AA24" si="42">IF(W$1=$V24, "True", "False")</f>
        <v>False</v>
      </c>
      <c r="X24" s="1" t="str">
        <f t="shared" si="42"/>
        <v>False</v>
      </c>
      <c r="Y24" s="1" t="str">
        <f t="shared" si="42"/>
        <v>False</v>
      </c>
      <c r="Z24" s="1" t="str">
        <f t="shared" si="42"/>
        <v>False</v>
      </c>
      <c r="AA24" s="1" t="str">
        <f t="shared" si="42"/>
        <v>True</v>
      </c>
      <c r="AB24" s="1" t="s">
        <v>308</v>
      </c>
      <c r="AC24">
        <f t="shared" si="35"/>
        <v>1</v>
      </c>
      <c r="AD24">
        <f t="shared" si="35"/>
        <v>0</v>
      </c>
      <c r="AE24">
        <f t="shared" si="35"/>
        <v>0</v>
      </c>
      <c r="AF24">
        <f t="shared" si="35"/>
        <v>0</v>
      </c>
      <c r="AG24">
        <f t="shared" si="35"/>
        <v>0</v>
      </c>
      <c r="AH24">
        <f t="shared" si="35"/>
        <v>0</v>
      </c>
      <c r="AI24" s="1">
        <f t="shared" si="10"/>
        <v>1</v>
      </c>
      <c r="AJ24" s="1" t="s">
        <v>309</v>
      </c>
      <c r="AK24" s="1" t="s">
        <v>310</v>
      </c>
      <c r="AL24">
        <f t="shared" si="36"/>
        <v>1</v>
      </c>
      <c r="AM24">
        <f t="shared" si="36"/>
        <v>1</v>
      </c>
      <c r="AN24">
        <f t="shared" si="36"/>
        <v>0</v>
      </c>
      <c r="AO24">
        <f t="shared" si="36"/>
        <v>1</v>
      </c>
      <c r="AP24">
        <f t="shared" si="36"/>
        <v>1</v>
      </c>
      <c r="AQ24">
        <f t="shared" si="36"/>
        <v>1</v>
      </c>
      <c r="AR24">
        <f t="shared" si="36"/>
        <v>0</v>
      </c>
      <c r="AS24">
        <f t="shared" si="36"/>
        <v>0</v>
      </c>
      <c r="AU24" s="1" t="s">
        <v>45</v>
      </c>
      <c r="AV24" s="1">
        <f t="shared" si="18"/>
        <v>1</v>
      </c>
      <c r="AW24" s="1">
        <f t="shared" si="19"/>
        <v>0</v>
      </c>
      <c r="AX24" s="1">
        <f t="shared" si="20"/>
        <v>0</v>
      </c>
      <c r="AY24" s="1" t="s">
        <v>46</v>
      </c>
      <c r="BA24" s="1" t="s">
        <v>311</v>
      </c>
      <c r="BB24">
        <f t="shared" si="37"/>
        <v>0</v>
      </c>
      <c r="BC24">
        <f t="shared" si="37"/>
        <v>0</v>
      </c>
      <c r="BD24">
        <f t="shared" si="37"/>
        <v>1</v>
      </c>
      <c r="BE24">
        <f t="shared" si="37"/>
        <v>1</v>
      </c>
      <c r="BF24">
        <f t="shared" si="37"/>
        <v>0</v>
      </c>
      <c r="BG24">
        <f t="shared" si="37"/>
        <v>1</v>
      </c>
      <c r="BH24">
        <f t="shared" si="37"/>
        <v>0</v>
      </c>
      <c r="BI24">
        <f t="shared" si="37"/>
        <v>0</v>
      </c>
      <c r="BJ24">
        <f t="shared" si="37"/>
        <v>1</v>
      </c>
      <c r="BK24">
        <f t="shared" si="13"/>
        <v>4</v>
      </c>
      <c r="BO24">
        <f t="shared" si="38"/>
        <v>0</v>
      </c>
      <c r="BP24">
        <f t="shared" si="38"/>
        <v>0</v>
      </c>
      <c r="BQ24">
        <f t="shared" si="38"/>
        <v>0</v>
      </c>
      <c r="BR24">
        <f t="shared" si="38"/>
        <v>0</v>
      </c>
      <c r="BS24">
        <f t="shared" si="38"/>
        <v>0</v>
      </c>
      <c r="BT24">
        <f t="shared" si="38"/>
        <v>0</v>
      </c>
      <c r="BU24">
        <f t="shared" si="38"/>
        <v>0</v>
      </c>
      <c r="DC24" s="1" t="s">
        <v>177</v>
      </c>
    </row>
    <row r="25" spans="1:107" x14ac:dyDescent="0.25">
      <c r="A25" s="1" t="b">
        <v>1</v>
      </c>
      <c r="B25" s="2">
        <v>46153.54115740741</v>
      </c>
      <c r="C25" s="1" t="s">
        <v>312</v>
      </c>
      <c r="D25" s="1" t="s">
        <v>204</v>
      </c>
      <c r="E25">
        <f t="shared" si="33"/>
        <v>1</v>
      </c>
      <c r="F25">
        <f t="shared" si="33"/>
        <v>30</v>
      </c>
      <c r="G25">
        <f t="shared" si="33"/>
        <v>0</v>
      </c>
      <c r="H25">
        <f t="shared" si="33"/>
        <v>0</v>
      </c>
      <c r="I25">
        <f t="shared" si="33"/>
        <v>0</v>
      </c>
      <c r="J25">
        <f t="shared" si="33"/>
        <v>0</v>
      </c>
      <c r="K25">
        <f t="shared" si="33"/>
        <v>0</v>
      </c>
      <c r="L25">
        <f t="shared" si="7"/>
        <v>30</v>
      </c>
      <c r="N25" s="1" t="s">
        <v>313</v>
      </c>
      <c r="O25" s="1"/>
      <c r="P25" s="1"/>
      <c r="Q25" s="1"/>
      <c r="R25" s="1"/>
      <c r="S25" s="1"/>
      <c r="T25" s="1"/>
      <c r="V25" s="1" t="s">
        <v>22</v>
      </c>
      <c r="W25" s="1" t="str">
        <f t="shared" ref="W25:AA25" si="43">IF(W$1=$V25, "True", "False")</f>
        <v>False</v>
      </c>
      <c r="X25" s="1" t="str">
        <f t="shared" si="43"/>
        <v>True</v>
      </c>
      <c r="Y25" s="1" t="str">
        <f t="shared" si="43"/>
        <v>False</v>
      </c>
      <c r="Z25" s="1" t="str">
        <f t="shared" si="43"/>
        <v>False</v>
      </c>
      <c r="AA25" s="1" t="str">
        <f t="shared" si="43"/>
        <v>False</v>
      </c>
      <c r="AB25" s="1" t="s">
        <v>27</v>
      </c>
      <c r="AC25">
        <f t="shared" si="35"/>
        <v>1</v>
      </c>
      <c r="AD25">
        <f t="shared" si="35"/>
        <v>0</v>
      </c>
      <c r="AE25">
        <f t="shared" si="35"/>
        <v>0</v>
      </c>
      <c r="AF25">
        <f t="shared" si="35"/>
        <v>0</v>
      </c>
      <c r="AG25">
        <f t="shared" si="35"/>
        <v>0</v>
      </c>
      <c r="AH25">
        <f t="shared" si="35"/>
        <v>0</v>
      </c>
      <c r="AI25" s="1">
        <f t="shared" si="10"/>
        <v>1</v>
      </c>
      <c r="AK25" s="1" t="s">
        <v>314</v>
      </c>
      <c r="AL25">
        <f t="shared" si="36"/>
        <v>0</v>
      </c>
      <c r="AM25">
        <f t="shared" si="36"/>
        <v>1</v>
      </c>
      <c r="AN25">
        <f t="shared" si="36"/>
        <v>0</v>
      </c>
      <c r="AO25">
        <f t="shared" si="36"/>
        <v>1</v>
      </c>
      <c r="AP25">
        <f t="shared" si="36"/>
        <v>1</v>
      </c>
      <c r="AQ25">
        <f t="shared" si="36"/>
        <v>1</v>
      </c>
      <c r="AR25">
        <f t="shared" si="36"/>
        <v>0</v>
      </c>
      <c r="AS25">
        <f t="shared" si="36"/>
        <v>0</v>
      </c>
      <c r="AU25" s="1" t="s">
        <v>45</v>
      </c>
      <c r="AV25" s="1">
        <f t="shared" si="18"/>
        <v>1</v>
      </c>
      <c r="AW25" s="1">
        <f t="shared" si="19"/>
        <v>0</v>
      </c>
      <c r="AX25" s="1">
        <f t="shared" si="20"/>
        <v>0</v>
      </c>
      <c r="AY25" s="1" t="s">
        <v>46</v>
      </c>
      <c r="BA25" s="1" t="s">
        <v>315</v>
      </c>
      <c r="BB25">
        <f t="shared" si="37"/>
        <v>0</v>
      </c>
      <c r="BC25">
        <f t="shared" si="37"/>
        <v>0</v>
      </c>
      <c r="BD25">
        <f t="shared" si="37"/>
        <v>1</v>
      </c>
      <c r="BE25">
        <f t="shared" si="37"/>
        <v>1</v>
      </c>
      <c r="BF25">
        <f t="shared" si="37"/>
        <v>1</v>
      </c>
      <c r="BG25">
        <f t="shared" si="37"/>
        <v>1</v>
      </c>
      <c r="BH25">
        <f t="shared" si="37"/>
        <v>0</v>
      </c>
      <c r="BI25">
        <f t="shared" si="37"/>
        <v>0</v>
      </c>
      <c r="BJ25">
        <f t="shared" si="37"/>
        <v>1</v>
      </c>
      <c r="BK25">
        <f t="shared" si="13"/>
        <v>5</v>
      </c>
      <c r="BM25" s="1" t="s">
        <v>229</v>
      </c>
      <c r="BN25" s="1" t="s">
        <v>316</v>
      </c>
      <c r="BO25">
        <f t="shared" si="38"/>
        <v>1</v>
      </c>
      <c r="BP25">
        <f t="shared" si="38"/>
        <v>0</v>
      </c>
      <c r="BQ25">
        <f t="shared" si="38"/>
        <v>0</v>
      </c>
      <c r="BR25">
        <f t="shared" si="38"/>
        <v>0</v>
      </c>
      <c r="BS25">
        <f t="shared" si="38"/>
        <v>0</v>
      </c>
      <c r="BT25">
        <f t="shared" si="38"/>
        <v>1</v>
      </c>
      <c r="BU25">
        <f t="shared" si="38"/>
        <v>1</v>
      </c>
      <c r="CX25" s="1" t="s">
        <v>317</v>
      </c>
      <c r="DB25" s="1" t="s">
        <v>318</v>
      </c>
      <c r="DC25" s="1" t="s">
        <v>235</v>
      </c>
    </row>
    <row r="26" spans="1:107" x14ac:dyDescent="0.25">
      <c r="A26" s="1" t="b">
        <v>1</v>
      </c>
      <c r="B26" s="2">
        <v>46153.563831018517</v>
      </c>
      <c r="C26" s="1" t="s">
        <v>319</v>
      </c>
      <c r="D26" s="1" t="s">
        <v>4</v>
      </c>
      <c r="E26">
        <f t="shared" si="33"/>
        <v>1</v>
      </c>
      <c r="F26">
        <f t="shared" si="33"/>
        <v>0</v>
      </c>
      <c r="G26">
        <f t="shared" si="33"/>
        <v>0</v>
      </c>
      <c r="H26">
        <f t="shared" si="33"/>
        <v>0</v>
      </c>
      <c r="I26">
        <f t="shared" si="33"/>
        <v>0</v>
      </c>
      <c r="J26">
        <f t="shared" si="33"/>
        <v>0</v>
      </c>
      <c r="K26">
        <f t="shared" si="33"/>
        <v>0</v>
      </c>
      <c r="L26">
        <f t="shared" si="7"/>
        <v>1</v>
      </c>
      <c r="N26" s="1" t="s">
        <v>320</v>
      </c>
      <c r="O26" s="1"/>
      <c r="P26" s="1"/>
      <c r="Q26" s="1"/>
      <c r="R26" s="1"/>
      <c r="S26" s="1"/>
      <c r="T26" s="1"/>
      <c r="V26" s="1" t="s">
        <v>22</v>
      </c>
      <c r="W26" s="1" t="str">
        <f t="shared" ref="W26:AA26" si="44">IF(W$1=$V26, "True", "False")</f>
        <v>False</v>
      </c>
      <c r="X26" s="1" t="str">
        <f t="shared" si="44"/>
        <v>True</v>
      </c>
      <c r="Y26" s="1" t="str">
        <f t="shared" si="44"/>
        <v>False</v>
      </c>
      <c r="Z26" s="1" t="str">
        <f t="shared" si="44"/>
        <v>False</v>
      </c>
      <c r="AA26" s="1" t="str">
        <f t="shared" si="44"/>
        <v>False</v>
      </c>
      <c r="AB26" s="1" t="s">
        <v>321</v>
      </c>
      <c r="AC26">
        <f t="shared" si="35"/>
        <v>0</v>
      </c>
      <c r="AD26">
        <f t="shared" si="35"/>
        <v>1</v>
      </c>
      <c r="AE26">
        <f t="shared" si="35"/>
        <v>0</v>
      </c>
      <c r="AF26">
        <f t="shared" si="35"/>
        <v>0</v>
      </c>
      <c r="AG26">
        <f t="shared" si="35"/>
        <v>0</v>
      </c>
      <c r="AH26">
        <f t="shared" si="35"/>
        <v>1</v>
      </c>
      <c r="AI26" s="1">
        <f t="shared" si="10"/>
        <v>2</v>
      </c>
      <c r="AK26" s="1" t="s">
        <v>243</v>
      </c>
      <c r="AL26">
        <f t="shared" si="36"/>
        <v>1</v>
      </c>
      <c r="AM26">
        <f t="shared" si="36"/>
        <v>1</v>
      </c>
      <c r="AN26">
        <f t="shared" si="36"/>
        <v>0</v>
      </c>
      <c r="AO26">
        <f t="shared" si="36"/>
        <v>1</v>
      </c>
      <c r="AP26">
        <f t="shared" si="36"/>
        <v>0</v>
      </c>
      <c r="AQ26">
        <f t="shared" si="36"/>
        <v>1</v>
      </c>
      <c r="AR26">
        <f t="shared" si="36"/>
        <v>0</v>
      </c>
      <c r="AS26">
        <f t="shared" si="36"/>
        <v>0</v>
      </c>
      <c r="AU26" s="1" t="s">
        <v>45</v>
      </c>
      <c r="AV26" s="1">
        <f t="shared" si="18"/>
        <v>1</v>
      </c>
      <c r="AW26" s="1">
        <f t="shared" si="19"/>
        <v>0</v>
      </c>
      <c r="AX26" s="1">
        <f t="shared" si="20"/>
        <v>0</v>
      </c>
      <c r="AY26" s="1" t="s">
        <v>46</v>
      </c>
      <c r="BA26" s="1" t="s">
        <v>322</v>
      </c>
      <c r="BB26">
        <f t="shared" si="37"/>
        <v>1</v>
      </c>
      <c r="BC26">
        <f t="shared" si="37"/>
        <v>1</v>
      </c>
      <c r="BD26">
        <f t="shared" si="37"/>
        <v>1</v>
      </c>
      <c r="BE26">
        <f t="shared" si="37"/>
        <v>0</v>
      </c>
      <c r="BF26">
        <f t="shared" si="37"/>
        <v>1</v>
      </c>
      <c r="BG26">
        <f t="shared" si="37"/>
        <v>0</v>
      </c>
      <c r="BH26">
        <f t="shared" si="37"/>
        <v>0</v>
      </c>
      <c r="BI26">
        <f t="shared" si="37"/>
        <v>0</v>
      </c>
      <c r="BJ26">
        <f t="shared" si="37"/>
        <v>1</v>
      </c>
      <c r="BK26">
        <f t="shared" si="13"/>
        <v>5</v>
      </c>
      <c r="BM26" s="1" t="s">
        <v>229</v>
      </c>
      <c r="BN26" s="1" t="s">
        <v>323</v>
      </c>
      <c r="BO26">
        <f t="shared" si="38"/>
        <v>0</v>
      </c>
      <c r="BP26">
        <f t="shared" si="38"/>
        <v>1</v>
      </c>
      <c r="BQ26">
        <f t="shared" si="38"/>
        <v>0</v>
      </c>
      <c r="BR26">
        <f t="shared" si="38"/>
        <v>0</v>
      </c>
      <c r="BS26">
        <f t="shared" si="38"/>
        <v>0</v>
      </c>
      <c r="BT26">
        <f t="shared" si="38"/>
        <v>0</v>
      </c>
      <c r="BU26">
        <f t="shared" si="38"/>
        <v>1</v>
      </c>
      <c r="DC26" s="1" t="s">
        <v>177</v>
      </c>
    </row>
    <row r="27" spans="1:107" x14ac:dyDescent="0.25">
      <c r="A27" s="1" t="b">
        <v>0</v>
      </c>
      <c r="B27" s="2">
        <v>46153.697731481479</v>
      </c>
      <c r="C27" s="1" t="s">
        <v>324</v>
      </c>
      <c r="D27" s="1" t="s">
        <v>4</v>
      </c>
      <c r="E27">
        <f t="shared" si="33"/>
        <v>1</v>
      </c>
      <c r="F27">
        <f t="shared" si="33"/>
        <v>0</v>
      </c>
      <c r="G27">
        <f t="shared" si="33"/>
        <v>0</v>
      </c>
      <c r="H27">
        <f t="shared" si="33"/>
        <v>0</v>
      </c>
      <c r="I27">
        <f t="shared" si="33"/>
        <v>0</v>
      </c>
      <c r="J27">
        <f t="shared" si="33"/>
        <v>0</v>
      </c>
      <c r="K27">
        <f t="shared" si="33"/>
        <v>0</v>
      </c>
      <c r="L27">
        <f t="shared" si="7"/>
        <v>1</v>
      </c>
      <c r="N27" s="1" t="s">
        <v>325</v>
      </c>
      <c r="O27" s="1"/>
      <c r="P27" s="1"/>
      <c r="Q27" s="1"/>
      <c r="R27" s="1"/>
      <c r="S27" s="1"/>
      <c r="T27" s="1"/>
      <c r="W27" s="1" t="str">
        <f t="shared" ref="W27:AA27" si="45">IF(W$1=$V27, "True", "False")</f>
        <v>False</v>
      </c>
      <c r="X27" s="1" t="str">
        <f t="shared" si="45"/>
        <v>False</v>
      </c>
      <c r="Y27" s="1" t="str">
        <f t="shared" si="45"/>
        <v>False</v>
      </c>
      <c r="Z27" s="1" t="str">
        <f t="shared" si="45"/>
        <v>False</v>
      </c>
      <c r="AA27" s="1" t="str">
        <f t="shared" si="45"/>
        <v>False</v>
      </c>
      <c r="AC27">
        <f t="shared" si="35"/>
        <v>0</v>
      </c>
      <c r="AD27">
        <f t="shared" si="35"/>
        <v>0</v>
      </c>
      <c r="AE27">
        <f t="shared" si="35"/>
        <v>0</v>
      </c>
      <c r="AF27">
        <f t="shared" si="35"/>
        <v>0</v>
      </c>
      <c r="AG27">
        <f t="shared" si="35"/>
        <v>0</v>
      </c>
      <c r="AH27">
        <f t="shared" si="35"/>
        <v>0</v>
      </c>
      <c r="AI27" s="1">
        <f t="shared" si="10"/>
        <v>0</v>
      </c>
      <c r="AL27">
        <f t="shared" si="36"/>
        <v>0</v>
      </c>
      <c r="AM27">
        <f t="shared" si="36"/>
        <v>0</v>
      </c>
      <c r="AN27">
        <f t="shared" si="36"/>
        <v>0</v>
      </c>
      <c r="AO27">
        <f t="shared" si="36"/>
        <v>0</v>
      </c>
      <c r="AP27">
        <f t="shared" si="36"/>
        <v>0</v>
      </c>
      <c r="AQ27">
        <f t="shared" si="36"/>
        <v>0</v>
      </c>
      <c r="AR27">
        <f t="shared" si="36"/>
        <v>0</v>
      </c>
      <c r="AS27">
        <f t="shared" si="36"/>
        <v>0</v>
      </c>
      <c r="AV27" s="1">
        <f t="shared" si="18"/>
        <v>0</v>
      </c>
      <c r="AW27" s="1">
        <f t="shared" si="19"/>
        <v>0</v>
      </c>
      <c r="AX27" s="1">
        <f t="shared" si="20"/>
        <v>0</v>
      </c>
      <c r="BB27">
        <f t="shared" si="37"/>
        <v>0</v>
      </c>
      <c r="BC27">
        <f t="shared" si="37"/>
        <v>0</v>
      </c>
      <c r="BD27">
        <f t="shared" si="37"/>
        <v>0</v>
      </c>
      <c r="BE27">
        <f t="shared" si="37"/>
        <v>0</v>
      </c>
      <c r="BF27">
        <f t="shared" si="37"/>
        <v>0</v>
      </c>
      <c r="BG27">
        <f t="shared" si="37"/>
        <v>0</v>
      </c>
      <c r="BH27">
        <f t="shared" si="37"/>
        <v>0</v>
      </c>
      <c r="BI27">
        <f t="shared" si="37"/>
        <v>0</v>
      </c>
      <c r="BJ27">
        <f t="shared" si="37"/>
        <v>0</v>
      </c>
      <c r="BK27">
        <f t="shared" si="13"/>
        <v>0</v>
      </c>
      <c r="BO27">
        <f t="shared" si="38"/>
        <v>0</v>
      </c>
      <c r="BP27">
        <f t="shared" si="38"/>
        <v>0</v>
      </c>
      <c r="BQ27">
        <f t="shared" si="38"/>
        <v>0</v>
      </c>
      <c r="BR27">
        <f t="shared" si="38"/>
        <v>0</v>
      </c>
      <c r="BS27">
        <f t="shared" si="38"/>
        <v>0</v>
      </c>
      <c r="BT27">
        <f t="shared" si="38"/>
        <v>0</v>
      </c>
      <c r="BU27">
        <f t="shared" si="38"/>
        <v>0</v>
      </c>
    </row>
    <row r="28" spans="1:107" x14ac:dyDescent="0.25">
      <c r="A28" s="1" t="b">
        <v>1</v>
      </c>
      <c r="B28" s="2">
        <v>46153.833113425928</v>
      </c>
      <c r="C28" s="1" t="s">
        <v>326</v>
      </c>
      <c r="D28" s="1" t="s">
        <v>204</v>
      </c>
      <c r="E28">
        <f t="shared" si="33"/>
        <v>1</v>
      </c>
      <c r="F28">
        <f t="shared" si="33"/>
        <v>30</v>
      </c>
      <c r="G28">
        <f t="shared" si="33"/>
        <v>0</v>
      </c>
      <c r="H28">
        <f t="shared" si="33"/>
        <v>0</v>
      </c>
      <c r="I28">
        <f t="shared" si="33"/>
        <v>0</v>
      </c>
      <c r="J28">
        <f t="shared" si="33"/>
        <v>0</v>
      </c>
      <c r="K28">
        <f t="shared" si="33"/>
        <v>0</v>
      </c>
      <c r="L28">
        <f t="shared" si="7"/>
        <v>30</v>
      </c>
      <c r="N28" s="1" t="s">
        <v>237</v>
      </c>
      <c r="O28" s="1"/>
      <c r="P28" s="1"/>
      <c r="Q28" s="1"/>
      <c r="R28" s="1"/>
      <c r="S28" s="1"/>
      <c r="T28" s="1"/>
      <c r="V28" s="1" t="s">
        <v>24</v>
      </c>
      <c r="W28" s="1" t="str">
        <f t="shared" ref="W28:AA28" si="46">IF(W$1=$V28, "True", "False")</f>
        <v>False</v>
      </c>
      <c r="X28" s="1" t="str">
        <f t="shared" si="46"/>
        <v>False</v>
      </c>
      <c r="Y28" s="1" t="str">
        <f t="shared" si="46"/>
        <v>False</v>
      </c>
      <c r="Z28" s="1" t="str">
        <f t="shared" si="46"/>
        <v>True</v>
      </c>
      <c r="AA28" s="1" t="str">
        <f t="shared" si="46"/>
        <v>False</v>
      </c>
      <c r="AB28" s="1" t="s">
        <v>308</v>
      </c>
      <c r="AC28">
        <f t="shared" si="35"/>
        <v>1</v>
      </c>
      <c r="AD28">
        <f t="shared" si="35"/>
        <v>0</v>
      </c>
      <c r="AE28">
        <f t="shared" si="35"/>
        <v>0</v>
      </c>
      <c r="AF28">
        <f t="shared" si="35"/>
        <v>0</v>
      </c>
      <c r="AG28">
        <f t="shared" si="35"/>
        <v>0</v>
      </c>
      <c r="AH28">
        <f t="shared" si="35"/>
        <v>0</v>
      </c>
      <c r="AI28" s="1">
        <f t="shared" si="10"/>
        <v>1</v>
      </c>
      <c r="AJ28" s="1" t="s">
        <v>327</v>
      </c>
      <c r="AK28" s="1" t="s">
        <v>314</v>
      </c>
      <c r="AL28">
        <f t="shared" si="36"/>
        <v>0</v>
      </c>
      <c r="AM28">
        <f t="shared" si="36"/>
        <v>1</v>
      </c>
      <c r="AN28">
        <f t="shared" si="36"/>
        <v>0</v>
      </c>
      <c r="AO28">
        <f t="shared" si="36"/>
        <v>1</v>
      </c>
      <c r="AP28">
        <f t="shared" si="36"/>
        <v>1</v>
      </c>
      <c r="AQ28">
        <f t="shared" si="36"/>
        <v>1</v>
      </c>
      <c r="AR28">
        <f t="shared" si="36"/>
        <v>0</v>
      </c>
      <c r="AS28">
        <f t="shared" si="36"/>
        <v>0</v>
      </c>
      <c r="AU28" s="1" t="s">
        <v>45</v>
      </c>
      <c r="AV28" s="1">
        <f t="shared" si="18"/>
        <v>1</v>
      </c>
      <c r="AW28" s="1">
        <f t="shared" si="19"/>
        <v>0</v>
      </c>
      <c r="AX28" s="1">
        <f t="shared" si="20"/>
        <v>0</v>
      </c>
      <c r="AY28" s="1" t="s">
        <v>46</v>
      </c>
      <c r="BA28" s="1" t="s">
        <v>328</v>
      </c>
      <c r="BB28">
        <f t="shared" si="37"/>
        <v>1</v>
      </c>
      <c r="BC28">
        <f t="shared" si="37"/>
        <v>1</v>
      </c>
      <c r="BD28">
        <f t="shared" si="37"/>
        <v>1</v>
      </c>
      <c r="BE28">
        <f t="shared" si="37"/>
        <v>1</v>
      </c>
      <c r="BF28">
        <f t="shared" si="37"/>
        <v>1</v>
      </c>
      <c r="BG28">
        <f t="shared" si="37"/>
        <v>0</v>
      </c>
      <c r="BH28">
        <f t="shared" si="37"/>
        <v>0</v>
      </c>
      <c r="BI28">
        <f t="shared" si="37"/>
        <v>0</v>
      </c>
      <c r="BJ28">
        <f t="shared" si="37"/>
        <v>0</v>
      </c>
      <c r="BK28">
        <f t="shared" si="13"/>
        <v>5</v>
      </c>
      <c r="BL28" s="1" t="s">
        <v>329</v>
      </c>
      <c r="BM28" s="1" t="s">
        <v>163</v>
      </c>
      <c r="BO28">
        <f t="shared" si="38"/>
        <v>0</v>
      </c>
      <c r="BP28">
        <f t="shared" si="38"/>
        <v>0</v>
      </c>
      <c r="BQ28">
        <f t="shared" si="38"/>
        <v>0</v>
      </c>
      <c r="BR28">
        <f t="shared" si="38"/>
        <v>0</v>
      </c>
      <c r="BS28">
        <f t="shared" si="38"/>
        <v>0</v>
      </c>
      <c r="BT28">
        <f t="shared" si="38"/>
        <v>0</v>
      </c>
      <c r="BU28">
        <f t="shared" si="38"/>
        <v>0</v>
      </c>
      <c r="CX28" s="1" t="s">
        <v>317</v>
      </c>
      <c r="CZ28" s="1" t="s">
        <v>330</v>
      </c>
      <c r="DA28" s="1" t="s">
        <v>331</v>
      </c>
      <c r="DB28" s="1" t="s">
        <v>332</v>
      </c>
      <c r="DC28" s="1" t="s">
        <v>235</v>
      </c>
    </row>
    <row r="29" spans="1:107" x14ac:dyDescent="0.25">
      <c r="A29" s="1" t="b">
        <v>0</v>
      </c>
      <c r="B29" s="2">
        <v>46153.866793981484</v>
      </c>
      <c r="C29" s="1" t="s">
        <v>333</v>
      </c>
      <c r="D29" s="1" t="s">
        <v>4</v>
      </c>
      <c r="E29">
        <f t="shared" si="33"/>
        <v>1</v>
      </c>
      <c r="F29">
        <f t="shared" si="33"/>
        <v>0</v>
      </c>
      <c r="G29">
        <f t="shared" si="33"/>
        <v>0</v>
      </c>
      <c r="H29">
        <f t="shared" si="33"/>
        <v>0</v>
      </c>
      <c r="I29">
        <f t="shared" si="33"/>
        <v>0</v>
      </c>
      <c r="J29">
        <f t="shared" si="33"/>
        <v>0</v>
      </c>
      <c r="K29">
        <f t="shared" si="33"/>
        <v>0</v>
      </c>
      <c r="L29">
        <f t="shared" si="7"/>
        <v>1</v>
      </c>
      <c r="N29" s="1" t="s">
        <v>13</v>
      </c>
      <c r="O29" s="1"/>
      <c r="P29" s="1"/>
      <c r="Q29" s="1"/>
      <c r="R29" s="1"/>
      <c r="S29" s="1"/>
      <c r="T29" s="1"/>
      <c r="W29" s="1" t="str">
        <f t="shared" ref="W29:AA29" si="47">IF(W$1=$V29, "True", "False")</f>
        <v>False</v>
      </c>
      <c r="X29" s="1" t="str">
        <f t="shared" si="47"/>
        <v>False</v>
      </c>
      <c r="Y29" s="1" t="str">
        <f t="shared" si="47"/>
        <v>False</v>
      </c>
      <c r="Z29" s="1" t="str">
        <f t="shared" si="47"/>
        <v>False</v>
      </c>
      <c r="AA29" s="1" t="str">
        <f t="shared" si="47"/>
        <v>False</v>
      </c>
      <c r="AC29">
        <f t="shared" si="35"/>
        <v>0</v>
      </c>
      <c r="AD29">
        <f t="shared" si="35"/>
        <v>0</v>
      </c>
      <c r="AE29">
        <f t="shared" si="35"/>
        <v>0</v>
      </c>
      <c r="AF29">
        <f t="shared" si="35"/>
        <v>0</v>
      </c>
      <c r="AG29">
        <f t="shared" si="35"/>
        <v>0</v>
      </c>
      <c r="AH29">
        <f t="shared" si="35"/>
        <v>0</v>
      </c>
      <c r="AI29" s="1">
        <f t="shared" si="10"/>
        <v>0</v>
      </c>
      <c r="AL29">
        <f t="shared" si="36"/>
        <v>0</v>
      </c>
      <c r="AM29">
        <f t="shared" si="36"/>
        <v>0</v>
      </c>
      <c r="AN29">
        <f t="shared" si="36"/>
        <v>0</v>
      </c>
      <c r="AO29">
        <f t="shared" si="36"/>
        <v>0</v>
      </c>
      <c r="AP29">
        <f t="shared" si="36"/>
        <v>0</v>
      </c>
      <c r="AQ29">
        <f t="shared" si="36"/>
        <v>0</v>
      </c>
      <c r="AR29">
        <f t="shared" si="36"/>
        <v>0</v>
      </c>
      <c r="AS29">
        <f t="shared" si="36"/>
        <v>0</v>
      </c>
      <c r="AV29" s="1">
        <f t="shared" si="18"/>
        <v>0</v>
      </c>
      <c r="AW29" s="1">
        <f t="shared" si="19"/>
        <v>0</v>
      </c>
      <c r="AX29" s="1">
        <f t="shared" si="20"/>
        <v>0</v>
      </c>
      <c r="BB29">
        <f t="shared" si="37"/>
        <v>0</v>
      </c>
      <c r="BC29">
        <f t="shared" si="37"/>
        <v>0</v>
      </c>
      <c r="BD29">
        <f t="shared" si="37"/>
        <v>0</v>
      </c>
      <c r="BE29">
        <f t="shared" si="37"/>
        <v>0</v>
      </c>
      <c r="BF29">
        <f t="shared" si="37"/>
        <v>0</v>
      </c>
      <c r="BG29">
        <f t="shared" si="37"/>
        <v>0</v>
      </c>
      <c r="BH29">
        <f t="shared" si="37"/>
        <v>0</v>
      </c>
      <c r="BI29">
        <f t="shared" si="37"/>
        <v>0</v>
      </c>
      <c r="BJ29">
        <f t="shared" si="37"/>
        <v>0</v>
      </c>
      <c r="BK29">
        <f t="shared" si="13"/>
        <v>0</v>
      </c>
      <c r="BO29">
        <f t="shared" si="38"/>
        <v>0</v>
      </c>
      <c r="BP29">
        <f t="shared" si="38"/>
        <v>0</v>
      </c>
      <c r="BQ29">
        <f t="shared" si="38"/>
        <v>0</v>
      </c>
      <c r="BR29">
        <f t="shared" si="38"/>
        <v>0</v>
      </c>
      <c r="BS29">
        <f t="shared" si="38"/>
        <v>0</v>
      </c>
      <c r="BT29">
        <f t="shared" si="38"/>
        <v>0</v>
      </c>
      <c r="BU29">
        <f t="shared" si="38"/>
        <v>0</v>
      </c>
    </row>
    <row r="30" spans="1:107" x14ac:dyDescent="0.25">
      <c r="A30" s="1" t="b">
        <v>1</v>
      </c>
      <c r="B30" s="2">
        <v>46154.725532407407</v>
      </c>
      <c r="C30" s="1" t="s">
        <v>334</v>
      </c>
      <c r="D30" s="1" t="s">
        <v>335</v>
      </c>
      <c r="E30">
        <f t="shared" si="33"/>
        <v>1</v>
      </c>
      <c r="F30">
        <f t="shared" si="33"/>
        <v>0</v>
      </c>
      <c r="G30">
        <f t="shared" si="33"/>
        <v>0</v>
      </c>
      <c r="H30">
        <f t="shared" si="33"/>
        <v>0</v>
      </c>
      <c r="I30">
        <f t="shared" si="33"/>
        <v>30</v>
      </c>
      <c r="J30">
        <f t="shared" si="33"/>
        <v>0</v>
      </c>
      <c r="K30">
        <f t="shared" si="33"/>
        <v>0</v>
      </c>
      <c r="L30">
        <f t="shared" si="7"/>
        <v>30</v>
      </c>
      <c r="N30" s="1" t="s">
        <v>325</v>
      </c>
      <c r="O30" s="1"/>
      <c r="P30" s="1"/>
      <c r="Q30" s="1"/>
      <c r="R30" s="1"/>
      <c r="S30" s="1"/>
      <c r="T30" s="1"/>
      <c r="V30" s="1" t="s">
        <v>21</v>
      </c>
      <c r="W30" s="1" t="str">
        <f t="shared" ref="W30:AA30" si="48">IF(W$1=$V30, "True", "False")</f>
        <v>True</v>
      </c>
      <c r="X30" s="1" t="str">
        <f t="shared" si="48"/>
        <v>False</v>
      </c>
      <c r="Y30" s="1" t="str">
        <f t="shared" si="48"/>
        <v>False</v>
      </c>
      <c r="Z30" s="1" t="str">
        <f t="shared" si="48"/>
        <v>False</v>
      </c>
      <c r="AA30" s="1" t="str">
        <f t="shared" si="48"/>
        <v>False</v>
      </c>
      <c r="AB30" s="1" t="s">
        <v>32</v>
      </c>
      <c r="AC30">
        <f t="shared" si="35"/>
        <v>0</v>
      </c>
      <c r="AD30">
        <f t="shared" si="35"/>
        <v>0</v>
      </c>
      <c r="AE30">
        <f t="shared" si="35"/>
        <v>0</v>
      </c>
      <c r="AF30">
        <f t="shared" si="35"/>
        <v>0</v>
      </c>
      <c r="AG30">
        <f t="shared" si="35"/>
        <v>0</v>
      </c>
      <c r="AH30">
        <f t="shared" si="35"/>
        <v>1</v>
      </c>
      <c r="AI30" s="1">
        <f t="shared" si="10"/>
        <v>1</v>
      </c>
      <c r="AK30" s="1" t="s">
        <v>285</v>
      </c>
      <c r="AL30">
        <f t="shared" si="36"/>
        <v>0</v>
      </c>
      <c r="AM30">
        <f t="shared" si="36"/>
        <v>1</v>
      </c>
      <c r="AN30">
        <f t="shared" si="36"/>
        <v>0</v>
      </c>
      <c r="AO30">
        <f t="shared" si="36"/>
        <v>1</v>
      </c>
      <c r="AP30">
        <f t="shared" si="36"/>
        <v>0</v>
      </c>
      <c r="AQ30">
        <f t="shared" si="36"/>
        <v>0</v>
      </c>
      <c r="AR30">
        <f t="shared" si="36"/>
        <v>0</v>
      </c>
      <c r="AS30">
        <f t="shared" si="36"/>
        <v>0</v>
      </c>
      <c r="AU30" s="1" t="s">
        <v>47</v>
      </c>
      <c r="AV30" s="1">
        <f t="shared" si="18"/>
        <v>0</v>
      </c>
      <c r="AW30" s="1">
        <f t="shared" si="19"/>
        <v>0</v>
      </c>
      <c r="AX30" s="1">
        <f t="shared" si="20"/>
        <v>1</v>
      </c>
      <c r="AY30" s="1" t="s">
        <v>46</v>
      </c>
      <c r="BA30" s="1" t="s">
        <v>336</v>
      </c>
      <c r="BB30">
        <f t="shared" si="37"/>
        <v>0</v>
      </c>
      <c r="BC30">
        <f t="shared" si="37"/>
        <v>1</v>
      </c>
      <c r="BD30">
        <f t="shared" si="37"/>
        <v>1</v>
      </c>
      <c r="BE30">
        <f t="shared" si="37"/>
        <v>1</v>
      </c>
      <c r="BF30">
        <f t="shared" si="37"/>
        <v>0</v>
      </c>
      <c r="BG30">
        <f t="shared" si="37"/>
        <v>1</v>
      </c>
      <c r="BH30">
        <f t="shared" si="37"/>
        <v>0</v>
      </c>
      <c r="BI30">
        <f t="shared" si="37"/>
        <v>0</v>
      </c>
      <c r="BJ30">
        <f t="shared" si="37"/>
        <v>1</v>
      </c>
      <c r="BK30">
        <f t="shared" si="13"/>
        <v>5</v>
      </c>
      <c r="BM30" s="1" t="s">
        <v>163</v>
      </c>
      <c r="BN30" s="1" t="s">
        <v>337</v>
      </c>
      <c r="BO30">
        <f t="shared" si="38"/>
        <v>1</v>
      </c>
      <c r="BP30">
        <f t="shared" si="38"/>
        <v>1</v>
      </c>
      <c r="BQ30">
        <f t="shared" si="38"/>
        <v>0</v>
      </c>
      <c r="BR30">
        <f t="shared" si="38"/>
        <v>0</v>
      </c>
      <c r="BS30">
        <f t="shared" si="38"/>
        <v>0</v>
      </c>
      <c r="BT30">
        <f t="shared" si="38"/>
        <v>0</v>
      </c>
      <c r="BU30">
        <f t="shared" si="38"/>
        <v>0</v>
      </c>
      <c r="CH30" s="1" t="s">
        <v>338</v>
      </c>
      <c r="CJ30" s="1" t="s">
        <v>339</v>
      </c>
      <c r="CL30" s="1" t="s">
        <v>174</v>
      </c>
      <c r="DC30" s="1" t="s">
        <v>235</v>
      </c>
    </row>
    <row r="31" spans="1:107" x14ac:dyDescent="0.25">
      <c r="A31" s="1" t="b">
        <v>1</v>
      </c>
      <c r="B31" s="2">
        <v>46154.916574074072</v>
      </c>
      <c r="C31" s="1" t="s">
        <v>340</v>
      </c>
      <c r="D31" s="1" t="s">
        <v>341</v>
      </c>
      <c r="E31">
        <f t="shared" si="33"/>
        <v>1</v>
      </c>
      <c r="F31">
        <f t="shared" si="33"/>
        <v>30</v>
      </c>
      <c r="G31">
        <f t="shared" si="33"/>
        <v>0</v>
      </c>
      <c r="H31">
        <f t="shared" si="33"/>
        <v>0</v>
      </c>
      <c r="I31">
        <f t="shared" si="33"/>
        <v>105</v>
      </c>
      <c r="J31">
        <f t="shared" si="33"/>
        <v>137</v>
      </c>
      <c r="K31">
        <f t="shared" si="33"/>
        <v>0</v>
      </c>
      <c r="L31">
        <f t="shared" si="7"/>
        <v>137</v>
      </c>
      <c r="N31" s="1" t="s">
        <v>325</v>
      </c>
      <c r="O31" s="1"/>
      <c r="P31" s="1"/>
      <c r="Q31" s="1"/>
      <c r="R31" s="1"/>
      <c r="S31" s="1"/>
      <c r="T31" s="1"/>
      <c r="V31" s="1" t="s">
        <v>22</v>
      </c>
      <c r="W31" s="1" t="str">
        <f t="shared" ref="W31:AA31" si="49">IF(W$1=$V31, "True", "False")</f>
        <v>False</v>
      </c>
      <c r="X31" s="1" t="str">
        <f t="shared" si="49"/>
        <v>True</v>
      </c>
      <c r="Y31" s="1" t="str">
        <f t="shared" si="49"/>
        <v>False</v>
      </c>
      <c r="Z31" s="1" t="str">
        <f t="shared" si="49"/>
        <v>False</v>
      </c>
      <c r="AA31" s="1" t="str">
        <f t="shared" si="49"/>
        <v>False</v>
      </c>
      <c r="AB31" s="1" t="s">
        <v>180</v>
      </c>
      <c r="AC31">
        <f t="shared" si="35"/>
        <v>0</v>
      </c>
      <c r="AD31">
        <f t="shared" si="35"/>
        <v>0</v>
      </c>
      <c r="AE31">
        <f t="shared" si="35"/>
        <v>0</v>
      </c>
      <c r="AF31">
        <f t="shared" si="35"/>
        <v>0</v>
      </c>
      <c r="AG31">
        <f t="shared" si="35"/>
        <v>0</v>
      </c>
      <c r="AH31">
        <f t="shared" si="35"/>
        <v>0</v>
      </c>
      <c r="AI31" s="1">
        <f t="shared" si="10"/>
        <v>0</v>
      </c>
      <c r="AJ31" s="1" t="s">
        <v>342</v>
      </c>
      <c r="AK31" s="1" t="s">
        <v>343</v>
      </c>
      <c r="AL31">
        <f t="shared" si="36"/>
        <v>0</v>
      </c>
      <c r="AM31">
        <f t="shared" si="36"/>
        <v>1</v>
      </c>
      <c r="AN31">
        <f t="shared" si="36"/>
        <v>1</v>
      </c>
      <c r="AO31">
        <f t="shared" si="36"/>
        <v>1</v>
      </c>
      <c r="AP31">
        <f t="shared" si="36"/>
        <v>0</v>
      </c>
      <c r="AQ31">
        <f t="shared" si="36"/>
        <v>0</v>
      </c>
      <c r="AR31">
        <f t="shared" si="36"/>
        <v>0</v>
      </c>
      <c r="AS31">
        <f t="shared" si="36"/>
        <v>0</v>
      </c>
      <c r="AU31" s="1" t="s">
        <v>45</v>
      </c>
      <c r="AV31" s="1">
        <f t="shared" si="18"/>
        <v>1</v>
      </c>
      <c r="AW31" s="1">
        <f t="shared" si="19"/>
        <v>0</v>
      </c>
      <c r="AX31" s="1">
        <f t="shared" si="20"/>
        <v>0</v>
      </c>
      <c r="AY31" s="1" t="s">
        <v>46</v>
      </c>
      <c r="BA31" s="1" t="s">
        <v>344</v>
      </c>
      <c r="BB31">
        <f t="shared" si="37"/>
        <v>1</v>
      </c>
      <c r="BC31">
        <f t="shared" si="37"/>
        <v>0</v>
      </c>
      <c r="BD31">
        <f t="shared" si="37"/>
        <v>0</v>
      </c>
      <c r="BE31">
        <f t="shared" si="37"/>
        <v>0</v>
      </c>
      <c r="BF31">
        <f t="shared" si="37"/>
        <v>1</v>
      </c>
      <c r="BG31">
        <f t="shared" si="37"/>
        <v>0</v>
      </c>
      <c r="BH31">
        <f t="shared" si="37"/>
        <v>0</v>
      </c>
      <c r="BI31">
        <f t="shared" si="37"/>
        <v>0</v>
      </c>
      <c r="BJ31">
        <f t="shared" si="37"/>
        <v>1</v>
      </c>
      <c r="BK31">
        <f t="shared" si="13"/>
        <v>3</v>
      </c>
      <c r="BM31" s="1" t="s">
        <v>163</v>
      </c>
      <c r="BN31" s="1" t="s">
        <v>345</v>
      </c>
      <c r="BO31">
        <f t="shared" si="38"/>
        <v>0</v>
      </c>
      <c r="BP31">
        <f t="shared" si="38"/>
        <v>0</v>
      </c>
      <c r="BQ31">
        <f t="shared" si="38"/>
        <v>0</v>
      </c>
      <c r="BR31">
        <f t="shared" si="38"/>
        <v>0</v>
      </c>
      <c r="BS31">
        <f t="shared" si="38"/>
        <v>0</v>
      </c>
      <c r="BT31">
        <f t="shared" si="38"/>
        <v>1</v>
      </c>
      <c r="BU31">
        <f t="shared" si="38"/>
        <v>0</v>
      </c>
      <c r="BV31" s="1" t="s">
        <v>346</v>
      </c>
      <c r="CH31" s="1" t="s">
        <v>347</v>
      </c>
      <c r="CI31" s="1" t="s">
        <v>348</v>
      </c>
      <c r="CL31" s="1" t="s">
        <v>349</v>
      </c>
      <c r="CX31" s="1" t="s">
        <v>350</v>
      </c>
      <c r="CZ31" s="1" t="s">
        <v>351</v>
      </c>
      <c r="DB31" s="1" t="s">
        <v>352</v>
      </c>
      <c r="DC31" s="1" t="s">
        <v>177</v>
      </c>
    </row>
    <row r="32" spans="1:107" x14ac:dyDescent="0.25">
      <c r="A32" s="1" t="b">
        <v>1</v>
      </c>
      <c r="B32" s="2">
        <v>46155.312210648146</v>
      </c>
      <c r="C32" s="1" t="s">
        <v>353</v>
      </c>
      <c r="D32" s="1" t="s">
        <v>335</v>
      </c>
      <c r="E32">
        <f t="shared" si="33"/>
        <v>1</v>
      </c>
      <c r="F32">
        <f t="shared" si="33"/>
        <v>0</v>
      </c>
      <c r="G32">
        <f t="shared" si="33"/>
        <v>0</v>
      </c>
      <c r="H32">
        <f t="shared" si="33"/>
        <v>0</v>
      </c>
      <c r="I32">
        <f t="shared" si="33"/>
        <v>30</v>
      </c>
      <c r="J32">
        <f t="shared" si="33"/>
        <v>0</v>
      </c>
      <c r="K32">
        <f t="shared" si="33"/>
        <v>0</v>
      </c>
      <c r="L32">
        <f t="shared" si="7"/>
        <v>30</v>
      </c>
      <c r="N32" s="1" t="s">
        <v>320</v>
      </c>
      <c r="O32" s="1"/>
      <c r="P32" s="1"/>
      <c r="Q32" s="1"/>
      <c r="R32" s="1"/>
      <c r="S32" s="1"/>
      <c r="T32" s="1"/>
      <c r="V32" s="1" t="s">
        <v>22</v>
      </c>
      <c r="W32" s="1" t="str">
        <f t="shared" ref="W32:AA32" si="50">IF(W$1=$V32, "True", "False")</f>
        <v>False</v>
      </c>
      <c r="X32" s="1" t="str">
        <f t="shared" si="50"/>
        <v>True</v>
      </c>
      <c r="Y32" s="1" t="str">
        <f t="shared" si="50"/>
        <v>False</v>
      </c>
      <c r="Z32" s="1" t="str">
        <f t="shared" si="50"/>
        <v>False</v>
      </c>
      <c r="AA32" s="1" t="str">
        <f t="shared" si="50"/>
        <v>False</v>
      </c>
      <c r="AB32" s="1" t="s">
        <v>354</v>
      </c>
      <c r="AC32">
        <f t="shared" si="35"/>
        <v>1</v>
      </c>
      <c r="AD32">
        <f t="shared" si="35"/>
        <v>0</v>
      </c>
      <c r="AE32">
        <f t="shared" si="35"/>
        <v>0</v>
      </c>
      <c r="AF32">
        <f t="shared" si="35"/>
        <v>0</v>
      </c>
      <c r="AG32">
        <f t="shared" si="35"/>
        <v>0</v>
      </c>
      <c r="AH32">
        <f t="shared" si="35"/>
        <v>1</v>
      </c>
      <c r="AI32" s="1">
        <f t="shared" si="10"/>
        <v>2</v>
      </c>
      <c r="AK32" s="1" t="s">
        <v>186</v>
      </c>
      <c r="AL32">
        <f t="shared" si="36"/>
        <v>1</v>
      </c>
      <c r="AM32">
        <f t="shared" si="36"/>
        <v>1</v>
      </c>
      <c r="AN32">
        <f t="shared" si="36"/>
        <v>1</v>
      </c>
      <c r="AO32">
        <f t="shared" si="36"/>
        <v>1</v>
      </c>
      <c r="AP32">
        <f t="shared" si="36"/>
        <v>0</v>
      </c>
      <c r="AQ32">
        <f t="shared" si="36"/>
        <v>1</v>
      </c>
      <c r="AR32">
        <f t="shared" si="36"/>
        <v>0</v>
      </c>
      <c r="AS32">
        <f t="shared" si="36"/>
        <v>0</v>
      </c>
      <c r="AU32" s="1" t="s">
        <v>45</v>
      </c>
      <c r="AV32" s="1">
        <f t="shared" si="18"/>
        <v>1</v>
      </c>
      <c r="AW32" s="1">
        <f t="shared" si="19"/>
        <v>0</v>
      </c>
      <c r="AX32" s="1">
        <f t="shared" si="20"/>
        <v>0</v>
      </c>
      <c r="AY32" s="1" t="s">
        <v>46</v>
      </c>
      <c r="BA32" s="1" t="s">
        <v>355</v>
      </c>
      <c r="BB32">
        <f t="shared" si="37"/>
        <v>1</v>
      </c>
      <c r="BC32">
        <f t="shared" si="37"/>
        <v>1</v>
      </c>
      <c r="BD32">
        <f t="shared" si="37"/>
        <v>1</v>
      </c>
      <c r="BE32">
        <f t="shared" si="37"/>
        <v>1</v>
      </c>
      <c r="BF32">
        <f t="shared" si="37"/>
        <v>1</v>
      </c>
      <c r="BG32">
        <f t="shared" si="37"/>
        <v>0</v>
      </c>
      <c r="BH32">
        <f t="shared" si="37"/>
        <v>0</v>
      </c>
      <c r="BI32">
        <f t="shared" si="37"/>
        <v>1</v>
      </c>
      <c r="BJ32">
        <f t="shared" si="37"/>
        <v>1</v>
      </c>
      <c r="BK32">
        <f t="shared" si="13"/>
        <v>7</v>
      </c>
      <c r="BM32" s="1" t="s">
        <v>229</v>
      </c>
      <c r="BN32" s="1" t="s">
        <v>356</v>
      </c>
      <c r="BO32">
        <f t="shared" si="38"/>
        <v>0</v>
      </c>
      <c r="BP32">
        <f t="shared" si="38"/>
        <v>0</v>
      </c>
      <c r="BQ32">
        <f t="shared" si="38"/>
        <v>1</v>
      </c>
      <c r="BR32">
        <f t="shared" si="38"/>
        <v>1</v>
      </c>
      <c r="BS32">
        <f t="shared" si="38"/>
        <v>1</v>
      </c>
      <c r="BT32">
        <f t="shared" si="38"/>
        <v>0</v>
      </c>
      <c r="BU32">
        <f t="shared" si="38"/>
        <v>1</v>
      </c>
      <c r="CH32" s="1" t="s">
        <v>357</v>
      </c>
      <c r="CI32" s="1" t="s">
        <v>358</v>
      </c>
      <c r="CJ32" s="1" t="s">
        <v>172</v>
      </c>
      <c r="CK32" s="1" t="s">
        <v>359</v>
      </c>
      <c r="CL32" s="1" t="s">
        <v>349</v>
      </c>
    </row>
    <row r="33" spans="1:107" x14ac:dyDescent="0.25">
      <c r="A33" s="1" t="b">
        <v>0</v>
      </c>
      <c r="B33" s="2">
        <v>46155.403379629628</v>
      </c>
      <c r="C33" s="1" t="s">
        <v>360</v>
      </c>
      <c r="D33" s="1" t="s">
        <v>361</v>
      </c>
      <c r="E33">
        <f t="shared" si="33"/>
        <v>0</v>
      </c>
      <c r="F33">
        <f t="shared" si="33"/>
        <v>1</v>
      </c>
      <c r="G33">
        <f t="shared" si="33"/>
        <v>76</v>
      </c>
      <c r="H33">
        <f t="shared" si="33"/>
        <v>0</v>
      </c>
      <c r="I33">
        <f t="shared" si="33"/>
        <v>0</v>
      </c>
      <c r="J33">
        <f t="shared" si="33"/>
        <v>0</v>
      </c>
      <c r="K33">
        <f t="shared" si="33"/>
        <v>132</v>
      </c>
      <c r="L33">
        <f t="shared" si="7"/>
        <v>132</v>
      </c>
      <c r="N33" s="1" t="s">
        <v>184</v>
      </c>
      <c r="O33" s="1"/>
      <c r="P33" s="1"/>
      <c r="Q33" s="1"/>
      <c r="R33" s="1"/>
      <c r="S33" s="1"/>
      <c r="T33" s="1"/>
      <c r="W33" s="1" t="str">
        <f t="shared" ref="W33:AA33" si="51">IF(W$1=$V33, "True", "False")</f>
        <v>False</v>
      </c>
      <c r="X33" s="1" t="str">
        <f t="shared" si="51"/>
        <v>False</v>
      </c>
      <c r="Y33" s="1" t="str">
        <f t="shared" si="51"/>
        <v>False</v>
      </c>
      <c r="Z33" s="1" t="str">
        <f t="shared" si="51"/>
        <v>False</v>
      </c>
      <c r="AA33" s="1" t="str">
        <f t="shared" si="51"/>
        <v>False</v>
      </c>
      <c r="AB33" s="1" t="s">
        <v>30</v>
      </c>
      <c r="AC33">
        <f t="shared" si="35"/>
        <v>0</v>
      </c>
      <c r="AD33">
        <f t="shared" si="35"/>
        <v>0</v>
      </c>
      <c r="AE33">
        <f t="shared" si="35"/>
        <v>0</v>
      </c>
      <c r="AF33">
        <f t="shared" si="35"/>
        <v>1</v>
      </c>
      <c r="AG33">
        <f t="shared" si="35"/>
        <v>0</v>
      </c>
      <c r="AH33">
        <f t="shared" si="35"/>
        <v>0</v>
      </c>
      <c r="AI33" s="1">
        <f t="shared" si="10"/>
        <v>1</v>
      </c>
      <c r="AK33" s="1" t="s">
        <v>362</v>
      </c>
      <c r="AL33">
        <f t="shared" si="36"/>
        <v>1</v>
      </c>
      <c r="AM33">
        <f t="shared" si="36"/>
        <v>1</v>
      </c>
      <c r="AN33">
        <f t="shared" si="36"/>
        <v>1</v>
      </c>
      <c r="AO33">
        <f t="shared" si="36"/>
        <v>1</v>
      </c>
      <c r="AP33">
        <f t="shared" si="36"/>
        <v>1</v>
      </c>
      <c r="AQ33">
        <f t="shared" si="36"/>
        <v>1</v>
      </c>
      <c r="AR33">
        <f t="shared" si="36"/>
        <v>1</v>
      </c>
      <c r="AS33">
        <f t="shared" si="36"/>
        <v>1</v>
      </c>
      <c r="AU33" s="1" t="s">
        <v>45</v>
      </c>
      <c r="AV33" s="1">
        <f t="shared" si="18"/>
        <v>1</v>
      </c>
      <c r="AW33" s="1">
        <f t="shared" si="19"/>
        <v>0</v>
      </c>
      <c r="AX33" s="1">
        <f t="shared" si="20"/>
        <v>0</v>
      </c>
      <c r="AY33" s="1" t="s">
        <v>45</v>
      </c>
      <c r="AZ33" s="1" t="s">
        <v>46</v>
      </c>
      <c r="BA33" s="1" t="s">
        <v>162</v>
      </c>
      <c r="BB33">
        <f t="shared" si="37"/>
        <v>1</v>
      </c>
      <c r="BC33">
        <f t="shared" si="37"/>
        <v>1</v>
      </c>
      <c r="BD33">
        <f t="shared" si="37"/>
        <v>1</v>
      </c>
      <c r="BE33">
        <f t="shared" si="37"/>
        <v>1</v>
      </c>
      <c r="BF33">
        <f t="shared" si="37"/>
        <v>1</v>
      </c>
      <c r="BG33">
        <f t="shared" si="37"/>
        <v>1</v>
      </c>
      <c r="BH33">
        <f t="shared" si="37"/>
        <v>1</v>
      </c>
      <c r="BI33">
        <f t="shared" si="37"/>
        <v>1</v>
      </c>
      <c r="BJ33">
        <f t="shared" si="37"/>
        <v>1</v>
      </c>
      <c r="BK33">
        <f t="shared" si="13"/>
        <v>9</v>
      </c>
      <c r="BO33">
        <f t="shared" si="38"/>
        <v>0</v>
      </c>
      <c r="BP33">
        <f t="shared" si="38"/>
        <v>0</v>
      </c>
      <c r="BQ33">
        <f t="shared" si="38"/>
        <v>0</v>
      </c>
      <c r="BR33">
        <f t="shared" si="38"/>
        <v>0</v>
      </c>
      <c r="BS33">
        <f t="shared" si="38"/>
        <v>0</v>
      </c>
      <c r="BT33">
        <f t="shared" si="38"/>
        <v>0</v>
      </c>
      <c r="BU33">
        <f t="shared" si="38"/>
        <v>0</v>
      </c>
    </row>
    <row r="34" spans="1:107" x14ac:dyDescent="0.25">
      <c r="A34" s="1" t="b">
        <v>1</v>
      </c>
      <c r="B34" s="2">
        <v>46155.428888888891</v>
      </c>
      <c r="C34" s="1" t="s">
        <v>363</v>
      </c>
      <c r="D34" s="1" t="s">
        <v>5</v>
      </c>
      <c r="E34">
        <f t="shared" si="33"/>
        <v>0</v>
      </c>
      <c r="F34">
        <f t="shared" si="33"/>
        <v>1</v>
      </c>
      <c r="G34">
        <f t="shared" si="33"/>
        <v>0</v>
      </c>
      <c r="H34">
        <f t="shared" si="33"/>
        <v>0</v>
      </c>
      <c r="I34">
        <f t="shared" si="33"/>
        <v>0</v>
      </c>
      <c r="J34">
        <f t="shared" si="33"/>
        <v>0</v>
      </c>
      <c r="K34">
        <f t="shared" si="33"/>
        <v>0</v>
      </c>
      <c r="L34">
        <f t="shared" si="7"/>
        <v>1</v>
      </c>
      <c r="N34" s="1" t="s">
        <v>364</v>
      </c>
      <c r="O34" s="1"/>
      <c r="P34" s="1"/>
      <c r="Q34" s="1"/>
      <c r="R34" s="1"/>
      <c r="S34" s="1"/>
      <c r="T34" s="1"/>
      <c r="U34" s="1" t="s">
        <v>365</v>
      </c>
      <c r="V34" s="1" t="s">
        <v>22</v>
      </c>
      <c r="W34" s="1" t="str">
        <f t="shared" ref="W34:AA34" si="52">IF(W$1=$V34, "True", "False")</f>
        <v>False</v>
      </c>
      <c r="X34" s="1" t="str">
        <f t="shared" si="52"/>
        <v>True</v>
      </c>
      <c r="Y34" s="1" t="str">
        <f t="shared" si="52"/>
        <v>False</v>
      </c>
      <c r="Z34" s="1" t="str">
        <f t="shared" si="52"/>
        <v>False</v>
      </c>
      <c r="AA34" s="1" t="str">
        <f t="shared" si="52"/>
        <v>False</v>
      </c>
      <c r="AB34" s="1" t="s">
        <v>27</v>
      </c>
      <c r="AC34">
        <f t="shared" si="35"/>
        <v>1</v>
      </c>
      <c r="AD34">
        <f t="shared" si="35"/>
        <v>0</v>
      </c>
      <c r="AE34">
        <f t="shared" si="35"/>
        <v>0</v>
      </c>
      <c r="AF34">
        <f t="shared" si="35"/>
        <v>0</v>
      </c>
      <c r="AG34">
        <f t="shared" si="35"/>
        <v>0</v>
      </c>
      <c r="AH34">
        <f t="shared" si="35"/>
        <v>0</v>
      </c>
      <c r="AI34" s="1">
        <f t="shared" si="10"/>
        <v>1</v>
      </c>
      <c r="AK34" s="1" t="s">
        <v>366</v>
      </c>
      <c r="AL34">
        <f t="shared" si="36"/>
        <v>0</v>
      </c>
      <c r="AM34">
        <f t="shared" si="36"/>
        <v>1</v>
      </c>
      <c r="AN34">
        <f t="shared" si="36"/>
        <v>0</v>
      </c>
      <c r="AO34">
        <f t="shared" si="36"/>
        <v>1</v>
      </c>
      <c r="AP34">
        <f t="shared" si="36"/>
        <v>0</v>
      </c>
      <c r="AQ34">
        <f t="shared" si="36"/>
        <v>1</v>
      </c>
      <c r="AR34">
        <f t="shared" si="36"/>
        <v>0</v>
      </c>
      <c r="AS34">
        <f t="shared" si="36"/>
        <v>0</v>
      </c>
      <c r="AT34" s="1" t="s">
        <v>367</v>
      </c>
      <c r="AU34" s="1" t="s">
        <v>45</v>
      </c>
      <c r="AV34" s="1">
        <f t="shared" si="18"/>
        <v>1</v>
      </c>
      <c r="AW34" s="1">
        <f t="shared" si="19"/>
        <v>0</v>
      </c>
      <c r="AX34" s="1">
        <f t="shared" si="20"/>
        <v>0</v>
      </c>
      <c r="AY34" s="1" t="s">
        <v>46</v>
      </c>
      <c r="BA34" s="1" t="s">
        <v>368</v>
      </c>
      <c r="BB34">
        <f t="shared" si="37"/>
        <v>1</v>
      </c>
      <c r="BC34">
        <f t="shared" si="37"/>
        <v>1</v>
      </c>
      <c r="BD34">
        <f t="shared" si="37"/>
        <v>1</v>
      </c>
      <c r="BE34">
        <f t="shared" si="37"/>
        <v>0</v>
      </c>
      <c r="BF34">
        <f t="shared" si="37"/>
        <v>1</v>
      </c>
      <c r="BG34">
        <f t="shared" si="37"/>
        <v>1</v>
      </c>
      <c r="BH34">
        <f t="shared" si="37"/>
        <v>0</v>
      </c>
      <c r="BI34">
        <f t="shared" si="37"/>
        <v>0</v>
      </c>
      <c r="BJ34">
        <f t="shared" si="37"/>
        <v>1</v>
      </c>
      <c r="BK34">
        <f t="shared" si="13"/>
        <v>6</v>
      </c>
      <c r="BM34" s="1" t="s">
        <v>187</v>
      </c>
      <c r="BN34" s="1" t="s">
        <v>369</v>
      </c>
      <c r="BO34">
        <f t="shared" si="38"/>
        <v>0</v>
      </c>
      <c r="BP34">
        <f t="shared" si="38"/>
        <v>0</v>
      </c>
      <c r="BQ34">
        <f t="shared" si="38"/>
        <v>0</v>
      </c>
      <c r="BR34">
        <f t="shared" si="38"/>
        <v>0</v>
      </c>
      <c r="BS34">
        <f t="shared" si="38"/>
        <v>0</v>
      </c>
      <c r="BT34">
        <f t="shared" si="38"/>
        <v>1</v>
      </c>
      <c r="BU34">
        <f t="shared" si="38"/>
        <v>1</v>
      </c>
      <c r="CX34" s="1" t="s">
        <v>370</v>
      </c>
      <c r="CZ34" s="1" t="s">
        <v>371</v>
      </c>
      <c r="DB34" s="1" t="s">
        <v>372</v>
      </c>
      <c r="DC34" s="1" t="s">
        <v>235</v>
      </c>
    </row>
    <row r="35" spans="1:107" x14ac:dyDescent="0.25">
      <c r="A35" s="1" t="b">
        <v>0</v>
      </c>
      <c r="B35" s="2">
        <v>46156.245937500003</v>
      </c>
      <c r="C35" s="1" t="s">
        <v>373</v>
      </c>
      <c r="D35" s="1" t="s">
        <v>4</v>
      </c>
      <c r="E35">
        <f t="shared" si="33"/>
        <v>1</v>
      </c>
      <c r="F35">
        <f t="shared" si="33"/>
        <v>0</v>
      </c>
      <c r="G35">
        <f t="shared" si="33"/>
        <v>0</v>
      </c>
      <c r="H35">
        <f t="shared" si="33"/>
        <v>0</v>
      </c>
      <c r="I35">
        <f t="shared" si="33"/>
        <v>0</v>
      </c>
      <c r="J35">
        <f t="shared" si="33"/>
        <v>0</v>
      </c>
      <c r="K35">
        <f t="shared" si="33"/>
        <v>0</v>
      </c>
      <c r="L35">
        <f t="shared" si="7"/>
        <v>1</v>
      </c>
      <c r="N35" s="1" t="s">
        <v>313</v>
      </c>
      <c r="O35" s="1"/>
      <c r="P35" s="1"/>
      <c r="Q35" s="1"/>
      <c r="R35" s="1"/>
      <c r="S35" s="1"/>
      <c r="T35" s="1"/>
      <c r="W35" s="1" t="str">
        <f t="shared" ref="W35:AA35" si="53">IF(W$1=$V35, "True", "False")</f>
        <v>False</v>
      </c>
      <c r="X35" s="1" t="str">
        <f t="shared" si="53"/>
        <v>False</v>
      </c>
      <c r="Y35" s="1" t="str">
        <f t="shared" si="53"/>
        <v>False</v>
      </c>
      <c r="Z35" s="1" t="str">
        <f t="shared" si="53"/>
        <v>False</v>
      </c>
      <c r="AA35" s="1" t="str">
        <f t="shared" si="53"/>
        <v>False</v>
      </c>
      <c r="AC35">
        <f t="shared" si="35"/>
        <v>0</v>
      </c>
      <c r="AD35">
        <f t="shared" si="35"/>
        <v>0</v>
      </c>
      <c r="AE35">
        <f t="shared" si="35"/>
        <v>0</v>
      </c>
      <c r="AF35">
        <f t="shared" si="35"/>
        <v>0</v>
      </c>
      <c r="AG35">
        <f t="shared" si="35"/>
        <v>0</v>
      </c>
      <c r="AH35">
        <f t="shared" si="35"/>
        <v>0</v>
      </c>
      <c r="AI35" s="1">
        <f t="shared" si="10"/>
        <v>0</v>
      </c>
      <c r="AL35">
        <f t="shared" si="36"/>
        <v>0</v>
      </c>
      <c r="AM35">
        <f t="shared" si="36"/>
        <v>0</v>
      </c>
      <c r="AN35">
        <f t="shared" si="36"/>
        <v>0</v>
      </c>
      <c r="AO35">
        <f t="shared" si="36"/>
        <v>0</v>
      </c>
      <c r="AP35">
        <f t="shared" si="36"/>
        <v>0</v>
      </c>
      <c r="AQ35">
        <f t="shared" si="36"/>
        <v>0</v>
      </c>
      <c r="AR35">
        <f t="shared" si="36"/>
        <v>0</v>
      </c>
      <c r="AS35">
        <f t="shared" si="36"/>
        <v>0</v>
      </c>
      <c r="AV35" s="1">
        <f t="shared" si="18"/>
        <v>0</v>
      </c>
      <c r="AW35" s="1">
        <f t="shared" si="19"/>
        <v>0</v>
      </c>
      <c r="AX35" s="1">
        <f t="shared" si="20"/>
        <v>0</v>
      </c>
      <c r="BB35">
        <f t="shared" si="37"/>
        <v>0</v>
      </c>
      <c r="BC35">
        <f t="shared" si="37"/>
        <v>0</v>
      </c>
      <c r="BD35">
        <f t="shared" si="37"/>
        <v>0</v>
      </c>
      <c r="BE35">
        <f t="shared" si="37"/>
        <v>0</v>
      </c>
      <c r="BF35">
        <f t="shared" si="37"/>
        <v>0</v>
      </c>
      <c r="BG35">
        <f t="shared" si="37"/>
        <v>0</v>
      </c>
      <c r="BH35">
        <f t="shared" si="37"/>
        <v>0</v>
      </c>
      <c r="BI35">
        <f t="shared" si="37"/>
        <v>0</v>
      </c>
      <c r="BJ35">
        <f t="shared" si="37"/>
        <v>0</v>
      </c>
      <c r="BK35">
        <f t="shared" si="13"/>
        <v>0</v>
      </c>
      <c r="BO35">
        <f t="shared" si="38"/>
        <v>0</v>
      </c>
      <c r="BP35">
        <f t="shared" si="38"/>
        <v>0</v>
      </c>
      <c r="BQ35">
        <f t="shared" si="38"/>
        <v>0</v>
      </c>
      <c r="BR35">
        <f t="shared" si="38"/>
        <v>0</v>
      </c>
      <c r="BS35">
        <f t="shared" si="38"/>
        <v>0</v>
      </c>
      <c r="BT35">
        <f t="shared" si="38"/>
        <v>0</v>
      </c>
      <c r="BU35">
        <f t="shared" si="38"/>
        <v>0</v>
      </c>
    </row>
    <row r="36" spans="1:107" x14ac:dyDescent="0.25">
      <c r="A36" s="1" t="b">
        <v>1</v>
      </c>
      <c r="B36" s="2">
        <v>46156.602488425924</v>
      </c>
      <c r="C36" s="1" t="s">
        <v>374</v>
      </c>
      <c r="D36" s="1" t="s">
        <v>204</v>
      </c>
      <c r="E36">
        <f t="shared" ref="E36:K51" si="54">IF(ISNUMBER(SEARCH(E$1,$D36)), SEARCH(E$1,$D36), 0)</f>
        <v>1</v>
      </c>
      <c r="F36">
        <f t="shared" si="54"/>
        <v>30</v>
      </c>
      <c r="G36">
        <f t="shared" si="54"/>
        <v>0</v>
      </c>
      <c r="H36">
        <f t="shared" si="54"/>
        <v>0</v>
      </c>
      <c r="I36">
        <f t="shared" si="54"/>
        <v>0</v>
      </c>
      <c r="J36">
        <f t="shared" si="54"/>
        <v>0</v>
      </c>
      <c r="K36">
        <f t="shared" si="54"/>
        <v>0</v>
      </c>
      <c r="L36">
        <f t="shared" si="7"/>
        <v>30</v>
      </c>
      <c r="N36" s="1" t="s">
        <v>237</v>
      </c>
      <c r="O36" s="1"/>
      <c r="P36" s="1"/>
      <c r="Q36" s="1"/>
      <c r="R36" s="1"/>
      <c r="S36" s="1"/>
      <c r="T36" s="1"/>
      <c r="W36" s="1" t="str">
        <f t="shared" ref="W36:AA36" si="55">IF(W$1=$V36, "True", "False")</f>
        <v>False</v>
      </c>
      <c r="X36" s="1" t="str">
        <f t="shared" si="55"/>
        <v>False</v>
      </c>
      <c r="Y36" s="1" t="str">
        <f t="shared" si="55"/>
        <v>False</v>
      </c>
      <c r="Z36" s="1" t="str">
        <f t="shared" si="55"/>
        <v>False</v>
      </c>
      <c r="AA36" s="1" t="str">
        <f t="shared" si="55"/>
        <v>False</v>
      </c>
      <c r="AB36" s="1" t="s">
        <v>27</v>
      </c>
      <c r="AC36">
        <f t="shared" ref="AC36:AH51" si="56">IF(ISNUMBER(SEARCH(AC$1,$AB36)), 1, 0)</f>
        <v>1</v>
      </c>
      <c r="AD36">
        <f t="shared" si="56"/>
        <v>0</v>
      </c>
      <c r="AE36">
        <f t="shared" si="56"/>
        <v>0</v>
      </c>
      <c r="AF36">
        <f t="shared" si="56"/>
        <v>0</v>
      </c>
      <c r="AG36">
        <f t="shared" si="56"/>
        <v>0</v>
      </c>
      <c r="AH36">
        <f t="shared" si="56"/>
        <v>0</v>
      </c>
      <c r="AI36" s="1">
        <f t="shared" si="10"/>
        <v>1</v>
      </c>
      <c r="AK36" s="1" t="s">
        <v>375</v>
      </c>
      <c r="AL36">
        <f t="shared" ref="AL36:AS51" si="57">IF(ISNUMBER(SEARCH(AL$1,$AK36)), 1, 0)</f>
        <v>0</v>
      </c>
      <c r="AM36">
        <f t="shared" si="57"/>
        <v>0</v>
      </c>
      <c r="AN36">
        <f t="shared" si="57"/>
        <v>1</v>
      </c>
      <c r="AO36">
        <f t="shared" si="57"/>
        <v>1</v>
      </c>
      <c r="AP36">
        <f t="shared" si="57"/>
        <v>1</v>
      </c>
      <c r="AQ36">
        <f t="shared" si="57"/>
        <v>0</v>
      </c>
      <c r="AR36">
        <f t="shared" si="57"/>
        <v>0</v>
      </c>
      <c r="AS36">
        <f t="shared" si="57"/>
        <v>0</v>
      </c>
      <c r="AU36" s="1" t="s">
        <v>45</v>
      </c>
      <c r="AV36" s="1">
        <f t="shared" si="18"/>
        <v>1</v>
      </c>
      <c r="AW36" s="1">
        <f t="shared" si="19"/>
        <v>0</v>
      </c>
      <c r="AX36" s="1">
        <f t="shared" si="20"/>
        <v>0</v>
      </c>
      <c r="AY36" s="1" t="s">
        <v>46</v>
      </c>
      <c r="BA36" s="1" t="s">
        <v>315</v>
      </c>
      <c r="BB36">
        <f t="shared" ref="BB36:BJ51" si="58">IF(ISNUMBER(SEARCH(BB$1,$BA36)), 1, 0)</f>
        <v>0</v>
      </c>
      <c r="BC36">
        <f t="shared" si="58"/>
        <v>0</v>
      </c>
      <c r="BD36">
        <f t="shared" si="58"/>
        <v>1</v>
      </c>
      <c r="BE36">
        <f t="shared" si="58"/>
        <v>1</v>
      </c>
      <c r="BF36">
        <f t="shared" si="58"/>
        <v>1</v>
      </c>
      <c r="BG36">
        <f t="shared" si="58"/>
        <v>1</v>
      </c>
      <c r="BH36">
        <f t="shared" si="58"/>
        <v>0</v>
      </c>
      <c r="BI36">
        <f t="shared" si="58"/>
        <v>0</v>
      </c>
      <c r="BJ36">
        <f t="shared" si="58"/>
        <v>1</v>
      </c>
      <c r="BK36">
        <f t="shared" si="13"/>
        <v>5</v>
      </c>
      <c r="BM36" s="1" t="s">
        <v>187</v>
      </c>
      <c r="BN36" s="1" t="s">
        <v>69</v>
      </c>
      <c r="BO36">
        <f t="shared" ref="BO36:BU51" si="59">IF(ISNUMBER(SEARCH(BO$1,$BN36)), 1, 0)</f>
        <v>0</v>
      </c>
      <c r="BP36">
        <f t="shared" si="59"/>
        <v>0</v>
      </c>
      <c r="BQ36">
        <f t="shared" si="59"/>
        <v>0</v>
      </c>
      <c r="BR36">
        <f t="shared" si="59"/>
        <v>0</v>
      </c>
      <c r="BS36">
        <f t="shared" si="59"/>
        <v>0</v>
      </c>
      <c r="BT36">
        <f t="shared" si="59"/>
        <v>0</v>
      </c>
      <c r="BU36">
        <f t="shared" si="59"/>
        <v>1</v>
      </c>
      <c r="CX36" s="1" t="s">
        <v>246</v>
      </c>
      <c r="CZ36" s="1" t="s">
        <v>175</v>
      </c>
      <c r="DC36" s="1" t="s">
        <v>235</v>
      </c>
    </row>
    <row r="37" spans="1:107" x14ac:dyDescent="0.25">
      <c r="A37" s="1" t="b">
        <v>0</v>
      </c>
      <c r="B37" s="2">
        <v>46157.592962962961</v>
      </c>
      <c r="C37" s="1" t="s">
        <v>376</v>
      </c>
      <c r="D37" s="1" t="s">
        <v>189</v>
      </c>
      <c r="E37">
        <f t="shared" si="54"/>
        <v>1</v>
      </c>
      <c r="F37">
        <f t="shared" si="54"/>
        <v>30</v>
      </c>
      <c r="G37">
        <f t="shared" si="54"/>
        <v>0</v>
      </c>
      <c r="H37">
        <f t="shared" si="54"/>
        <v>0</v>
      </c>
      <c r="I37">
        <f t="shared" si="54"/>
        <v>0</v>
      </c>
      <c r="J37">
        <f t="shared" si="54"/>
        <v>0</v>
      </c>
      <c r="K37">
        <f t="shared" si="54"/>
        <v>105</v>
      </c>
      <c r="L37">
        <f t="shared" si="7"/>
        <v>105</v>
      </c>
      <c r="N37" s="1" t="s">
        <v>184</v>
      </c>
      <c r="O37" s="1"/>
      <c r="P37" s="1"/>
      <c r="Q37" s="1"/>
      <c r="R37" s="1"/>
      <c r="S37" s="1"/>
      <c r="T37" s="1"/>
      <c r="V37" s="1" t="s">
        <v>25</v>
      </c>
      <c r="W37" s="1" t="str">
        <f t="shared" ref="W37:AA37" si="60">IF(W$1=$V37, "True", "False")</f>
        <v>False</v>
      </c>
      <c r="X37" s="1" t="str">
        <f t="shared" si="60"/>
        <v>False</v>
      </c>
      <c r="Y37" s="1" t="str">
        <f t="shared" si="60"/>
        <v>False</v>
      </c>
      <c r="Z37" s="1" t="str">
        <f t="shared" si="60"/>
        <v>False</v>
      </c>
      <c r="AA37" s="1" t="str">
        <f t="shared" si="60"/>
        <v>True</v>
      </c>
      <c r="AB37" s="1" t="s">
        <v>377</v>
      </c>
      <c r="AC37">
        <f t="shared" si="56"/>
        <v>1</v>
      </c>
      <c r="AD37">
        <f t="shared" si="56"/>
        <v>0</v>
      </c>
      <c r="AE37">
        <f t="shared" si="56"/>
        <v>1</v>
      </c>
      <c r="AF37">
        <f t="shared" si="56"/>
        <v>1</v>
      </c>
      <c r="AG37">
        <f t="shared" si="56"/>
        <v>0</v>
      </c>
      <c r="AH37">
        <f t="shared" si="56"/>
        <v>0</v>
      </c>
      <c r="AI37" s="1">
        <f t="shared" si="10"/>
        <v>3</v>
      </c>
      <c r="AK37" s="1" t="s">
        <v>378</v>
      </c>
      <c r="AL37">
        <f t="shared" si="57"/>
        <v>1</v>
      </c>
      <c r="AM37">
        <f t="shared" si="57"/>
        <v>1</v>
      </c>
      <c r="AN37">
        <f t="shared" si="57"/>
        <v>1</v>
      </c>
      <c r="AO37">
        <f t="shared" si="57"/>
        <v>1</v>
      </c>
      <c r="AP37">
        <f t="shared" si="57"/>
        <v>1</v>
      </c>
      <c r="AQ37">
        <f t="shared" si="57"/>
        <v>1</v>
      </c>
      <c r="AR37">
        <f t="shared" si="57"/>
        <v>0</v>
      </c>
      <c r="AS37">
        <f t="shared" si="57"/>
        <v>0</v>
      </c>
      <c r="AU37" s="1" t="s">
        <v>45</v>
      </c>
      <c r="AV37" s="1">
        <f t="shared" si="18"/>
        <v>1</v>
      </c>
      <c r="AW37" s="1">
        <f t="shared" si="19"/>
        <v>0</v>
      </c>
      <c r="AX37" s="1">
        <f t="shared" si="20"/>
        <v>0</v>
      </c>
      <c r="AY37" s="1" t="s">
        <v>46</v>
      </c>
      <c r="BA37" s="1" t="s">
        <v>355</v>
      </c>
      <c r="BB37">
        <f t="shared" si="58"/>
        <v>1</v>
      </c>
      <c r="BC37">
        <f t="shared" si="58"/>
        <v>1</v>
      </c>
      <c r="BD37">
        <f t="shared" si="58"/>
        <v>1</v>
      </c>
      <c r="BE37">
        <f t="shared" si="58"/>
        <v>1</v>
      </c>
      <c r="BF37">
        <f t="shared" si="58"/>
        <v>1</v>
      </c>
      <c r="BG37">
        <f t="shared" si="58"/>
        <v>0</v>
      </c>
      <c r="BH37">
        <f t="shared" si="58"/>
        <v>0</v>
      </c>
      <c r="BI37">
        <f t="shared" si="58"/>
        <v>1</v>
      </c>
      <c r="BJ37">
        <f t="shared" si="58"/>
        <v>1</v>
      </c>
      <c r="BK37">
        <f t="shared" si="13"/>
        <v>7</v>
      </c>
      <c r="BM37" s="1" t="s">
        <v>229</v>
      </c>
      <c r="BN37" s="1" t="s">
        <v>379</v>
      </c>
      <c r="BO37">
        <f t="shared" si="59"/>
        <v>1</v>
      </c>
      <c r="BP37">
        <f t="shared" si="59"/>
        <v>1</v>
      </c>
      <c r="BQ37">
        <f t="shared" si="59"/>
        <v>1</v>
      </c>
      <c r="BR37">
        <f t="shared" si="59"/>
        <v>1</v>
      </c>
      <c r="BS37">
        <f t="shared" si="59"/>
        <v>1</v>
      </c>
      <c r="BT37">
        <f t="shared" si="59"/>
        <v>1</v>
      </c>
      <c r="BU37">
        <f t="shared" si="59"/>
        <v>0</v>
      </c>
    </row>
    <row r="38" spans="1:107" x14ac:dyDescent="0.25">
      <c r="A38" s="1" t="b">
        <v>1</v>
      </c>
      <c r="B38" s="2">
        <v>46158.319027777776</v>
      </c>
      <c r="C38" s="1" t="s">
        <v>380</v>
      </c>
      <c r="D38" s="1" t="s">
        <v>381</v>
      </c>
      <c r="E38">
        <f t="shared" si="54"/>
        <v>1</v>
      </c>
      <c r="F38">
        <f t="shared" si="54"/>
        <v>0</v>
      </c>
      <c r="G38">
        <f t="shared" si="54"/>
        <v>30</v>
      </c>
      <c r="H38">
        <f t="shared" si="54"/>
        <v>86</v>
      </c>
      <c r="I38">
        <f t="shared" si="54"/>
        <v>0</v>
      </c>
      <c r="J38">
        <f t="shared" si="54"/>
        <v>0</v>
      </c>
      <c r="K38">
        <f t="shared" si="54"/>
        <v>0</v>
      </c>
      <c r="L38">
        <f t="shared" si="7"/>
        <v>86</v>
      </c>
      <c r="N38" s="1" t="s">
        <v>382</v>
      </c>
      <c r="O38" s="1"/>
      <c r="P38" s="1"/>
      <c r="Q38" s="1"/>
      <c r="R38" s="1"/>
      <c r="S38" s="1"/>
      <c r="T38" s="1"/>
      <c r="V38" s="1" t="s">
        <v>23</v>
      </c>
      <c r="W38" s="1" t="str">
        <f t="shared" ref="W38:AA38" si="61">IF(W$1=$V38, "True", "False")</f>
        <v>False</v>
      </c>
      <c r="X38" s="1" t="str">
        <f t="shared" si="61"/>
        <v>False</v>
      </c>
      <c r="Y38" s="1" t="str">
        <f t="shared" si="61"/>
        <v>True</v>
      </c>
      <c r="Z38" s="1" t="str">
        <f t="shared" si="61"/>
        <v>False</v>
      </c>
      <c r="AA38" s="1" t="str">
        <f t="shared" si="61"/>
        <v>False</v>
      </c>
      <c r="AB38" s="1" t="s">
        <v>27</v>
      </c>
      <c r="AC38">
        <f t="shared" si="56"/>
        <v>1</v>
      </c>
      <c r="AD38">
        <f t="shared" si="56"/>
        <v>0</v>
      </c>
      <c r="AE38">
        <f t="shared" si="56"/>
        <v>0</v>
      </c>
      <c r="AF38">
        <f t="shared" si="56"/>
        <v>0</v>
      </c>
      <c r="AG38">
        <f t="shared" si="56"/>
        <v>0</v>
      </c>
      <c r="AH38">
        <f t="shared" si="56"/>
        <v>0</v>
      </c>
      <c r="AI38" s="1">
        <f t="shared" si="10"/>
        <v>1</v>
      </c>
      <c r="AK38" s="1" t="s">
        <v>36</v>
      </c>
      <c r="AL38">
        <f t="shared" si="57"/>
        <v>0</v>
      </c>
      <c r="AM38">
        <f t="shared" si="57"/>
        <v>1</v>
      </c>
      <c r="AN38">
        <f t="shared" si="57"/>
        <v>0</v>
      </c>
      <c r="AO38">
        <f t="shared" si="57"/>
        <v>0</v>
      </c>
      <c r="AP38">
        <f t="shared" si="57"/>
        <v>0</v>
      </c>
      <c r="AQ38">
        <f t="shared" si="57"/>
        <v>0</v>
      </c>
      <c r="AR38">
        <f t="shared" si="57"/>
        <v>0</v>
      </c>
      <c r="AS38">
        <f t="shared" si="57"/>
        <v>0</v>
      </c>
      <c r="AU38" s="1" t="s">
        <v>46</v>
      </c>
      <c r="AV38" s="1">
        <f t="shared" si="18"/>
        <v>0</v>
      </c>
      <c r="AW38" s="1">
        <f t="shared" si="19"/>
        <v>1</v>
      </c>
      <c r="AX38" s="1">
        <f t="shared" si="20"/>
        <v>0</v>
      </c>
      <c r="AY38" s="1" t="s">
        <v>46</v>
      </c>
      <c r="BA38" s="1" t="s">
        <v>54</v>
      </c>
      <c r="BB38">
        <f t="shared" si="58"/>
        <v>0</v>
      </c>
      <c r="BC38">
        <f t="shared" si="58"/>
        <v>0</v>
      </c>
      <c r="BD38">
        <f t="shared" si="58"/>
        <v>0</v>
      </c>
      <c r="BE38">
        <f t="shared" si="58"/>
        <v>1</v>
      </c>
      <c r="BF38">
        <f t="shared" si="58"/>
        <v>0</v>
      </c>
      <c r="BG38">
        <f t="shared" si="58"/>
        <v>0</v>
      </c>
      <c r="BH38">
        <f t="shared" si="58"/>
        <v>0</v>
      </c>
      <c r="BI38">
        <f t="shared" si="58"/>
        <v>0</v>
      </c>
      <c r="BJ38">
        <f t="shared" si="58"/>
        <v>0</v>
      </c>
      <c r="BK38">
        <f t="shared" si="13"/>
        <v>1</v>
      </c>
      <c r="BM38" s="1" t="s">
        <v>229</v>
      </c>
      <c r="BN38" s="1" t="s">
        <v>383</v>
      </c>
      <c r="BO38">
        <f t="shared" si="59"/>
        <v>0</v>
      </c>
      <c r="BP38">
        <f t="shared" si="59"/>
        <v>1</v>
      </c>
      <c r="BQ38">
        <f t="shared" si="59"/>
        <v>0</v>
      </c>
      <c r="BR38">
        <f t="shared" si="59"/>
        <v>0</v>
      </c>
      <c r="BS38">
        <f t="shared" si="59"/>
        <v>0</v>
      </c>
      <c r="BT38">
        <f t="shared" si="59"/>
        <v>1</v>
      </c>
      <c r="BU38">
        <f t="shared" si="59"/>
        <v>0</v>
      </c>
      <c r="BW38" s="1" t="s">
        <v>166</v>
      </c>
      <c r="CB38" s="1" t="s">
        <v>45</v>
      </c>
      <c r="CF38" s="1" t="s">
        <v>384</v>
      </c>
      <c r="CG38" s="1" t="s">
        <v>385</v>
      </c>
      <c r="CU38" s="1" t="s">
        <v>386</v>
      </c>
    </row>
    <row r="39" spans="1:107" x14ac:dyDescent="0.25">
      <c r="A39" s="1" t="b">
        <v>1</v>
      </c>
      <c r="B39" s="2">
        <v>46158.708622685182</v>
      </c>
      <c r="C39" s="1" t="s">
        <v>387</v>
      </c>
      <c r="D39" s="1" t="s">
        <v>388</v>
      </c>
      <c r="E39">
        <f t="shared" si="54"/>
        <v>1</v>
      </c>
      <c r="F39">
        <f t="shared" si="54"/>
        <v>30</v>
      </c>
      <c r="G39">
        <f t="shared" si="54"/>
        <v>105</v>
      </c>
      <c r="H39">
        <f t="shared" si="54"/>
        <v>161</v>
      </c>
      <c r="I39">
        <f t="shared" si="54"/>
        <v>199</v>
      </c>
      <c r="J39">
        <f t="shared" si="54"/>
        <v>231</v>
      </c>
      <c r="K39">
        <f t="shared" si="54"/>
        <v>268</v>
      </c>
      <c r="L39">
        <f t="shared" si="7"/>
        <v>268</v>
      </c>
      <c r="N39" s="1" t="s">
        <v>157</v>
      </c>
      <c r="O39" s="1"/>
      <c r="P39" s="1"/>
      <c r="Q39" s="1"/>
      <c r="R39" s="1"/>
      <c r="S39" s="1"/>
      <c r="T39" s="1"/>
      <c r="W39" s="1" t="str">
        <f t="shared" ref="W39:AA39" si="62">IF(W$1=$V39, "True", "False")</f>
        <v>False</v>
      </c>
      <c r="X39" s="1" t="str">
        <f t="shared" si="62"/>
        <v>False</v>
      </c>
      <c r="Y39" s="1" t="str">
        <f t="shared" si="62"/>
        <v>False</v>
      </c>
      <c r="Z39" s="1" t="str">
        <f t="shared" si="62"/>
        <v>False</v>
      </c>
      <c r="AA39" s="1" t="str">
        <f t="shared" si="62"/>
        <v>False</v>
      </c>
      <c r="AB39" s="1" t="s">
        <v>389</v>
      </c>
      <c r="AC39">
        <f t="shared" si="56"/>
        <v>0</v>
      </c>
      <c r="AD39">
        <f t="shared" si="56"/>
        <v>1</v>
      </c>
      <c r="AE39">
        <f t="shared" si="56"/>
        <v>1</v>
      </c>
      <c r="AF39">
        <f t="shared" si="56"/>
        <v>0</v>
      </c>
      <c r="AG39">
        <f t="shared" si="56"/>
        <v>0</v>
      </c>
      <c r="AH39">
        <f t="shared" si="56"/>
        <v>0</v>
      </c>
      <c r="AI39" s="1">
        <f t="shared" si="10"/>
        <v>2</v>
      </c>
      <c r="AL39">
        <f t="shared" si="57"/>
        <v>0</v>
      </c>
      <c r="AM39">
        <f t="shared" si="57"/>
        <v>0</v>
      </c>
      <c r="AN39">
        <f t="shared" si="57"/>
        <v>0</v>
      </c>
      <c r="AO39">
        <f t="shared" si="57"/>
        <v>0</v>
      </c>
      <c r="AP39">
        <f t="shared" si="57"/>
        <v>0</v>
      </c>
      <c r="AQ39">
        <f t="shared" si="57"/>
        <v>0</v>
      </c>
      <c r="AR39">
        <f t="shared" si="57"/>
        <v>0</v>
      </c>
      <c r="AS39">
        <f t="shared" si="57"/>
        <v>0</v>
      </c>
      <c r="AV39" s="1">
        <f t="shared" si="18"/>
        <v>0</v>
      </c>
      <c r="AW39" s="1">
        <f t="shared" si="19"/>
        <v>0</v>
      </c>
      <c r="AX39" s="1">
        <f t="shared" si="20"/>
        <v>0</v>
      </c>
      <c r="BB39">
        <f t="shared" si="58"/>
        <v>0</v>
      </c>
      <c r="BC39">
        <f t="shared" si="58"/>
        <v>0</v>
      </c>
      <c r="BD39">
        <f t="shared" si="58"/>
        <v>0</v>
      </c>
      <c r="BE39">
        <f t="shared" si="58"/>
        <v>0</v>
      </c>
      <c r="BF39">
        <f t="shared" si="58"/>
        <v>0</v>
      </c>
      <c r="BG39">
        <f t="shared" si="58"/>
        <v>0</v>
      </c>
      <c r="BH39">
        <f t="shared" si="58"/>
        <v>0</v>
      </c>
      <c r="BI39">
        <f t="shared" si="58"/>
        <v>0</v>
      </c>
      <c r="BJ39">
        <f t="shared" si="58"/>
        <v>0</v>
      </c>
      <c r="BK39">
        <f t="shared" si="13"/>
        <v>0</v>
      </c>
      <c r="BO39">
        <f t="shared" si="59"/>
        <v>0</v>
      </c>
      <c r="BP39">
        <f t="shared" si="59"/>
        <v>0</v>
      </c>
      <c r="BQ39">
        <f t="shared" si="59"/>
        <v>0</v>
      </c>
      <c r="BR39">
        <f t="shared" si="59"/>
        <v>0</v>
      </c>
      <c r="BS39">
        <f t="shared" si="59"/>
        <v>0</v>
      </c>
      <c r="BT39">
        <f t="shared" si="59"/>
        <v>0</v>
      </c>
      <c r="BU39">
        <f t="shared" si="59"/>
        <v>0</v>
      </c>
      <c r="CB39" s="1" t="s">
        <v>46</v>
      </c>
      <c r="CC39" s="1" t="s">
        <v>46</v>
      </c>
    </row>
    <row r="40" spans="1:107" x14ac:dyDescent="0.25">
      <c r="A40" s="1" t="b">
        <v>1</v>
      </c>
      <c r="B40" s="2">
        <v>46159.038958333331</v>
      </c>
      <c r="C40" s="1" t="s">
        <v>390</v>
      </c>
      <c r="D40" s="1" t="s">
        <v>391</v>
      </c>
      <c r="E40">
        <f t="shared" si="54"/>
        <v>1</v>
      </c>
      <c r="F40">
        <f t="shared" si="54"/>
        <v>0</v>
      </c>
      <c r="G40">
        <f t="shared" si="54"/>
        <v>30</v>
      </c>
      <c r="H40">
        <f t="shared" si="54"/>
        <v>0</v>
      </c>
      <c r="I40">
        <f t="shared" si="54"/>
        <v>0</v>
      </c>
      <c r="J40">
        <f t="shared" si="54"/>
        <v>0</v>
      </c>
      <c r="K40">
        <f t="shared" si="54"/>
        <v>86</v>
      </c>
      <c r="L40">
        <f t="shared" si="7"/>
        <v>86</v>
      </c>
      <c r="N40" s="1" t="s">
        <v>325</v>
      </c>
      <c r="O40" s="1"/>
      <c r="P40" s="1"/>
      <c r="Q40" s="1"/>
      <c r="R40" s="1"/>
      <c r="S40" s="1"/>
      <c r="T40" s="1"/>
      <c r="V40" s="1" t="s">
        <v>24</v>
      </c>
      <c r="W40" s="1" t="str">
        <f t="shared" ref="W40:AA40" si="63">IF(W$1=$V40, "True", "False")</f>
        <v>False</v>
      </c>
      <c r="X40" s="1" t="str">
        <f t="shared" si="63"/>
        <v>False</v>
      </c>
      <c r="Y40" s="1" t="str">
        <f t="shared" si="63"/>
        <v>False</v>
      </c>
      <c r="Z40" s="1" t="str">
        <f t="shared" si="63"/>
        <v>True</v>
      </c>
      <c r="AA40" s="1" t="str">
        <f t="shared" si="63"/>
        <v>False</v>
      </c>
      <c r="AB40" s="1" t="s">
        <v>392</v>
      </c>
      <c r="AC40">
        <f t="shared" si="56"/>
        <v>1</v>
      </c>
      <c r="AD40">
        <f t="shared" si="56"/>
        <v>1</v>
      </c>
      <c r="AE40">
        <f t="shared" si="56"/>
        <v>1</v>
      </c>
      <c r="AF40">
        <f t="shared" si="56"/>
        <v>0</v>
      </c>
      <c r="AG40">
        <f t="shared" si="56"/>
        <v>1</v>
      </c>
      <c r="AH40">
        <f t="shared" si="56"/>
        <v>1</v>
      </c>
      <c r="AI40" s="1">
        <f t="shared" si="10"/>
        <v>5</v>
      </c>
      <c r="AK40" s="1" t="s">
        <v>393</v>
      </c>
      <c r="AL40">
        <f t="shared" si="57"/>
        <v>0</v>
      </c>
      <c r="AM40">
        <f t="shared" si="57"/>
        <v>1</v>
      </c>
      <c r="AN40">
        <f t="shared" si="57"/>
        <v>1</v>
      </c>
      <c r="AO40">
        <f t="shared" si="57"/>
        <v>0</v>
      </c>
      <c r="AP40">
        <f t="shared" si="57"/>
        <v>1</v>
      </c>
      <c r="AQ40">
        <f t="shared" si="57"/>
        <v>1</v>
      </c>
      <c r="AR40">
        <f t="shared" si="57"/>
        <v>0</v>
      </c>
      <c r="AS40">
        <f t="shared" si="57"/>
        <v>0</v>
      </c>
      <c r="AU40" s="1" t="s">
        <v>45</v>
      </c>
      <c r="AV40" s="1">
        <f t="shared" si="18"/>
        <v>1</v>
      </c>
      <c r="AW40" s="1">
        <f t="shared" si="19"/>
        <v>0</v>
      </c>
      <c r="AX40" s="1">
        <f t="shared" si="20"/>
        <v>0</v>
      </c>
      <c r="AY40" s="1" t="s">
        <v>46</v>
      </c>
      <c r="BA40" s="1" t="s">
        <v>394</v>
      </c>
      <c r="BB40">
        <f t="shared" si="58"/>
        <v>1</v>
      </c>
      <c r="BC40">
        <f t="shared" si="58"/>
        <v>1</v>
      </c>
      <c r="BD40">
        <f t="shared" si="58"/>
        <v>1</v>
      </c>
      <c r="BE40">
        <f t="shared" si="58"/>
        <v>1</v>
      </c>
      <c r="BF40">
        <f t="shared" si="58"/>
        <v>1</v>
      </c>
      <c r="BG40">
        <f t="shared" si="58"/>
        <v>0</v>
      </c>
      <c r="BH40">
        <f t="shared" si="58"/>
        <v>0</v>
      </c>
      <c r="BI40">
        <f t="shared" si="58"/>
        <v>0</v>
      </c>
      <c r="BJ40">
        <f t="shared" si="58"/>
        <v>0</v>
      </c>
      <c r="BK40">
        <f t="shared" si="13"/>
        <v>5</v>
      </c>
      <c r="BM40" s="1" t="s">
        <v>163</v>
      </c>
      <c r="BN40" s="1" t="s">
        <v>395</v>
      </c>
      <c r="BO40">
        <f t="shared" si="59"/>
        <v>1</v>
      </c>
      <c r="BP40">
        <f t="shared" si="59"/>
        <v>1</v>
      </c>
      <c r="BQ40">
        <f t="shared" si="59"/>
        <v>1</v>
      </c>
      <c r="BR40">
        <f t="shared" si="59"/>
        <v>1</v>
      </c>
      <c r="BS40">
        <f t="shared" si="59"/>
        <v>1</v>
      </c>
      <c r="BT40">
        <f t="shared" si="59"/>
        <v>0</v>
      </c>
      <c r="BU40">
        <f t="shared" si="59"/>
        <v>0</v>
      </c>
      <c r="CM40" s="1" t="s">
        <v>47</v>
      </c>
      <c r="CU40" s="1" t="s">
        <v>396</v>
      </c>
      <c r="DC40" s="1" t="s">
        <v>235</v>
      </c>
    </row>
    <row r="41" spans="1:107" x14ac:dyDescent="0.25">
      <c r="A41" s="1" t="b">
        <v>1</v>
      </c>
      <c r="B41" s="2">
        <v>46159.974074074074</v>
      </c>
      <c r="C41" s="1" t="s">
        <v>397</v>
      </c>
      <c r="D41" s="1" t="s">
        <v>204</v>
      </c>
      <c r="E41">
        <f t="shared" si="54"/>
        <v>1</v>
      </c>
      <c r="F41">
        <f t="shared" si="54"/>
        <v>30</v>
      </c>
      <c r="G41">
        <f t="shared" si="54"/>
        <v>0</v>
      </c>
      <c r="H41">
        <f t="shared" si="54"/>
        <v>0</v>
      </c>
      <c r="I41">
        <f t="shared" si="54"/>
        <v>0</v>
      </c>
      <c r="J41">
        <f t="shared" si="54"/>
        <v>0</v>
      </c>
      <c r="K41">
        <f t="shared" si="54"/>
        <v>0</v>
      </c>
      <c r="L41">
        <f t="shared" si="7"/>
        <v>30</v>
      </c>
      <c r="N41" s="1" t="s">
        <v>184</v>
      </c>
      <c r="O41" s="1"/>
      <c r="P41" s="1"/>
      <c r="Q41" s="1"/>
      <c r="R41" s="1"/>
      <c r="S41" s="1"/>
      <c r="T41" s="1"/>
      <c r="W41" s="1" t="str">
        <f t="shared" ref="W41:AA41" si="64">IF(W$1=$V41, "True", "False")</f>
        <v>False</v>
      </c>
      <c r="X41" s="1" t="str">
        <f t="shared" si="64"/>
        <v>False</v>
      </c>
      <c r="Y41" s="1" t="str">
        <f t="shared" si="64"/>
        <v>False</v>
      </c>
      <c r="Z41" s="1" t="str">
        <f t="shared" si="64"/>
        <v>False</v>
      </c>
      <c r="AA41" s="1" t="str">
        <f t="shared" si="64"/>
        <v>False</v>
      </c>
      <c r="AB41" s="1" t="s">
        <v>398</v>
      </c>
      <c r="AC41">
        <f t="shared" si="56"/>
        <v>0</v>
      </c>
      <c r="AD41">
        <f t="shared" si="56"/>
        <v>0</v>
      </c>
      <c r="AE41">
        <f t="shared" si="56"/>
        <v>0</v>
      </c>
      <c r="AF41">
        <f t="shared" si="56"/>
        <v>0</v>
      </c>
      <c r="AG41">
        <f t="shared" si="56"/>
        <v>0</v>
      </c>
      <c r="AH41">
        <f t="shared" si="56"/>
        <v>1</v>
      </c>
      <c r="AI41" s="1">
        <f t="shared" si="10"/>
        <v>1</v>
      </c>
      <c r="AJ41" s="1" t="s">
        <v>399</v>
      </c>
      <c r="AK41" s="1" t="s">
        <v>180</v>
      </c>
      <c r="AL41">
        <f t="shared" si="57"/>
        <v>0</v>
      </c>
      <c r="AM41">
        <f t="shared" si="57"/>
        <v>0</v>
      </c>
      <c r="AN41">
        <f t="shared" si="57"/>
        <v>0</v>
      </c>
      <c r="AO41">
        <f t="shared" si="57"/>
        <v>0</v>
      </c>
      <c r="AP41">
        <f t="shared" si="57"/>
        <v>0</v>
      </c>
      <c r="AQ41">
        <f t="shared" si="57"/>
        <v>0</v>
      </c>
      <c r="AR41">
        <f t="shared" si="57"/>
        <v>0</v>
      </c>
      <c r="AS41">
        <f t="shared" si="57"/>
        <v>0</v>
      </c>
      <c r="AT41" s="1" t="s">
        <v>400</v>
      </c>
      <c r="AU41" s="1" t="s">
        <v>46</v>
      </c>
      <c r="AV41" s="1">
        <f t="shared" si="18"/>
        <v>0</v>
      </c>
      <c r="AW41" s="1">
        <f t="shared" si="19"/>
        <v>1</v>
      </c>
      <c r="AX41" s="1">
        <f t="shared" si="20"/>
        <v>0</v>
      </c>
      <c r="AY41" s="1" t="s">
        <v>46</v>
      </c>
      <c r="BA41" s="1" t="s">
        <v>59</v>
      </c>
      <c r="BB41">
        <f t="shared" si="58"/>
        <v>0</v>
      </c>
      <c r="BC41">
        <f t="shared" si="58"/>
        <v>0</v>
      </c>
      <c r="BD41">
        <f t="shared" si="58"/>
        <v>0</v>
      </c>
      <c r="BE41">
        <f t="shared" si="58"/>
        <v>0</v>
      </c>
      <c r="BF41">
        <f t="shared" si="58"/>
        <v>0</v>
      </c>
      <c r="BG41">
        <f t="shared" si="58"/>
        <v>0</v>
      </c>
      <c r="BH41">
        <f t="shared" si="58"/>
        <v>0</v>
      </c>
      <c r="BI41">
        <f t="shared" si="58"/>
        <v>0</v>
      </c>
      <c r="BJ41">
        <f t="shared" si="58"/>
        <v>1</v>
      </c>
      <c r="BK41">
        <f t="shared" si="13"/>
        <v>1</v>
      </c>
      <c r="BM41" s="1" t="s">
        <v>163</v>
      </c>
      <c r="BN41" s="1" t="s">
        <v>401</v>
      </c>
      <c r="BO41">
        <f t="shared" si="59"/>
        <v>0</v>
      </c>
      <c r="BP41">
        <f t="shared" si="59"/>
        <v>0</v>
      </c>
      <c r="BQ41">
        <f t="shared" si="59"/>
        <v>0</v>
      </c>
      <c r="BR41">
        <f t="shared" si="59"/>
        <v>0</v>
      </c>
      <c r="BS41">
        <f t="shared" si="59"/>
        <v>0</v>
      </c>
      <c r="BT41">
        <f t="shared" si="59"/>
        <v>0</v>
      </c>
      <c r="BU41">
        <f t="shared" si="59"/>
        <v>0</v>
      </c>
      <c r="BV41" s="1" t="s">
        <v>402</v>
      </c>
      <c r="BW41" s="1" t="s">
        <v>209</v>
      </c>
      <c r="BZ41" s="1" t="s">
        <v>403</v>
      </c>
      <c r="CX41" s="1" t="s">
        <v>317</v>
      </c>
      <c r="DC41" s="1" t="s">
        <v>235</v>
      </c>
    </row>
    <row r="42" spans="1:107" x14ac:dyDescent="0.25">
      <c r="A42" s="1" t="b">
        <v>1</v>
      </c>
      <c r="B42" s="2">
        <v>46160.127824074072</v>
      </c>
      <c r="C42" s="1" t="s">
        <v>404</v>
      </c>
      <c r="D42" s="1" t="s">
        <v>405</v>
      </c>
      <c r="E42">
        <f t="shared" si="54"/>
        <v>0</v>
      </c>
      <c r="F42">
        <f t="shared" si="54"/>
        <v>0</v>
      </c>
      <c r="G42">
        <f t="shared" si="54"/>
        <v>0</v>
      </c>
      <c r="H42">
        <f t="shared" si="54"/>
        <v>1</v>
      </c>
      <c r="I42">
        <f t="shared" si="54"/>
        <v>39</v>
      </c>
      <c r="J42">
        <f t="shared" si="54"/>
        <v>0</v>
      </c>
      <c r="K42">
        <f t="shared" si="54"/>
        <v>0</v>
      </c>
      <c r="L42">
        <f t="shared" si="7"/>
        <v>39</v>
      </c>
      <c r="N42" s="1" t="s">
        <v>406</v>
      </c>
      <c r="O42" s="1"/>
      <c r="P42" s="1"/>
      <c r="Q42" s="1"/>
      <c r="R42" s="1"/>
      <c r="S42" s="1"/>
      <c r="T42" s="1"/>
      <c r="V42" s="1" t="s">
        <v>21</v>
      </c>
      <c r="W42" s="1" t="str">
        <f t="shared" ref="W42:AA42" si="65">IF(W$1=$V42, "True", "False")</f>
        <v>True</v>
      </c>
      <c r="X42" s="1" t="str">
        <f t="shared" si="65"/>
        <v>False</v>
      </c>
      <c r="Y42" s="1" t="str">
        <f t="shared" si="65"/>
        <v>False</v>
      </c>
      <c r="Z42" s="1" t="str">
        <f t="shared" si="65"/>
        <v>False</v>
      </c>
      <c r="AA42" s="1" t="str">
        <f t="shared" si="65"/>
        <v>False</v>
      </c>
      <c r="AB42" s="1" t="s">
        <v>227</v>
      </c>
      <c r="AC42">
        <f t="shared" si="56"/>
        <v>1</v>
      </c>
      <c r="AD42">
        <f t="shared" si="56"/>
        <v>1</v>
      </c>
      <c r="AE42">
        <f t="shared" si="56"/>
        <v>0</v>
      </c>
      <c r="AF42">
        <f t="shared" si="56"/>
        <v>0</v>
      </c>
      <c r="AG42">
        <f t="shared" si="56"/>
        <v>0</v>
      </c>
      <c r="AH42">
        <f t="shared" si="56"/>
        <v>0</v>
      </c>
      <c r="AI42" s="1">
        <f t="shared" si="10"/>
        <v>2</v>
      </c>
      <c r="AK42" s="1" t="s">
        <v>407</v>
      </c>
      <c r="AL42">
        <f t="shared" si="57"/>
        <v>1</v>
      </c>
      <c r="AM42">
        <f t="shared" si="57"/>
        <v>0</v>
      </c>
      <c r="AN42">
        <f t="shared" si="57"/>
        <v>1</v>
      </c>
      <c r="AO42">
        <f t="shared" si="57"/>
        <v>1</v>
      </c>
      <c r="AP42">
        <f t="shared" si="57"/>
        <v>0</v>
      </c>
      <c r="AQ42">
        <f t="shared" si="57"/>
        <v>0</v>
      </c>
      <c r="AR42">
        <f t="shared" si="57"/>
        <v>0</v>
      </c>
      <c r="AS42">
        <f t="shared" si="57"/>
        <v>0</v>
      </c>
      <c r="AU42" s="1" t="s">
        <v>45</v>
      </c>
      <c r="AV42" s="1">
        <f t="shared" si="18"/>
        <v>1</v>
      </c>
      <c r="AW42" s="1">
        <f t="shared" si="19"/>
        <v>0</v>
      </c>
      <c r="AX42" s="1">
        <f t="shared" si="20"/>
        <v>0</v>
      </c>
      <c r="AY42" s="1" t="s">
        <v>45</v>
      </c>
      <c r="AZ42" s="1" t="s">
        <v>45</v>
      </c>
      <c r="BA42" s="1" t="s">
        <v>408</v>
      </c>
      <c r="BB42">
        <f t="shared" si="58"/>
        <v>0</v>
      </c>
      <c r="BC42">
        <f t="shared" si="58"/>
        <v>1</v>
      </c>
      <c r="BD42">
        <f t="shared" si="58"/>
        <v>0</v>
      </c>
      <c r="BE42">
        <f t="shared" si="58"/>
        <v>0</v>
      </c>
      <c r="BF42">
        <f t="shared" si="58"/>
        <v>1</v>
      </c>
      <c r="BG42">
        <f t="shared" si="58"/>
        <v>0</v>
      </c>
      <c r="BH42">
        <f t="shared" si="58"/>
        <v>0</v>
      </c>
      <c r="BI42">
        <f t="shared" si="58"/>
        <v>0</v>
      </c>
      <c r="BJ42">
        <f t="shared" si="58"/>
        <v>1</v>
      </c>
      <c r="BK42">
        <f t="shared" si="13"/>
        <v>3</v>
      </c>
      <c r="BO42">
        <f t="shared" si="59"/>
        <v>0</v>
      </c>
      <c r="BP42">
        <f t="shared" si="59"/>
        <v>0</v>
      </c>
      <c r="BQ42">
        <f t="shared" si="59"/>
        <v>0</v>
      </c>
      <c r="BR42">
        <f t="shared" si="59"/>
        <v>0</v>
      </c>
      <c r="BS42">
        <f t="shared" si="59"/>
        <v>0</v>
      </c>
      <c r="BT42">
        <f t="shared" si="59"/>
        <v>0</v>
      </c>
      <c r="BU42">
        <f t="shared" si="59"/>
        <v>0</v>
      </c>
      <c r="CB42" s="1" t="s">
        <v>45</v>
      </c>
      <c r="CF42" s="1" t="s">
        <v>409</v>
      </c>
      <c r="CG42" s="1" t="s">
        <v>410</v>
      </c>
      <c r="CH42" s="1" t="s">
        <v>170</v>
      </c>
      <c r="CI42" s="1" t="s">
        <v>411</v>
      </c>
      <c r="CJ42" s="1" t="s">
        <v>412</v>
      </c>
      <c r="CL42" s="1" t="s">
        <v>174</v>
      </c>
      <c r="DC42" s="1" t="s">
        <v>177</v>
      </c>
    </row>
    <row r="43" spans="1:107" x14ac:dyDescent="0.25">
      <c r="A43" s="1" t="b">
        <v>1</v>
      </c>
      <c r="B43" s="2">
        <v>46160.753634259258</v>
      </c>
      <c r="C43" s="1" t="s">
        <v>413</v>
      </c>
      <c r="D43" s="1" t="s">
        <v>4</v>
      </c>
      <c r="E43">
        <f t="shared" si="54"/>
        <v>1</v>
      </c>
      <c r="F43">
        <f t="shared" si="54"/>
        <v>0</v>
      </c>
      <c r="G43">
        <f t="shared" si="54"/>
        <v>0</v>
      </c>
      <c r="H43">
        <f t="shared" si="54"/>
        <v>0</v>
      </c>
      <c r="I43">
        <f t="shared" si="54"/>
        <v>0</v>
      </c>
      <c r="J43">
        <f t="shared" si="54"/>
        <v>0</v>
      </c>
      <c r="K43">
        <f t="shared" si="54"/>
        <v>0</v>
      </c>
      <c r="L43">
        <f t="shared" si="7"/>
        <v>1</v>
      </c>
      <c r="N43" s="1" t="s">
        <v>237</v>
      </c>
      <c r="O43" s="1"/>
      <c r="P43" s="1"/>
      <c r="Q43" s="1"/>
      <c r="R43" s="1"/>
      <c r="S43" s="1"/>
      <c r="T43" s="1"/>
      <c r="V43" s="1" t="s">
        <v>25</v>
      </c>
      <c r="W43" s="1" t="str">
        <f t="shared" ref="W43:AA43" si="66">IF(W$1=$V43, "True", "False")</f>
        <v>False</v>
      </c>
      <c r="X43" s="1" t="str">
        <f t="shared" si="66"/>
        <v>False</v>
      </c>
      <c r="Y43" s="1" t="str">
        <f t="shared" si="66"/>
        <v>False</v>
      </c>
      <c r="Z43" s="1" t="str">
        <f t="shared" si="66"/>
        <v>False</v>
      </c>
      <c r="AA43" s="1" t="str">
        <f t="shared" si="66"/>
        <v>True</v>
      </c>
      <c r="AB43" s="1" t="s">
        <v>308</v>
      </c>
      <c r="AC43">
        <f t="shared" si="56"/>
        <v>1</v>
      </c>
      <c r="AD43">
        <f t="shared" si="56"/>
        <v>0</v>
      </c>
      <c r="AE43">
        <f t="shared" si="56"/>
        <v>0</v>
      </c>
      <c r="AF43">
        <f t="shared" si="56"/>
        <v>0</v>
      </c>
      <c r="AG43">
        <f t="shared" si="56"/>
        <v>0</v>
      </c>
      <c r="AH43">
        <f t="shared" si="56"/>
        <v>0</v>
      </c>
      <c r="AI43" s="1">
        <f t="shared" si="10"/>
        <v>1</v>
      </c>
      <c r="AJ43" s="1" t="s">
        <v>414</v>
      </c>
      <c r="AK43" s="1" t="s">
        <v>415</v>
      </c>
      <c r="AL43">
        <f t="shared" si="57"/>
        <v>1</v>
      </c>
      <c r="AM43">
        <f t="shared" si="57"/>
        <v>0</v>
      </c>
      <c r="AN43">
        <f t="shared" si="57"/>
        <v>1</v>
      </c>
      <c r="AO43">
        <f t="shared" si="57"/>
        <v>1</v>
      </c>
      <c r="AP43">
        <f t="shared" si="57"/>
        <v>0</v>
      </c>
      <c r="AQ43">
        <f t="shared" si="57"/>
        <v>1</v>
      </c>
      <c r="AR43">
        <f t="shared" si="57"/>
        <v>0</v>
      </c>
      <c r="AS43">
        <f t="shared" si="57"/>
        <v>0</v>
      </c>
      <c r="AU43" s="1" t="s">
        <v>46</v>
      </c>
      <c r="AV43" s="1">
        <f t="shared" si="18"/>
        <v>0</v>
      </c>
      <c r="AW43" s="1">
        <f t="shared" si="19"/>
        <v>1</v>
      </c>
      <c r="AX43" s="1">
        <f t="shared" si="20"/>
        <v>0</v>
      </c>
      <c r="AY43" s="1" t="s">
        <v>46</v>
      </c>
      <c r="BA43" s="1" t="s">
        <v>416</v>
      </c>
      <c r="BB43">
        <f t="shared" si="58"/>
        <v>0</v>
      </c>
      <c r="BC43">
        <f t="shared" si="58"/>
        <v>1</v>
      </c>
      <c r="BD43">
        <f t="shared" si="58"/>
        <v>0</v>
      </c>
      <c r="BE43">
        <f t="shared" si="58"/>
        <v>1</v>
      </c>
      <c r="BF43">
        <f t="shared" si="58"/>
        <v>0</v>
      </c>
      <c r="BG43">
        <f t="shared" si="58"/>
        <v>1</v>
      </c>
      <c r="BH43">
        <f t="shared" si="58"/>
        <v>0</v>
      </c>
      <c r="BI43">
        <f t="shared" si="58"/>
        <v>0</v>
      </c>
      <c r="BJ43">
        <f t="shared" si="58"/>
        <v>1</v>
      </c>
      <c r="BK43">
        <f t="shared" si="13"/>
        <v>4</v>
      </c>
      <c r="BM43" s="1" t="s">
        <v>229</v>
      </c>
      <c r="BN43" s="1" t="s">
        <v>417</v>
      </c>
      <c r="BO43">
        <f t="shared" si="59"/>
        <v>1</v>
      </c>
      <c r="BP43">
        <f t="shared" si="59"/>
        <v>0</v>
      </c>
      <c r="BQ43">
        <f t="shared" si="59"/>
        <v>1</v>
      </c>
      <c r="BR43">
        <f t="shared" si="59"/>
        <v>1</v>
      </c>
      <c r="BS43">
        <f t="shared" si="59"/>
        <v>0</v>
      </c>
      <c r="BT43">
        <f t="shared" si="59"/>
        <v>1</v>
      </c>
      <c r="BU43">
        <f t="shared" si="59"/>
        <v>1</v>
      </c>
      <c r="DC43" s="1" t="s">
        <v>235</v>
      </c>
    </row>
    <row r="44" spans="1:107" x14ac:dyDescent="0.25">
      <c r="A44" s="1" t="b">
        <v>1</v>
      </c>
      <c r="B44" s="2">
        <v>46161.002569444441</v>
      </c>
      <c r="C44" s="1" t="s">
        <v>418</v>
      </c>
      <c r="D44" s="1" t="s">
        <v>4</v>
      </c>
      <c r="E44">
        <f t="shared" si="54"/>
        <v>1</v>
      </c>
      <c r="F44">
        <f t="shared" si="54"/>
        <v>0</v>
      </c>
      <c r="G44">
        <f t="shared" si="54"/>
        <v>0</v>
      </c>
      <c r="H44">
        <f t="shared" si="54"/>
        <v>0</v>
      </c>
      <c r="I44">
        <f t="shared" si="54"/>
        <v>0</v>
      </c>
      <c r="J44">
        <f t="shared" si="54"/>
        <v>0</v>
      </c>
      <c r="K44">
        <f t="shared" si="54"/>
        <v>0</v>
      </c>
      <c r="L44">
        <f t="shared" si="7"/>
        <v>1</v>
      </c>
      <c r="N44" s="1" t="s">
        <v>269</v>
      </c>
      <c r="O44" s="1"/>
      <c r="P44" s="1"/>
      <c r="Q44" s="1"/>
      <c r="R44" s="1"/>
      <c r="S44" s="1"/>
      <c r="T44" s="1"/>
      <c r="V44" s="1" t="s">
        <v>25</v>
      </c>
      <c r="W44" s="1" t="str">
        <f t="shared" ref="W44:AA44" si="67">IF(W$1=$V44, "True", "False")</f>
        <v>False</v>
      </c>
      <c r="X44" s="1" t="str">
        <f t="shared" si="67"/>
        <v>False</v>
      </c>
      <c r="Y44" s="1" t="str">
        <f t="shared" si="67"/>
        <v>False</v>
      </c>
      <c r="Z44" s="1" t="str">
        <f t="shared" si="67"/>
        <v>False</v>
      </c>
      <c r="AA44" s="1" t="str">
        <f t="shared" si="67"/>
        <v>True</v>
      </c>
      <c r="AB44" s="1" t="s">
        <v>27</v>
      </c>
      <c r="AC44">
        <f t="shared" si="56"/>
        <v>1</v>
      </c>
      <c r="AD44">
        <f t="shared" si="56"/>
        <v>0</v>
      </c>
      <c r="AE44">
        <f t="shared" si="56"/>
        <v>0</v>
      </c>
      <c r="AF44">
        <f t="shared" si="56"/>
        <v>0</v>
      </c>
      <c r="AG44">
        <f t="shared" si="56"/>
        <v>0</v>
      </c>
      <c r="AH44">
        <f t="shared" si="56"/>
        <v>0</v>
      </c>
      <c r="AI44" s="1">
        <f t="shared" si="10"/>
        <v>1</v>
      </c>
      <c r="AK44" s="1" t="s">
        <v>256</v>
      </c>
      <c r="AL44">
        <f t="shared" si="57"/>
        <v>1</v>
      </c>
      <c r="AM44">
        <f t="shared" si="57"/>
        <v>1</v>
      </c>
      <c r="AN44">
        <f t="shared" si="57"/>
        <v>0</v>
      </c>
      <c r="AO44">
        <f t="shared" si="57"/>
        <v>1</v>
      </c>
      <c r="AP44">
        <f t="shared" si="57"/>
        <v>0</v>
      </c>
      <c r="AQ44">
        <f t="shared" si="57"/>
        <v>0</v>
      </c>
      <c r="AR44">
        <f t="shared" si="57"/>
        <v>0</v>
      </c>
      <c r="AS44">
        <f t="shared" si="57"/>
        <v>0</v>
      </c>
      <c r="AU44" s="1" t="s">
        <v>45</v>
      </c>
      <c r="AV44" s="1">
        <f t="shared" si="18"/>
        <v>1</v>
      </c>
      <c r="AW44" s="1">
        <f t="shared" si="19"/>
        <v>0</v>
      </c>
      <c r="AX44" s="1">
        <f t="shared" si="20"/>
        <v>0</v>
      </c>
      <c r="AY44" s="1" t="s">
        <v>46</v>
      </c>
      <c r="BA44" s="1" t="s">
        <v>322</v>
      </c>
      <c r="BB44">
        <f t="shared" si="58"/>
        <v>1</v>
      </c>
      <c r="BC44">
        <f t="shared" si="58"/>
        <v>1</v>
      </c>
      <c r="BD44">
        <f t="shared" si="58"/>
        <v>1</v>
      </c>
      <c r="BE44">
        <f t="shared" si="58"/>
        <v>0</v>
      </c>
      <c r="BF44">
        <f t="shared" si="58"/>
        <v>1</v>
      </c>
      <c r="BG44">
        <f t="shared" si="58"/>
        <v>0</v>
      </c>
      <c r="BH44">
        <f t="shared" si="58"/>
        <v>0</v>
      </c>
      <c r="BI44">
        <f t="shared" si="58"/>
        <v>0</v>
      </c>
      <c r="BJ44">
        <f t="shared" si="58"/>
        <v>1</v>
      </c>
      <c r="BK44">
        <f t="shared" si="13"/>
        <v>5</v>
      </c>
      <c r="BM44" s="1" t="s">
        <v>187</v>
      </c>
      <c r="BN44" s="1" t="s">
        <v>69</v>
      </c>
      <c r="BO44">
        <f t="shared" si="59"/>
        <v>0</v>
      </c>
      <c r="BP44">
        <f t="shared" si="59"/>
        <v>0</v>
      </c>
      <c r="BQ44">
        <f t="shared" si="59"/>
        <v>0</v>
      </c>
      <c r="BR44">
        <f t="shared" si="59"/>
        <v>0</v>
      </c>
      <c r="BS44">
        <f t="shared" si="59"/>
        <v>0</v>
      </c>
      <c r="BT44">
        <f t="shared" si="59"/>
        <v>0</v>
      </c>
      <c r="BU44">
        <f t="shared" si="59"/>
        <v>1</v>
      </c>
      <c r="DC44" s="1" t="s">
        <v>177</v>
      </c>
    </row>
    <row r="45" spans="1:107" x14ac:dyDescent="0.25">
      <c r="A45" s="1" t="b">
        <v>1</v>
      </c>
      <c r="B45" s="2">
        <v>46161.016493055555</v>
      </c>
      <c r="C45" s="1" t="s">
        <v>419</v>
      </c>
      <c r="D45" s="1" t="s">
        <v>4</v>
      </c>
      <c r="E45">
        <f t="shared" si="54"/>
        <v>1</v>
      </c>
      <c r="F45">
        <f t="shared" si="54"/>
        <v>0</v>
      </c>
      <c r="G45">
        <f t="shared" si="54"/>
        <v>0</v>
      </c>
      <c r="H45">
        <f t="shared" si="54"/>
        <v>0</v>
      </c>
      <c r="I45">
        <f t="shared" si="54"/>
        <v>0</v>
      </c>
      <c r="J45">
        <f t="shared" si="54"/>
        <v>0</v>
      </c>
      <c r="K45">
        <f t="shared" si="54"/>
        <v>0</v>
      </c>
      <c r="L45">
        <f t="shared" si="7"/>
        <v>1</v>
      </c>
      <c r="N45" s="1" t="s">
        <v>241</v>
      </c>
      <c r="O45" s="1"/>
      <c r="P45" s="1"/>
      <c r="Q45" s="1"/>
      <c r="R45" s="1"/>
      <c r="S45" s="1"/>
      <c r="T45" s="1"/>
      <c r="V45" s="1" t="s">
        <v>23</v>
      </c>
      <c r="W45" s="1" t="str">
        <f t="shared" ref="W45:AA45" si="68">IF(W$1=$V45, "True", "False")</f>
        <v>False</v>
      </c>
      <c r="X45" s="1" t="str">
        <f t="shared" si="68"/>
        <v>False</v>
      </c>
      <c r="Y45" s="1" t="str">
        <f t="shared" si="68"/>
        <v>True</v>
      </c>
      <c r="Z45" s="1" t="str">
        <f t="shared" si="68"/>
        <v>False</v>
      </c>
      <c r="AA45" s="1" t="str">
        <f t="shared" si="68"/>
        <v>False</v>
      </c>
      <c r="AB45" s="1" t="s">
        <v>32</v>
      </c>
      <c r="AC45">
        <f t="shared" si="56"/>
        <v>0</v>
      </c>
      <c r="AD45">
        <f t="shared" si="56"/>
        <v>0</v>
      </c>
      <c r="AE45">
        <f t="shared" si="56"/>
        <v>0</v>
      </c>
      <c r="AF45">
        <f t="shared" si="56"/>
        <v>0</v>
      </c>
      <c r="AG45">
        <f t="shared" si="56"/>
        <v>0</v>
      </c>
      <c r="AH45">
        <f t="shared" si="56"/>
        <v>1</v>
      </c>
      <c r="AI45" s="1">
        <f t="shared" si="10"/>
        <v>1</v>
      </c>
      <c r="AK45" s="1" t="s">
        <v>420</v>
      </c>
      <c r="AL45">
        <f t="shared" si="57"/>
        <v>0</v>
      </c>
      <c r="AM45">
        <f t="shared" si="57"/>
        <v>1</v>
      </c>
      <c r="AN45">
        <f t="shared" si="57"/>
        <v>1</v>
      </c>
      <c r="AO45">
        <f t="shared" si="57"/>
        <v>1</v>
      </c>
      <c r="AP45">
        <f t="shared" si="57"/>
        <v>0</v>
      </c>
      <c r="AQ45">
        <f t="shared" si="57"/>
        <v>1</v>
      </c>
      <c r="AR45">
        <f t="shared" si="57"/>
        <v>0</v>
      </c>
      <c r="AS45">
        <f t="shared" si="57"/>
        <v>0</v>
      </c>
      <c r="AU45" s="1" t="s">
        <v>45</v>
      </c>
      <c r="AV45" s="1">
        <f t="shared" si="18"/>
        <v>1</v>
      </c>
      <c r="AW45" s="1">
        <f t="shared" si="19"/>
        <v>0</v>
      </c>
      <c r="AX45" s="1">
        <f t="shared" si="20"/>
        <v>0</v>
      </c>
      <c r="AY45" s="1" t="s">
        <v>45</v>
      </c>
      <c r="AZ45" s="1" t="s">
        <v>46</v>
      </c>
      <c r="BB45">
        <f t="shared" si="58"/>
        <v>0</v>
      </c>
      <c r="BC45">
        <f t="shared" si="58"/>
        <v>0</v>
      </c>
      <c r="BD45">
        <f t="shared" si="58"/>
        <v>0</v>
      </c>
      <c r="BE45">
        <f t="shared" si="58"/>
        <v>0</v>
      </c>
      <c r="BF45">
        <f t="shared" si="58"/>
        <v>0</v>
      </c>
      <c r="BG45">
        <f t="shared" si="58"/>
        <v>0</v>
      </c>
      <c r="BH45">
        <f t="shared" si="58"/>
        <v>0</v>
      </c>
      <c r="BI45">
        <f t="shared" si="58"/>
        <v>0</v>
      </c>
      <c r="BJ45">
        <f t="shared" si="58"/>
        <v>0</v>
      </c>
      <c r="BK45">
        <f t="shared" si="13"/>
        <v>0</v>
      </c>
      <c r="BO45">
        <f t="shared" si="59"/>
        <v>0</v>
      </c>
      <c r="BP45">
        <f t="shared" si="59"/>
        <v>0</v>
      </c>
      <c r="BQ45">
        <f t="shared" si="59"/>
        <v>0</v>
      </c>
      <c r="BR45">
        <f t="shared" si="59"/>
        <v>0</v>
      </c>
      <c r="BS45">
        <f t="shared" si="59"/>
        <v>0</v>
      </c>
      <c r="BT45">
        <f t="shared" si="59"/>
        <v>0</v>
      </c>
      <c r="BU45">
        <f t="shared" si="59"/>
        <v>0</v>
      </c>
      <c r="DC45" s="1" t="s">
        <v>177</v>
      </c>
    </row>
    <row r="46" spans="1:107" x14ac:dyDescent="0.25">
      <c r="A46" s="1" t="b">
        <v>1</v>
      </c>
      <c r="B46" s="2">
        <v>46161.275833333333</v>
      </c>
      <c r="C46" s="1" t="s">
        <v>421</v>
      </c>
      <c r="D46" s="1" t="s">
        <v>422</v>
      </c>
      <c r="E46">
        <f t="shared" si="54"/>
        <v>1</v>
      </c>
      <c r="F46">
        <f t="shared" si="54"/>
        <v>30</v>
      </c>
      <c r="G46">
        <f t="shared" si="54"/>
        <v>105</v>
      </c>
      <c r="H46">
        <f t="shared" si="54"/>
        <v>161</v>
      </c>
      <c r="I46">
        <f t="shared" si="54"/>
        <v>199</v>
      </c>
      <c r="J46">
        <f t="shared" si="54"/>
        <v>231</v>
      </c>
      <c r="K46">
        <f t="shared" si="54"/>
        <v>268</v>
      </c>
      <c r="L46">
        <f t="shared" si="7"/>
        <v>268</v>
      </c>
      <c r="N46" s="1" t="s">
        <v>320</v>
      </c>
      <c r="O46" s="1"/>
      <c r="P46" s="1"/>
      <c r="Q46" s="1"/>
      <c r="R46" s="1"/>
      <c r="S46" s="1"/>
      <c r="T46" s="1"/>
      <c r="V46" s="1" t="s">
        <v>21</v>
      </c>
      <c r="W46" s="1" t="str">
        <f t="shared" ref="W46:AA46" si="69">IF(W$1=$V46, "True", "False")</f>
        <v>True</v>
      </c>
      <c r="X46" s="1" t="str">
        <f t="shared" si="69"/>
        <v>False</v>
      </c>
      <c r="Y46" s="1" t="str">
        <f t="shared" si="69"/>
        <v>False</v>
      </c>
      <c r="Z46" s="1" t="str">
        <f t="shared" si="69"/>
        <v>False</v>
      </c>
      <c r="AA46" s="1" t="str">
        <f t="shared" si="69"/>
        <v>False</v>
      </c>
      <c r="AB46" s="1" t="s">
        <v>180</v>
      </c>
      <c r="AC46">
        <f t="shared" si="56"/>
        <v>0</v>
      </c>
      <c r="AD46">
        <f t="shared" si="56"/>
        <v>0</v>
      </c>
      <c r="AE46">
        <f t="shared" si="56"/>
        <v>0</v>
      </c>
      <c r="AF46">
        <f t="shared" si="56"/>
        <v>0</v>
      </c>
      <c r="AG46">
        <f t="shared" si="56"/>
        <v>0</v>
      </c>
      <c r="AH46">
        <f t="shared" si="56"/>
        <v>0</v>
      </c>
      <c r="AI46" s="1">
        <f t="shared" si="10"/>
        <v>0</v>
      </c>
      <c r="AJ46" s="1" t="s">
        <v>423</v>
      </c>
      <c r="AK46" s="1" t="s">
        <v>424</v>
      </c>
      <c r="AL46">
        <f t="shared" si="57"/>
        <v>0</v>
      </c>
      <c r="AM46">
        <f t="shared" si="57"/>
        <v>1</v>
      </c>
      <c r="AN46">
        <f t="shared" si="57"/>
        <v>1</v>
      </c>
      <c r="AO46">
        <f t="shared" si="57"/>
        <v>1</v>
      </c>
      <c r="AP46">
        <f t="shared" si="57"/>
        <v>0</v>
      </c>
      <c r="AQ46">
        <f t="shared" si="57"/>
        <v>1</v>
      </c>
      <c r="AR46">
        <f t="shared" si="57"/>
        <v>1</v>
      </c>
      <c r="AS46">
        <f t="shared" si="57"/>
        <v>1</v>
      </c>
      <c r="AU46" s="1" t="s">
        <v>46</v>
      </c>
      <c r="AV46" s="1">
        <f t="shared" si="18"/>
        <v>0</v>
      </c>
      <c r="AW46" s="1">
        <f t="shared" si="19"/>
        <v>1</v>
      </c>
      <c r="AX46" s="1">
        <f t="shared" si="20"/>
        <v>0</v>
      </c>
      <c r="AY46" s="1" t="s">
        <v>45</v>
      </c>
      <c r="AZ46" s="1" t="s">
        <v>45</v>
      </c>
      <c r="BA46" s="1" t="s">
        <v>425</v>
      </c>
      <c r="BB46">
        <f t="shared" si="58"/>
        <v>0</v>
      </c>
      <c r="BC46">
        <f t="shared" si="58"/>
        <v>0</v>
      </c>
      <c r="BD46">
        <f t="shared" si="58"/>
        <v>0</v>
      </c>
      <c r="BE46">
        <f t="shared" si="58"/>
        <v>0</v>
      </c>
      <c r="BF46">
        <f t="shared" si="58"/>
        <v>0</v>
      </c>
      <c r="BG46">
        <f t="shared" si="58"/>
        <v>0</v>
      </c>
      <c r="BH46">
        <f t="shared" si="58"/>
        <v>1</v>
      </c>
      <c r="BI46">
        <f t="shared" si="58"/>
        <v>1</v>
      </c>
      <c r="BJ46">
        <f t="shared" si="58"/>
        <v>1</v>
      </c>
      <c r="BK46">
        <f t="shared" si="13"/>
        <v>3</v>
      </c>
      <c r="BO46">
        <f t="shared" si="59"/>
        <v>0</v>
      </c>
      <c r="BP46">
        <f t="shared" si="59"/>
        <v>0</v>
      </c>
      <c r="BQ46">
        <f t="shared" si="59"/>
        <v>0</v>
      </c>
      <c r="BR46">
        <f t="shared" si="59"/>
        <v>0</v>
      </c>
      <c r="BS46">
        <f t="shared" si="59"/>
        <v>0</v>
      </c>
      <c r="BT46">
        <f t="shared" si="59"/>
        <v>0</v>
      </c>
      <c r="BU46">
        <f t="shared" si="59"/>
        <v>0</v>
      </c>
      <c r="BY46" s="1" t="s">
        <v>426</v>
      </c>
      <c r="BZ46" s="1" t="s">
        <v>180</v>
      </c>
      <c r="CA46" s="1" t="s">
        <v>427</v>
      </c>
      <c r="CB46" s="1" t="s">
        <v>46</v>
      </c>
      <c r="CC46" s="1" t="s">
        <v>45</v>
      </c>
      <c r="CD46" s="1" t="s">
        <v>428</v>
      </c>
      <c r="CF46" s="1" t="s">
        <v>409</v>
      </c>
      <c r="CG46" s="1" t="s">
        <v>429</v>
      </c>
      <c r="CI46" s="1" t="s">
        <v>430</v>
      </c>
      <c r="CJ46" s="1" t="s">
        <v>431</v>
      </c>
      <c r="CR46" s="1" t="s">
        <v>432</v>
      </c>
      <c r="CT46" s="1" t="s">
        <v>433</v>
      </c>
      <c r="CU46" s="1" t="s">
        <v>211</v>
      </c>
      <c r="CW46" s="1" t="s">
        <v>434</v>
      </c>
    </row>
    <row r="47" spans="1:107" x14ac:dyDescent="0.25">
      <c r="A47" s="1" t="b">
        <v>0</v>
      </c>
      <c r="B47" s="2">
        <v>46161.305231481485</v>
      </c>
      <c r="C47" s="1" t="s">
        <v>435</v>
      </c>
      <c r="D47" s="1" t="s">
        <v>436</v>
      </c>
      <c r="E47">
        <f t="shared" si="54"/>
        <v>1</v>
      </c>
      <c r="F47">
        <f t="shared" si="54"/>
        <v>30</v>
      </c>
      <c r="G47">
        <f t="shared" si="54"/>
        <v>0</v>
      </c>
      <c r="H47">
        <f t="shared" si="54"/>
        <v>0</v>
      </c>
      <c r="I47">
        <f t="shared" si="54"/>
        <v>105</v>
      </c>
      <c r="J47">
        <f t="shared" si="54"/>
        <v>0</v>
      </c>
      <c r="K47">
        <f t="shared" si="54"/>
        <v>0</v>
      </c>
      <c r="L47">
        <f t="shared" si="7"/>
        <v>105</v>
      </c>
      <c r="N47" s="1" t="s">
        <v>325</v>
      </c>
      <c r="O47" s="1"/>
      <c r="P47" s="1"/>
      <c r="Q47" s="1"/>
      <c r="R47" s="1"/>
      <c r="S47" s="1"/>
      <c r="T47" s="1"/>
      <c r="W47" s="1" t="str">
        <f t="shared" ref="W47:AA47" si="70">IF(W$1=$V47, "True", "False")</f>
        <v>False</v>
      </c>
      <c r="X47" s="1" t="str">
        <f t="shared" si="70"/>
        <v>False</v>
      </c>
      <c r="Y47" s="1" t="str">
        <f t="shared" si="70"/>
        <v>False</v>
      </c>
      <c r="Z47" s="1" t="str">
        <f t="shared" si="70"/>
        <v>False</v>
      </c>
      <c r="AA47" s="1" t="str">
        <f t="shared" si="70"/>
        <v>False</v>
      </c>
      <c r="AB47" s="1" t="s">
        <v>227</v>
      </c>
      <c r="AC47">
        <f t="shared" si="56"/>
        <v>1</v>
      </c>
      <c r="AD47">
        <f t="shared" si="56"/>
        <v>1</v>
      </c>
      <c r="AE47">
        <f t="shared" si="56"/>
        <v>0</v>
      </c>
      <c r="AF47">
        <f t="shared" si="56"/>
        <v>0</v>
      </c>
      <c r="AG47">
        <f t="shared" si="56"/>
        <v>0</v>
      </c>
      <c r="AH47">
        <f t="shared" si="56"/>
        <v>0</v>
      </c>
      <c r="AI47" s="1">
        <f t="shared" si="10"/>
        <v>2</v>
      </c>
      <c r="AK47" s="1" t="s">
        <v>437</v>
      </c>
      <c r="AL47">
        <f t="shared" si="57"/>
        <v>0</v>
      </c>
      <c r="AM47">
        <f t="shared" si="57"/>
        <v>0</v>
      </c>
      <c r="AN47">
        <f t="shared" si="57"/>
        <v>0</v>
      </c>
      <c r="AO47">
        <f t="shared" si="57"/>
        <v>1</v>
      </c>
      <c r="AP47">
        <f t="shared" si="57"/>
        <v>0</v>
      </c>
      <c r="AQ47">
        <f t="shared" si="57"/>
        <v>1</v>
      </c>
      <c r="AR47">
        <f t="shared" si="57"/>
        <v>0</v>
      </c>
      <c r="AS47">
        <f t="shared" si="57"/>
        <v>1</v>
      </c>
      <c r="AU47" s="1" t="s">
        <v>45</v>
      </c>
      <c r="AV47" s="1">
        <f t="shared" si="18"/>
        <v>1</v>
      </c>
      <c r="AW47" s="1">
        <f t="shared" si="19"/>
        <v>0</v>
      </c>
      <c r="AX47" s="1">
        <f t="shared" si="20"/>
        <v>0</v>
      </c>
      <c r="AY47" s="1" t="s">
        <v>46</v>
      </c>
      <c r="BA47" s="1" t="s">
        <v>408</v>
      </c>
      <c r="BB47">
        <f t="shared" si="58"/>
        <v>0</v>
      </c>
      <c r="BC47">
        <f t="shared" si="58"/>
        <v>1</v>
      </c>
      <c r="BD47">
        <f t="shared" si="58"/>
        <v>0</v>
      </c>
      <c r="BE47">
        <f t="shared" si="58"/>
        <v>0</v>
      </c>
      <c r="BF47">
        <f t="shared" si="58"/>
        <v>1</v>
      </c>
      <c r="BG47">
        <f t="shared" si="58"/>
        <v>0</v>
      </c>
      <c r="BH47">
        <f t="shared" si="58"/>
        <v>0</v>
      </c>
      <c r="BI47">
        <f t="shared" si="58"/>
        <v>0</v>
      </c>
      <c r="BJ47">
        <f t="shared" si="58"/>
        <v>1</v>
      </c>
      <c r="BK47">
        <f t="shared" si="13"/>
        <v>3</v>
      </c>
      <c r="BM47" s="1" t="s">
        <v>229</v>
      </c>
      <c r="BN47" s="1" t="s">
        <v>438</v>
      </c>
      <c r="BO47">
        <f t="shared" si="59"/>
        <v>0</v>
      </c>
      <c r="BP47">
        <f t="shared" si="59"/>
        <v>1</v>
      </c>
      <c r="BQ47">
        <f t="shared" si="59"/>
        <v>0</v>
      </c>
      <c r="BR47">
        <f t="shared" si="59"/>
        <v>1</v>
      </c>
      <c r="BS47">
        <f t="shared" si="59"/>
        <v>1</v>
      </c>
      <c r="BT47">
        <f t="shared" si="59"/>
        <v>0</v>
      </c>
      <c r="BU47">
        <f t="shared" si="59"/>
        <v>0</v>
      </c>
    </row>
    <row r="48" spans="1:107" x14ac:dyDescent="0.25">
      <c r="A48" s="1" t="b">
        <v>1</v>
      </c>
      <c r="B48" s="2">
        <v>46161.533495370371</v>
      </c>
      <c r="C48" s="1" t="s">
        <v>439</v>
      </c>
      <c r="D48" s="1" t="s">
        <v>422</v>
      </c>
      <c r="E48">
        <f t="shared" si="54"/>
        <v>1</v>
      </c>
      <c r="F48">
        <f t="shared" si="54"/>
        <v>30</v>
      </c>
      <c r="G48">
        <f t="shared" si="54"/>
        <v>105</v>
      </c>
      <c r="H48">
        <f t="shared" si="54"/>
        <v>161</v>
      </c>
      <c r="I48">
        <f t="shared" si="54"/>
        <v>199</v>
      </c>
      <c r="J48">
        <f t="shared" si="54"/>
        <v>231</v>
      </c>
      <c r="K48">
        <f t="shared" si="54"/>
        <v>268</v>
      </c>
      <c r="L48">
        <f t="shared" si="7"/>
        <v>268</v>
      </c>
      <c r="W48" s="1" t="str">
        <f t="shared" ref="W48:AA48" si="71">IF(W$1=$V48, "True", "False")</f>
        <v>False</v>
      </c>
      <c r="X48" s="1" t="str">
        <f t="shared" si="71"/>
        <v>False</v>
      </c>
      <c r="Y48" s="1" t="str">
        <f t="shared" si="71"/>
        <v>False</v>
      </c>
      <c r="Z48" s="1" t="str">
        <f t="shared" si="71"/>
        <v>False</v>
      </c>
      <c r="AA48" s="1" t="str">
        <f t="shared" si="71"/>
        <v>False</v>
      </c>
      <c r="AB48" s="1" t="s">
        <v>440</v>
      </c>
      <c r="AC48">
        <f t="shared" si="56"/>
        <v>0</v>
      </c>
      <c r="AD48">
        <f t="shared" si="56"/>
        <v>1</v>
      </c>
      <c r="AE48">
        <f t="shared" si="56"/>
        <v>1</v>
      </c>
      <c r="AF48">
        <f t="shared" si="56"/>
        <v>1</v>
      </c>
      <c r="AG48">
        <f t="shared" si="56"/>
        <v>0</v>
      </c>
      <c r="AH48">
        <f t="shared" si="56"/>
        <v>1</v>
      </c>
      <c r="AI48" s="1">
        <f t="shared" si="10"/>
        <v>4</v>
      </c>
      <c r="AL48">
        <f t="shared" si="57"/>
        <v>0</v>
      </c>
      <c r="AM48">
        <f t="shared" si="57"/>
        <v>0</v>
      </c>
      <c r="AN48">
        <f t="shared" si="57"/>
        <v>0</v>
      </c>
      <c r="AO48">
        <f t="shared" si="57"/>
        <v>0</v>
      </c>
      <c r="AP48">
        <f t="shared" si="57"/>
        <v>0</v>
      </c>
      <c r="AQ48">
        <f t="shared" si="57"/>
        <v>0</v>
      </c>
      <c r="AR48">
        <f t="shared" si="57"/>
        <v>0</v>
      </c>
      <c r="AS48">
        <f t="shared" si="57"/>
        <v>0</v>
      </c>
      <c r="AV48" s="1">
        <f t="shared" si="18"/>
        <v>0</v>
      </c>
      <c r="AW48" s="1">
        <f t="shared" si="19"/>
        <v>0</v>
      </c>
      <c r="AX48" s="1">
        <f t="shared" si="20"/>
        <v>0</v>
      </c>
      <c r="BB48">
        <f t="shared" si="58"/>
        <v>0</v>
      </c>
      <c r="BC48">
        <f t="shared" si="58"/>
        <v>0</v>
      </c>
      <c r="BD48">
        <f t="shared" si="58"/>
        <v>0</v>
      </c>
      <c r="BE48">
        <f t="shared" si="58"/>
        <v>0</v>
      </c>
      <c r="BF48">
        <f t="shared" si="58"/>
        <v>0</v>
      </c>
      <c r="BG48">
        <f t="shared" si="58"/>
        <v>0</v>
      </c>
      <c r="BH48">
        <f t="shared" si="58"/>
        <v>0</v>
      </c>
      <c r="BI48">
        <f t="shared" si="58"/>
        <v>0</v>
      </c>
      <c r="BJ48">
        <f t="shared" si="58"/>
        <v>0</v>
      </c>
      <c r="BK48">
        <f t="shared" si="13"/>
        <v>0</v>
      </c>
      <c r="BO48">
        <f t="shared" si="59"/>
        <v>0</v>
      </c>
      <c r="BP48">
        <f t="shared" si="59"/>
        <v>0</v>
      </c>
      <c r="BQ48">
        <f t="shared" si="59"/>
        <v>0</v>
      </c>
      <c r="BR48">
        <f t="shared" si="59"/>
        <v>0</v>
      </c>
      <c r="BS48">
        <f t="shared" si="59"/>
        <v>0</v>
      </c>
      <c r="BT48">
        <f t="shared" si="59"/>
        <v>0</v>
      </c>
      <c r="BU48">
        <f t="shared" si="59"/>
        <v>0</v>
      </c>
      <c r="CB48" s="1" t="s">
        <v>46</v>
      </c>
      <c r="CC48" s="1" t="s">
        <v>46</v>
      </c>
      <c r="CD48" s="1" t="s">
        <v>441</v>
      </c>
      <c r="CF48" s="1" t="s">
        <v>384</v>
      </c>
      <c r="CG48" s="1" t="s">
        <v>385</v>
      </c>
      <c r="CH48" s="1" t="s">
        <v>442</v>
      </c>
      <c r="CJ48" s="1" t="s">
        <v>443</v>
      </c>
      <c r="CL48" s="1" t="s">
        <v>444</v>
      </c>
      <c r="CM48" s="1" t="s">
        <v>46</v>
      </c>
      <c r="CN48" s="1" t="s">
        <v>445</v>
      </c>
      <c r="CR48" s="1" t="s">
        <v>446</v>
      </c>
      <c r="CU48" s="1" t="s">
        <v>446</v>
      </c>
      <c r="CX48" s="1" t="s">
        <v>447</v>
      </c>
      <c r="CZ48" s="1" t="s">
        <v>448</v>
      </c>
      <c r="DC48" s="1" t="s">
        <v>235</v>
      </c>
    </row>
    <row r="49" spans="1:107" x14ac:dyDescent="0.25">
      <c r="A49" s="1" t="b">
        <v>1</v>
      </c>
      <c r="B49" s="2">
        <v>46162.70171296296</v>
      </c>
      <c r="C49" s="1" t="s">
        <v>449</v>
      </c>
      <c r="D49" s="1" t="s">
        <v>4</v>
      </c>
      <c r="E49">
        <f t="shared" si="54"/>
        <v>1</v>
      </c>
      <c r="F49">
        <f t="shared" si="54"/>
        <v>0</v>
      </c>
      <c r="G49">
        <f t="shared" si="54"/>
        <v>0</v>
      </c>
      <c r="H49">
        <f t="shared" si="54"/>
        <v>0</v>
      </c>
      <c r="I49">
        <f t="shared" si="54"/>
        <v>0</v>
      </c>
      <c r="J49">
        <f t="shared" si="54"/>
        <v>0</v>
      </c>
      <c r="K49">
        <f t="shared" si="54"/>
        <v>0</v>
      </c>
      <c r="L49">
        <f t="shared" si="7"/>
        <v>1</v>
      </c>
      <c r="N49" s="1" t="s">
        <v>205</v>
      </c>
      <c r="O49" s="1"/>
      <c r="P49" s="1"/>
      <c r="Q49" s="1"/>
      <c r="R49" s="1"/>
      <c r="S49" s="1"/>
      <c r="T49" s="1"/>
      <c r="V49" s="1" t="s">
        <v>22</v>
      </c>
      <c r="W49" s="1" t="str">
        <f t="shared" ref="W49:AA49" si="72">IF(W$1=$V49, "True", "False")</f>
        <v>False</v>
      </c>
      <c r="X49" s="1" t="str">
        <f t="shared" si="72"/>
        <v>True</v>
      </c>
      <c r="Y49" s="1" t="str">
        <f t="shared" si="72"/>
        <v>False</v>
      </c>
      <c r="Z49" s="1" t="str">
        <f t="shared" si="72"/>
        <v>False</v>
      </c>
      <c r="AA49" s="1" t="str">
        <f t="shared" si="72"/>
        <v>False</v>
      </c>
      <c r="AB49" s="1" t="s">
        <v>32</v>
      </c>
      <c r="AC49">
        <f t="shared" si="56"/>
        <v>0</v>
      </c>
      <c r="AD49">
        <f t="shared" si="56"/>
        <v>0</v>
      </c>
      <c r="AE49">
        <f t="shared" si="56"/>
        <v>0</v>
      </c>
      <c r="AF49">
        <f t="shared" si="56"/>
        <v>0</v>
      </c>
      <c r="AG49">
        <f t="shared" si="56"/>
        <v>0</v>
      </c>
      <c r="AH49">
        <f t="shared" si="56"/>
        <v>1</v>
      </c>
      <c r="AI49" s="1">
        <f t="shared" si="10"/>
        <v>1</v>
      </c>
      <c r="AK49" s="1" t="s">
        <v>450</v>
      </c>
      <c r="AL49">
        <f t="shared" si="57"/>
        <v>0</v>
      </c>
      <c r="AM49">
        <f t="shared" si="57"/>
        <v>1</v>
      </c>
      <c r="AN49">
        <f t="shared" si="57"/>
        <v>1</v>
      </c>
      <c r="AO49">
        <f t="shared" si="57"/>
        <v>0</v>
      </c>
      <c r="AP49">
        <f t="shared" si="57"/>
        <v>0</v>
      </c>
      <c r="AQ49">
        <f t="shared" si="57"/>
        <v>0</v>
      </c>
      <c r="AR49">
        <f t="shared" si="57"/>
        <v>0</v>
      </c>
      <c r="AS49">
        <f t="shared" si="57"/>
        <v>0</v>
      </c>
      <c r="AU49" s="1" t="s">
        <v>45</v>
      </c>
      <c r="AV49" s="1">
        <f t="shared" si="18"/>
        <v>1</v>
      </c>
      <c r="AW49" s="1">
        <f t="shared" si="19"/>
        <v>0</v>
      </c>
      <c r="AX49" s="1">
        <f t="shared" si="20"/>
        <v>0</v>
      </c>
      <c r="AY49" s="1" t="s">
        <v>46</v>
      </c>
      <c r="BA49" s="1" t="s">
        <v>451</v>
      </c>
      <c r="BB49">
        <f t="shared" si="58"/>
        <v>0</v>
      </c>
      <c r="BC49">
        <f t="shared" si="58"/>
        <v>0</v>
      </c>
      <c r="BD49">
        <f t="shared" si="58"/>
        <v>1</v>
      </c>
      <c r="BE49">
        <f t="shared" si="58"/>
        <v>0</v>
      </c>
      <c r="BF49">
        <f t="shared" si="58"/>
        <v>1</v>
      </c>
      <c r="BG49">
        <f t="shared" si="58"/>
        <v>0</v>
      </c>
      <c r="BH49">
        <f t="shared" si="58"/>
        <v>0</v>
      </c>
      <c r="BI49">
        <f t="shared" si="58"/>
        <v>0</v>
      </c>
      <c r="BJ49">
        <f t="shared" si="58"/>
        <v>1</v>
      </c>
      <c r="BK49">
        <f t="shared" si="13"/>
        <v>3</v>
      </c>
      <c r="BM49" s="1" t="s">
        <v>229</v>
      </c>
      <c r="BN49" s="1" t="s">
        <v>67</v>
      </c>
      <c r="BO49">
        <f t="shared" si="59"/>
        <v>0</v>
      </c>
      <c r="BP49">
        <f t="shared" si="59"/>
        <v>0</v>
      </c>
      <c r="BQ49">
        <f t="shared" si="59"/>
        <v>0</v>
      </c>
      <c r="BR49">
        <f t="shared" si="59"/>
        <v>0</v>
      </c>
      <c r="BS49">
        <f t="shared" si="59"/>
        <v>1</v>
      </c>
      <c r="BT49">
        <f t="shared" si="59"/>
        <v>0</v>
      </c>
      <c r="BU49">
        <f t="shared" si="59"/>
        <v>0</v>
      </c>
      <c r="DC49" s="1" t="s">
        <v>177</v>
      </c>
    </row>
    <row r="50" spans="1:107" x14ac:dyDescent="0.25">
      <c r="A50" s="1" t="b">
        <v>1</v>
      </c>
      <c r="B50" s="2">
        <v>46162.902569444443</v>
      </c>
      <c r="C50" s="1" t="s">
        <v>452</v>
      </c>
      <c r="D50" s="1" t="s">
        <v>204</v>
      </c>
      <c r="E50">
        <f t="shared" si="54"/>
        <v>1</v>
      </c>
      <c r="F50">
        <f t="shared" si="54"/>
        <v>30</v>
      </c>
      <c r="G50">
        <f t="shared" si="54"/>
        <v>0</v>
      </c>
      <c r="H50">
        <f t="shared" si="54"/>
        <v>0</v>
      </c>
      <c r="I50">
        <f t="shared" si="54"/>
        <v>0</v>
      </c>
      <c r="J50">
        <f t="shared" si="54"/>
        <v>0</v>
      </c>
      <c r="K50">
        <f t="shared" si="54"/>
        <v>0</v>
      </c>
      <c r="L50">
        <f t="shared" si="7"/>
        <v>30</v>
      </c>
      <c r="N50" s="1" t="s">
        <v>325</v>
      </c>
      <c r="O50" s="1"/>
      <c r="P50" s="1"/>
      <c r="Q50" s="1"/>
      <c r="R50" s="1"/>
      <c r="S50" s="1"/>
      <c r="T50" s="1"/>
      <c r="W50" s="1" t="str">
        <f t="shared" ref="W50:AA50" si="73">IF(W$1=$V50, "True", "False")</f>
        <v>False</v>
      </c>
      <c r="X50" s="1" t="str">
        <f t="shared" si="73"/>
        <v>False</v>
      </c>
      <c r="Y50" s="1" t="str">
        <f t="shared" si="73"/>
        <v>False</v>
      </c>
      <c r="Z50" s="1" t="str">
        <f t="shared" si="73"/>
        <v>False</v>
      </c>
      <c r="AA50" s="1" t="str">
        <f t="shared" si="73"/>
        <v>False</v>
      </c>
      <c r="AB50" s="1" t="s">
        <v>453</v>
      </c>
      <c r="AC50">
        <f t="shared" si="56"/>
        <v>1</v>
      </c>
      <c r="AD50">
        <f t="shared" si="56"/>
        <v>1</v>
      </c>
      <c r="AE50">
        <f t="shared" si="56"/>
        <v>0</v>
      </c>
      <c r="AF50">
        <f t="shared" si="56"/>
        <v>1</v>
      </c>
      <c r="AG50">
        <f t="shared" si="56"/>
        <v>0</v>
      </c>
      <c r="AH50">
        <f t="shared" si="56"/>
        <v>1</v>
      </c>
      <c r="AI50" s="1">
        <f t="shared" si="10"/>
        <v>4</v>
      </c>
      <c r="AK50" s="1" t="s">
        <v>243</v>
      </c>
      <c r="AL50">
        <f t="shared" si="57"/>
        <v>1</v>
      </c>
      <c r="AM50">
        <f t="shared" si="57"/>
        <v>1</v>
      </c>
      <c r="AN50">
        <f t="shared" si="57"/>
        <v>0</v>
      </c>
      <c r="AO50">
        <f t="shared" si="57"/>
        <v>1</v>
      </c>
      <c r="AP50">
        <f t="shared" si="57"/>
        <v>0</v>
      </c>
      <c r="AQ50">
        <f t="shared" si="57"/>
        <v>1</v>
      </c>
      <c r="AR50">
        <f t="shared" si="57"/>
        <v>0</v>
      </c>
      <c r="AS50">
        <f t="shared" si="57"/>
        <v>0</v>
      </c>
      <c r="AU50" s="1" t="s">
        <v>46</v>
      </c>
      <c r="AV50" s="1">
        <f t="shared" si="18"/>
        <v>0</v>
      </c>
      <c r="AW50" s="1">
        <f t="shared" si="19"/>
        <v>1</v>
      </c>
      <c r="AX50" s="1">
        <f t="shared" si="20"/>
        <v>0</v>
      </c>
      <c r="AY50" s="1" t="s">
        <v>46</v>
      </c>
      <c r="BA50" s="1" t="s">
        <v>454</v>
      </c>
      <c r="BB50">
        <f t="shared" si="58"/>
        <v>0</v>
      </c>
      <c r="BC50">
        <f t="shared" si="58"/>
        <v>0</v>
      </c>
      <c r="BD50">
        <f t="shared" si="58"/>
        <v>0</v>
      </c>
      <c r="BE50">
        <f t="shared" si="58"/>
        <v>0</v>
      </c>
      <c r="BF50">
        <f t="shared" si="58"/>
        <v>1</v>
      </c>
      <c r="BG50">
        <f t="shared" si="58"/>
        <v>1</v>
      </c>
      <c r="BH50">
        <f t="shared" si="58"/>
        <v>0</v>
      </c>
      <c r="BI50">
        <f t="shared" si="58"/>
        <v>0</v>
      </c>
      <c r="BJ50">
        <f t="shared" si="58"/>
        <v>1</v>
      </c>
      <c r="BK50">
        <f t="shared" si="13"/>
        <v>3</v>
      </c>
      <c r="BM50" s="1" t="s">
        <v>163</v>
      </c>
      <c r="BN50" s="1" t="s">
        <v>455</v>
      </c>
      <c r="BO50">
        <f t="shared" si="59"/>
        <v>0</v>
      </c>
      <c r="BP50">
        <f t="shared" si="59"/>
        <v>1</v>
      </c>
      <c r="BQ50">
        <f t="shared" si="59"/>
        <v>1</v>
      </c>
      <c r="BR50">
        <f t="shared" si="59"/>
        <v>0</v>
      </c>
      <c r="BS50">
        <f t="shared" si="59"/>
        <v>0</v>
      </c>
      <c r="BT50">
        <f t="shared" si="59"/>
        <v>1</v>
      </c>
      <c r="BU50">
        <f t="shared" si="59"/>
        <v>1</v>
      </c>
      <c r="BW50" s="1" t="s">
        <v>209</v>
      </c>
      <c r="BZ50" s="1" t="s">
        <v>456</v>
      </c>
      <c r="CA50" s="1" t="s">
        <v>457</v>
      </c>
      <c r="CX50" s="1" t="s">
        <v>458</v>
      </c>
      <c r="CZ50" s="1" t="s">
        <v>459</v>
      </c>
      <c r="DC50" s="1" t="s">
        <v>235</v>
      </c>
    </row>
    <row r="51" spans="1:107" x14ac:dyDescent="0.25">
      <c r="A51" s="1" t="b">
        <v>0</v>
      </c>
      <c r="B51" s="2">
        <v>46163.99900462963</v>
      </c>
      <c r="C51" s="1" t="s">
        <v>460</v>
      </c>
      <c r="D51" s="1" t="s">
        <v>4</v>
      </c>
      <c r="E51">
        <f t="shared" si="54"/>
        <v>1</v>
      </c>
      <c r="F51">
        <f t="shared" si="54"/>
        <v>0</v>
      </c>
      <c r="G51">
        <f t="shared" si="54"/>
        <v>0</v>
      </c>
      <c r="H51">
        <f t="shared" si="54"/>
        <v>0</v>
      </c>
      <c r="I51">
        <f t="shared" si="54"/>
        <v>0</v>
      </c>
      <c r="J51">
        <f t="shared" si="54"/>
        <v>0</v>
      </c>
      <c r="K51">
        <f t="shared" si="54"/>
        <v>0</v>
      </c>
      <c r="L51">
        <f t="shared" si="7"/>
        <v>1</v>
      </c>
      <c r="N51" s="1" t="s">
        <v>269</v>
      </c>
      <c r="O51" s="1"/>
      <c r="P51" s="1"/>
      <c r="Q51" s="1"/>
      <c r="R51" s="1"/>
      <c r="S51" s="1"/>
      <c r="T51" s="1"/>
      <c r="W51" s="1" t="str">
        <f t="shared" ref="W51:AA51" si="74">IF(W$1=$V51, "True", "False")</f>
        <v>False</v>
      </c>
      <c r="X51" s="1" t="str">
        <f t="shared" si="74"/>
        <v>False</v>
      </c>
      <c r="Y51" s="1" t="str">
        <f t="shared" si="74"/>
        <v>False</v>
      </c>
      <c r="Z51" s="1" t="str">
        <f t="shared" si="74"/>
        <v>False</v>
      </c>
      <c r="AA51" s="1" t="str">
        <f t="shared" si="74"/>
        <v>False</v>
      </c>
      <c r="AC51">
        <f t="shared" si="56"/>
        <v>0</v>
      </c>
      <c r="AD51">
        <f t="shared" si="56"/>
        <v>0</v>
      </c>
      <c r="AE51">
        <f t="shared" si="56"/>
        <v>0</v>
      </c>
      <c r="AF51">
        <f t="shared" si="56"/>
        <v>0</v>
      </c>
      <c r="AG51">
        <f t="shared" si="56"/>
        <v>0</v>
      </c>
      <c r="AH51">
        <f t="shared" si="56"/>
        <v>0</v>
      </c>
      <c r="AI51" s="1">
        <f t="shared" si="10"/>
        <v>0</v>
      </c>
      <c r="AL51">
        <f t="shared" si="57"/>
        <v>0</v>
      </c>
      <c r="AM51">
        <f t="shared" si="57"/>
        <v>0</v>
      </c>
      <c r="AN51">
        <f t="shared" si="57"/>
        <v>0</v>
      </c>
      <c r="AO51">
        <f t="shared" si="57"/>
        <v>0</v>
      </c>
      <c r="AP51">
        <f t="shared" si="57"/>
        <v>0</v>
      </c>
      <c r="AQ51">
        <f t="shared" si="57"/>
        <v>0</v>
      </c>
      <c r="AR51">
        <f t="shared" si="57"/>
        <v>0</v>
      </c>
      <c r="AS51">
        <f t="shared" si="57"/>
        <v>0</v>
      </c>
      <c r="AV51" s="1">
        <f t="shared" si="18"/>
        <v>0</v>
      </c>
      <c r="AW51" s="1">
        <f t="shared" si="19"/>
        <v>0</v>
      </c>
      <c r="AX51" s="1">
        <f t="shared" si="20"/>
        <v>0</v>
      </c>
      <c r="BB51">
        <f t="shared" si="58"/>
        <v>0</v>
      </c>
      <c r="BC51">
        <f t="shared" si="58"/>
        <v>0</v>
      </c>
      <c r="BD51">
        <f t="shared" si="58"/>
        <v>0</v>
      </c>
      <c r="BE51">
        <f t="shared" si="58"/>
        <v>0</v>
      </c>
      <c r="BF51">
        <f t="shared" si="58"/>
        <v>0</v>
      </c>
      <c r="BG51">
        <f t="shared" si="58"/>
        <v>0</v>
      </c>
      <c r="BH51">
        <f t="shared" si="58"/>
        <v>0</v>
      </c>
      <c r="BI51">
        <f t="shared" si="58"/>
        <v>0</v>
      </c>
      <c r="BJ51">
        <f t="shared" si="58"/>
        <v>0</v>
      </c>
      <c r="BK51">
        <f t="shared" si="13"/>
        <v>0</v>
      </c>
      <c r="BO51">
        <f t="shared" si="59"/>
        <v>0</v>
      </c>
      <c r="BP51">
        <f t="shared" si="59"/>
        <v>0</v>
      </c>
      <c r="BQ51">
        <f t="shared" si="59"/>
        <v>0</v>
      </c>
      <c r="BR51">
        <f t="shared" si="59"/>
        <v>0</v>
      </c>
      <c r="BS51">
        <f t="shared" si="59"/>
        <v>0</v>
      </c>
      <c r="BT51">
        <f t="shared" si="59"/>
        <v>0</v>
      </c>
      <c r="BU51">
        <f t="shared" si="59"/>
        <v>0</v>
      </c>
    </row>
    <row r="52" spans="1:107" x14ac:dyDescent="0.25">
      <c r="A52" s="1" t="b">
        <v>1</v>
      </c>
      <c r="B52" s="2">
        <v>46164.020451388889</v>
      </c>
      <c r="C52" s="1" t="s">
        <v>461</v>
      </c>
      <c r="D52" s="1" t="s">
        <v>189</v>
      </c>
      <c r="E52">
        <f t="shared" ref="E52:K67" si="75">IF(ISNUMBER(SEARCH(E$1,$D52)), SEARCH(E$1,$D52), 0)</f>
        <v>1</v>
      </c>
      <c r="F52">
        <f t="shared" si="75"/>
        <v>30</v>
      </c>
      <c r="G52">
        <f t="shared" si="75"/>
        <v>0</v>
      </c>
      <c r="H52">
        <f t="shared" si="75"/>
        <v>0</v>
      </c>
      <c r="I52">
        <f t="shared" si="75"/>
        <v>0</v>
      </c>
      <c r="J52">
        <f t="shared" si="75"/>
        <v>0</v>
      </c>
      <c r="K52">
        <f t="shared" si="75"/>
        <v>105</v>
      </c>
      <c r="L52">
        <f t="shared" si="7"/>
        <v>105</v>
      </c>
      <c r="N52" s="1" t="s">
        <v>291</v>
      </c>
      <c r="O52" s="1"/>
      <c r="P52" s="1"/>
      <c r="Q52" s="1"/>
      <c r="R52" s="1"/>
      <c r="S52" s="1"/>
      <c r="T52" s="1"/>
      <c r="V52" s="1" t="s">
        <v>25</v>
      </c>
      <c r="W52" s="1" t="str">
        <f t="shared" ref="W52:AA52" si="76">IF(W$1=$V52, "True", "False")</f>
        <v>False</v>
      </c>
      <c r="X52" s="1" t="str">
        <f t="shared" si="76"/>
        <v>False</v>
      </c>
      <c r="Y52" s="1" t="str">
        <f t="shared" si="76"/>
        <v>False</v>
      </c>
      <c r="Z52" s="1" t="str">
        <f t="shared" si="76"/>
        <v>False</v>
      </c>
      <c r="AA52" s="1" t="str">
        <f t="shared" si="76"/>
        <v>True</v>
      </c>
      <c r="AB52" s="1" t="s">
        <v>27</v>
      </c>
      <c r="AC52">
        <f t="shared" ref="AC52:AH67" si="77">IF(ISNUMBER(SEARCH(AC$1,$AB52)), 1, 0)</f>
        <v>1</v>
      </c>
      <c r="AD52">
        <f t="shared" si="77"/>
        <v>0</v>
      </c>
      <c r="AE52">
        <f t="shared" si="77"/>
        <v>0</v>
      </c>
      <c r="AF52">
        <f t="shared" si="77"/>
        <v>0</v>
      </c>
      <c r="AG52">
        <f t="shared" si="77"/>
        <v>0</v>
      </c>
      <c r="AH52">
        <f t="shared" si="77"/>
        <v>0</v>
      </c>
      <c r="AI52" s="1">
        <f t="shared" si="10"/>
        <v>1</v>
      </c>
      <c r="AK52" s="1" t="s">
        <v>256</v>
      </c>
      <c r="AL52">
        <f t="shared" ref="AL52:AS67" si="78">IF(ISNUMBER(SEARCH(AL$1,$AK52)), 1, 0)</f>
        <v>1</v>
      </c>
      <c r="AM52">
        <f t="shared" si="78"/>
        <v>1</v>
      </c>
      <c r="AN52">
        <f t="shared" si="78"/>
        <v>0</v>
      </c>
      <c r="AO52">
        <f t="shared" si="78"/>
        <v>1</v>
      </c>
      <c r="AP52">
        <f t="shared" si="78"/>
        <v>0</v>
      </c>
      <c r="AQ52">
        <f t="shared" si="78"/>
        <v>0</v>
      </c>
      <c r="AR52">
        <f t="shared" si="78"/>
        <v>0</v>
      </c>
      <c r="AS52">
        <f t="shared" si="78"/>
        <v>0</v>
      </c>
      <c r="AU52" s="1" t="s">
        <v>46</v>
      </c>
      <c r="AV52" s="1">
        <f t="shared" si="18"/>
        <v>0</v>
      </c>
      <c r="AW52" s="1">
        <f t="shared" si="19"/>
        <v>1</v>
      </c>
      <c r="AX52" s="1">
        <f t="shared" si="20"/>
        <v>0</v>
      </c>
      <c r="AY52" s="1" t="s">
        <v>46</v>
      </c>
      <c r="BA52" s="1" t="s">
        <v>322</v>
      </c>
      <c r="BB52">
        <f t="shared" ref="BB52:BJ67" si="79">IF(ISNUMBER(SEARCH(BB$1,$BA52)), 1, 0)</f>
        <v>1</v>
      </c>
      <c r="BC52">
        <f t="shared" si="79"/>
        <v>1</v>
      </c>
      <c r="BD52">
        <f t="shared" si="79"/>
        <v>1</v>
      </c>
      <c r="BE52">
        <f t="shared" si="79"/>
        <v>0</v>
      </c>
      <c r="BF52">
        <f t="shared" si="79"/>
        <v>1</v>
      </c>
      <c r="BG52">
        <f t="shared" si="79"/>
        <v>0</v>
      </c>
      <c r="BH52">
        <f t="shared" si="79"/>
        <v>0</v>
      </c>
      <c r="BI52">
        <f t="shared" si="79"/>
        <v>0</v>
      </c>
      <c r="BJ52">
        <f t="shared" si="79"/>
        <v>1</v>
      </c>
      <c r="BK52">
        <f t="shared" si="13"/>
        <v>5</v>
      </c>
      <c r="BM52" s="1" t="s">
        <v>229</v>
      </c>
      <c r="BN52" s="1" t="s">
        <v>337</v>
      </c>
      <c r="BO52">
        <f t="shared" ref="BO52:BU67" si="80">IF(ISNUMBER(SEARCH(BO$1,$BN52)), 1, 0)</f>
        <v>1</v>
      </c>
      <c r="BP52">
        <f t="shared" si="80"/>
        <v>1</v>
      </c>
      <c r="BQ52">
        <f t="shared" si="80"/>
        <v>0</v>
      </c>
      <c r="BR52">
        <f t="shared" si="80"/>
        <v>0</v>
      </c>
      <c r="BS52">
        <f t="shared" si="80"/>
        <v>0</v>
      </c>
      <c r="BT52">
        <f t="shared" si="80"/>
        <v>0</v>
      </c>
      <c r="BU52">
        <f t="shared" si="80"/>
        <v>0</v>
      </c>
      <c r="BW52" s="1" t="s">
        <v>252</v>
      </c>
      <c r="BZ52" s="1" t="s">
        <v>462</v>
      </c>
      <c r="CM52" s="1" t="s">
        <v>45</v>
      </c>
      <c r="CQ52" s="1" t="s">
        <v>45</v>
      </c>
      <c r="CX52" s="1" t="s">
        <v>463</v>
      </c>
      <c r="CZ52" s="1" t="s">
        <v>464</v>
      </c>
      <c r="DC52" s="1" t="s">
        <v>235</v>
      </c>
    </row>
    <row r="53" spans="1:107" x14ac:dyDescent="0.25">
      <c r="A53" s="1" t="b">
        <v>1</v>
      </c>
      <c r="B53" s="2">
        <v>46164.307488425926</v>
      </c>
      <c r="C53" s="1" t="s">
        <v>465</v>
      </c>
      <c r="D53" s="1" t="s">
        <v>4</v>
      </c>
      <c r="E53">
        <f t="shared" si="75"/>
        <v>1</v>
      </c>
      <c r="F53">
        <f t="shared" si="75"/>
        <v>0</v>
      </c>
      <c r="G53">
        <f t="shared" si="75"/>
        <v>0</v>
      </c>
      <c r="H53">
        <f t="shared" si="75"/>
        <v>0</v>
      </c>
      <c r="I53">
        <f t="shared" si="75"/>
        <v>0</v>
      </c>
      <c r="J53">
        <f t="shared" si="75"/>
        <v>0</v>
      </c>
      <c r="K53">
        <f t="shared" si="75"/>
        <v>0</v>
      </c>
      <c r="L53">
        <f t="shared" si="7"/>
        <v>1</v>
      </c>
      <c r="N53" s="1" t="s">
        <v>466</v>
      </c>
      <c r="O53" s="1"/>
      <c r="P53" s="1"/>
      <c r="Q53" s="1"/>
      <c r="R53" s="1"/>
      <c r="S53" s="1"/>
      <c r="T53" s="1"/>
      <c r="V53" s="1" t="s">
        <v>23</v>
      </c>
      <c r="W53" s="1" t="str">
        <f t="shared" ref="W53:AA53" si="81">IF(W$1=$V53, "True", "False")</f>
        <v>False</v>
      </c>
      <c r="X53" s="1" t="str">
        <f t="shared" si="81"/>
        <v>False</v>
      </c>
      <c r="Y53" s="1" t="str">
        <f t="shared" si="81"/>
        <v>True</v>
      </c>
      <c r="Z53" s="1" t="str">
        <f t="shared" si="81"/>
        <v>False</v>
      </c>
      <c r="AA53" s="1" t="str">
        <f t="shared" si="81"/>
        <v>False</v>
      </c>
      <c r="AB53" s="1" t="s">
        <v>354</v>
      </c>
      <c r="AC53">
        <f t="shared" si="77"/>
        <v>1</v>
      </c>
      <c r="AD53">
        <f t="shared" si="77"/>
        <v>0</v>
      </c>
      <c r="AE53">
        <f t="shared" si="77"/>
        <v>0</v>
      </c>
      <c r="AF53">
        <f t="shared" si="77"/>
        <v>0</v>
      </c>
      <c r="AG53">
        <f t="shared" si="77"/>
        <v>0</v>
      </c>
      <c r="AH53">
        <f t="shared" si="77"/>
        <v>1</v>
      </c>
      <c r="AI53" s="1">
        <f t="shared" si="10"/>
        <v>2</v>
      </c>
      <c r="AK53" s="1" t="s">
        <v>467</v>
      </c>
      <c r="AL53">
        <f t="shared" si="78"/>
        <v>0</v>
      </c>
      <c r="AM53">
        <f t="shared" si="78"/>
        <v>1</v>
      </c>
      <c r="AN53">
        <f t="shared" si="78"/>
        <v>0</v>
      </c>
      <c r="AO53">
        <f t="shared" si="78"/>
        <v>1</v>
      </c>
      <c r="AP53">
        <f t="shared" si="78"/>
        <v>0</v>
      </c>
      <c r="AQ53">
        <f t="shared" si="78"/>
        <v>1</v>
      </c>
      <c r="AR53">
        <f t="shared" si="78"/>
        <v>0</v>
      </c>
      <c r="AS53">
        <f t="shared" si="78"/>
        <v>0</v>
      </c>
      <c r="AU53" s="1" t="s">
        <v>45</v>
      </c>
      <c r="AV53" s="1">
        <f t="shared" si="18"/>
        <v>1</v>
      </c>
      <c r="AW53" s="1">
        <f t="shared" si="19"/>
        <v>0</v>
      </c>
      <c r="AX53" s="1">
        <f t="shared" si="20"/>
        <v>0</v>
      </c>
      <c r="AY53" s="1" t="s">
        <v>46</v>
      </c>
      <c r="BA53" s="1" t="s">
        <v>468</v>
      </c>
      <c r="BB53">
        <f t="shared" si="79"/>
        <v>0</v>
      </c>
      <c r="BC53">
        <f t="shared" si="79"/>
        <v>0</v>
      </c>
      <c r="BD53">
        <f t="shared" si="79"/>
        <v>0</v>
      </c>
      <c r="BE53">
        <f t="shared" si="79"/>
        <v>1</v>
      </c>
      <c r="BF53">
        <f t="shared" si="79"/>
        <v>1</v>
      </c>
      <c r="BG53">
        <f t="shared" si="79"/>
        <v>1</v>
      </c>
      <c r="BH53">
        <f t="shared" si="79"/>
        <v>0</v>
      </c>
      <c r="BI53">
        <f t="shared" si="79"/>
        <v>0</v>
      </c>
      <c r="BJ53">
        <f t="shared" si="79"/>
        <v>1</v>
      </c>
      <c r="BK53">
        <f t="shared" si="13"/>
        <v>4</v>
      </c>
      <c r="BM53" s="1" t="s">
        <v>163</v>
      </c>
      <c r="BN53" s="1" t="s">
        <v>469</v>
      </c>
      <c r="BO53">
        <f t="shared" si="80"/>
        <v>1</v>
      </c>
      <c r="BP53">
        <f t="shared" si="80"/>
        <v>1</v>
      </c>
      <c r="BQ53">
        <f t="shared" si="80"/>
        <v>0</v>
      </c>
      <c r="BR53">
        <f t="shared" si="80"/>
        <v>0</v>
      </c>
      <c r="BS53">
        <f t="shared" si="80"/>
        <v>0</v>
      </c>
      <c r="BT53">
        <f t="shared" si="80"/>
        <v>1</v>
      </c>
      <c r="BU53">
        <f t="shared" si="80"/>
        <v>0</v>
      </c>
      <c r="DC53" s="1" t="s">
        <v>235</v>
      </c>
    </row>
    <row r="54" spans="1:107" x14ac:dyDescent="0.25">
      <c r="A54" s="1" t="b">
        <v>1</v>
      </c>
      <c r="B54" s="2">
        <v>46164.450462962966</v>
      </c>
      <c r="C54" s="1" t="s">
        <v>470</v>
      </c>
      <c r="D54" s="1" t="s">
        <v>4</v>
      </c>
      <c r="E54">
        <f t="shared" si="75"/>
        <v>1</v>
      </c>
      <c r="F54">
        <f t="shared" si="75"/>
        <v>0</v>
      </c>
      <c r="G54">
        <f t="shared" si="75"/>
        <v>0</v>
      </c>
      <c r="H54">
        <f t="shared" si="75"/>
        <v>0</v>
      </c>
      <c r="I54">
        <f t="shared" si="75"/>
        <v>0</v>
      </c>
      <c r="J54">
        <f t="shared" si="75"/>
        <v>0</v>
      </c>
      <c r="K54">
        <f t="shared" si="75"/>
        <v>0</v>
      </c>
      <c r="L54">
        <f t="shared" si="7"/>
        <v>1</v>
      </c>
      <c r="N54" s="1" t="s">
        <v>269</v>
      </c>
      <c r="O54" s="1"/>
      <c r="P54" s="1"/>
      <c r="Q54" s="1"/>
      <c r="R54" s="1"/>
      <c r="S54" s="1"/>
      <c r="T54" s="1"/>
      <c r="W54" s="1" t="str">
        <f t="shared" ref="W54:AA54" si="82">IF(W$1=$V54, "True", "False")</f>
        <v>False</v>
      </c>
      <c r="X54" s="1" t="str">
        <f t="shared" si="82"/>
        <v>False</v>
      </c>
      <c r="Y54" s="1" t="str">
        <f t="shared" si="82"/>
        <v>False</v>
      </c>
      <c r="Z54" s="1" t="str">
        <f t="shared" si="82"/>
        <v>False</v>
      </c>
      <c r="AA54" s="1" t="str">
        <f t="shared" si="82"/>
        <v>False</v>
      </c>
      <c r="AB54" s="1" t="s">
        <v>354</v>
      </c>
      <c r="AC54">
        <f t="shared" si="77"/>
        <v>1</v>
      </c>
      <c r="AD54">
        <f t="shared" si="77"/>
        <v>0</v>
      </c>
      <c r="AE54">
        <f t="shared" si="77"/>
        <v>0</v>
      </c>
      <c r="AF54">
        <f t="shared" si="77"/>
        <v>0</v>
      </c>
      <c r="AG54">
        <f t="shared" si="77"/>
        <v>0</v>
      </c>
      <c r="AH54">
        <f t="shared" si="77"/>
        <v>1</v>
      </c>
      <c r="AI54" s="1">
        <f t="shared" si="10"/>
        <v>2</v>
      </c>
      <c r="AK54" s="1" t="s">
        <v>471</v>
      </c>
      <c r="AL54">
        <f t="shared" si="78"/>
        <v>0</v>
      </c>
      <c r="AM54">
        <f t="shared" si="78"/>
        <v>0</v>
      </c>
      <c r="AN54">
        <f t="shared" si="78"/>
        <v>0</v>
      </c>
      <c r="AO54">
        <f t="shared" si="78"/>
        <v>1</v>
      </c>
      <c r="AP54">
        <f t="shared" si="78"/>
        <v>1</v>
      </c>
      <c r="AQ54">
        <f t="shared" si="78"/>
        <v>0</v>
      </c>
      <c r="AR54">
        <f t="shared" si="78"/>
        <v>1</v>
      </c>
      <c r="AS54">
        <f t="shared" si="78"/>
        <v>0</v>
      </c>
      <c r="AU54" s="1" t="s">
        <v>45</v>
      </c>
      <c r="AV54" s="1">
        <f t="shared" si="18"/>
        <v>1</v>
      </c>
      <c r="AW54" s="1">
        <f t="shared" si="19"/>
        <v>0</v>
      </c>
      <c r="AX54" s="1">
        <f t="shared" si="20"/>
        <v>0</v>
      </c>
      <c r="AY54" s="1" t="s">
        <v>46</v>
      </c>
      <c r="BA54" s="1" t="s">
        <v>59</v>
      </c>
      <c r="BB54">
        <f t="shared" si="79"/>
        <v>0</v>
      </c>
      <c r="BC54">
        <f t="shared" si="79"/>
        <v>0</v>
      </c>
      <c r="BD54">
        <f t="shared" si="79"/>
        <v>0</v>
      </c>
      <c r="BE54">
        <f t="shared" si="79"/>
        <v>0</v>
      </c>
      <c r="BF54">
        <f t="shared" si="79"/>
        <v>0</v>
      </c>
      <c r="BG54">
        <f t="shared" si="79"/>
        <v>0</v>
      </c>
      <c r="BH54">
        <f t="shared" si="79"/>
        <v>0</v>
      </c>
      <c r="BI54">
        <f t="shared" si="79"/>
        <v>0</v>
      </c>
      <c r="BJ54">
        <f t="shared" si="79"/>
        <v>1</v>
      </c>
      <c r="BK54">
        <f t="shared" si="13"/>
        <v>1</v>
      </c>
      <c r="BM54" s="1" t="s">
        <v>229</v>
      </c>
      <c r="BN54" s="1" t="s">
        <v>472</v>
      </c>
      <c r="BO54">
        <f t="shared" si="80"/>
        <v>0</v>
      </c>
      <c r="BP54">
        <f t="shared" si="80"/>
        <v>0</v>
      </c>
      <c r="BQ54">
        <f t="shared" si="80"/>
        <v>0</v>
      </c>
      <c r="BR54">
        <f t="shared" si="80"/>
        <v>1</v>
      </c>
      <c r="BS54">
        <f t="shared" si="80"/>
        <v>1</v>
      </c>
      <c r="BT54">
        <f t="shared" si="80"/>
        <v>1</v>
      </c>
      <c r="BU54">
        <f t="shared" si="80"/>
        <v>1</v>
      </c>
      <c r="DC54" s="1" t="s">
        <v>177</v>
      </c>
    </row>
    <row r="55" spans="1:107" x14ac:dyDescent="0.25">
      <c r="A55" s="1" t="b">
        <v>1</v>
      </c>
      <c r="B55" s="2">
        <v>46164.528020833335</v>
      </c>
      <c r="C55" s="1" t="s">
        <v>473</v>
      </c>
      <c r="D55" s="1" t="s">
        <v>4</v>
      </c>
      <c r="E55">
        <f t="shared" si="75"/>
        <v>1</v>
      </c>
      <c r="F55">
        <f t="shared" si="75"/>
        <v>0</v>
      </c>
      <c r="G55">
        <f t="shared" si="75"/>
        <v>0</v>
      </c>
      <c r="H55">
        <f t="shared" si="75"/>
        <v>0</v>
      </c>
      <c r="I55">
        <f t="shared" si="75"/>
        <v>0</v>
      </c>
      <c r="J55">
        <f t="shared" si="75"/>
        <v>0</v>
      </c>
      <c r="K55">
        <f t="shared" si="75"/>
        <v>0</v>
      </c>
      <c r="L55">
        <f t="shared" si="7"/>
        <v>1</v>
      </c>
      <c r="N55" s="1" t="s">
        <v>205</v>
      </c>
      <c r="O55" s="1"/>
      <c r="P55" s="1"/>
      <c r="Q55" s="1"/>
      <c r="R55" s="1"/>
      <c r="S55" s="1"/>
      <c r="T55" s="1"/>
      <c r="V55" s="1" t="s">
        <v>24</v>
      </c>
      <c r="W55" s="1" t="str">
        <f t="shared" ref="W55:AA55" si="83">IF(W$1=$V55, "True", "False")</f>
        <v>False</v>
      </c>
      <c r="X55" s="1" t="str">
        <f t="shared" si="83"/>
        <v>False</v>
      </c>
      <c r="Y55" s="1" t="str">
        <f t="shared" si="83"/>
        <v>False</v>
      </c>
      <c r="Z55" s="1" t="str">
        <f t="shared" si="83"/>
        <v>True</v>
      </c>
      <c r="AA55" s="1" t="str">
        <f t="shared" si="83"/>
        <v>False</v>
      </c>
      <c r="AB55" s="1" t="s">
        <v>474</v>
      </c>
      <c r="AC55">
        <f t="shared" si="77"/>
        <v>1</v>
      </c>
      <c r="AD55">
        <f t="shared" si="77"/>
        <v>1</v>
      </c>
      <c r="AE55">
        <f t="shared" si="77"/>
        <v>0</v>
      </c>
      <c r="AF55">
        <f t="shared" si="77"/>
        <v>0</v>
      </c>
      <c r="AG55">
        <f t="shared" si="77"/>
        <v>0</v>
      </c>
      <c r="AH55">
        <f t="shared" si="77"/>
        <v>1</v>
      </c>
      <c r="AI55" s="1">
        <f t="shared" si="10"/>
        <v>3</v>
      </c>
      <c r="AK55" s="1" t="s">
        <v>420</v>
      </c>
      <c r="AL55">
        <f t="shared" si="78"/>
        <v>0</v>
      </c>
      <c r="AM55">
        <f t="shared" si="78"/>
        <v>1</v>
      </c>
      <c r="AN55">
        <f t="shared" si="78"/>
        <v>1</v>
      </c>
      <c r="AO55">
        <f t="shared" si="78"/>
        <v>1</v>
      </c>
      <c r="AP55">
        <f t="shared" si="78"/>
        <v>0</v>
      </c>
      <c r="AQ55">
        <f t="shared" si="78"/>
        <v>1</v>
      </c>
      <c r="AR55">
        <f t="shared" si="78"/>
        <v>0</v>
      </c>
      <c r="AS55">
        <f t="shared" si="78"/>
        <v>0</v>
      </c>
      <c r="AU55" s="1" t="s">
        <v>46</v>
      </c>
      <c r="AV55" s="1">
        <f t="shared" si="18"/>
        <v>0</v>
      </c>
      <c r="AW55" s="1">
        <f t="shared" si="19"/>
        <v>1</v>
      </c>
      <c r="AX55" s="1">
        <f t="shared" si="20"/>
        <v>0</v>
      </c>
      <c r="AY55" s="1" t="s">
        <v>46</v>
      </c>
      <c r="BA55" s="1" t="s">
        <v>454</v>
      </c>
      <c r="BB55">
        <f t="shared" si="79"/>
        <v>0</v>
      </c>
      <c r="BC55">
        <f t="shared" si="79"/>
        <v>0</v>
      </c>
      <c r="BD55">
        <f t="shared" si="79"/>
        <v>0</v>
      </c>
      <c r="BE55">
        <f t="shared" si="79"/>
        <v>0</v>
      </c>
      <c r="BF55">
        <f t="shared" si="79"/>
        <v>1</v>
      </c>
      <c r="BG55">
        <f t="shared" si="79"/>
        <v>1</v>
      </c>
      <c r="BH55">
        <f t="shared" si="79"/>
        <v>0</v>
      </c>
      <c r="BI55">
        <f t="shared" si="79"/>
        <v>0</v>
      </c>
      <c r="BJ55">
        <f t="shared" si="79"/>
        <v>1</v>
      </c>
      <c r="BK55">
        <f t="shared" si="13"/>
        <v>3</v>
      </c>
      <c r="BM55" s="1" t="s">
        <v>229</v>
      </c>
      <c r="BN55" s="1" t="s">
        <v>337</v>
      </c>
      <c r="BO55">
        <f t="shared" si="80"/>
        <v>1</v>
      </c>
      <c r="BP55">
        <f t="shared" si="80"/>
        <v>1</v>
      </c>
      <c r="BQ55">
        <f t="shared" si="80"/>
        <v>0</v>
      </c>
      <c r="BR55">
        <f t="shared" si="80"/>
        <v>0</v>
      </c>
      <c r="BS55">
        <f t="shared" si="80"/>
        <v>0</v>
      </c>
      <c r="BT55">
        <f t="shared" si="80"/>
        <v>0</v>
      </c>
      <c r="BU55">
        <f t="shared" si="80"/>
        <v>0</v>
      </c>
      <c r="BW55" s="1" t="s">
        <v>209</v>
      </c>
      <c r="BY55" s="1" t="s">
        <v>475</v>
      </c>
      <c r="BZ55" s="1" t="s">
        <v>180</v>
      </c>
      <c r="CA55" s="1" t="s">
        <v>476</v>
      </c>
      <c r="DC55" s="1" t="s">
        <v>177</v>
      </c>
    </row>
    <row r="56" spans="1:107" x14ac:dyDescent="0.25">
      <c r="A56" s="1" t="b">
        <v>1</v>
      </c>
      <c r="B56" s="2">
        <v>46164.529062499998</v>
      </c>
      <c r="C56" s="1" t="s">
        <v>477</v>
      </c>
      <c r="D56" s="1" t="s">
        <v>4</v>
      </c>
      <c r="E56">
        <f t="shared" si="75"/>
        <v>1</v>
      </c>
      <c r="F56">
        <f t="shared" si="75"/>
        <v>0</v>
      </c>
      <c r="G56">
        <f t="shared" si="75"/>
        <v>0</v>
      </c>
      <c r="H56">
        <f t="shared" si="75"/>
        <v>0</v>
      </c>
      <c r="I56">
        <f t="shared" si="75"/>
        <v>0</v>
      </c>
      <c r="J56">
        <f t="shared" si="75"/>
        <v>0</v>
      </c>
      <c r="K56">
        <f t="shared" si="75"/>
        <v>0</v>
      </c>
      <c r="L56">
        <f t="shared" si="7"/>
        <v>1</v>
      </c>
      <c r="N56" s="1" t="s">
        <v>313</v>
      </c>
      <c r="O56" s="1"/>
      <c r="P56" s="1"/>
      <c r="Q56" s="1"/>
      <c r="R56" s="1"/>
      <c r="S56" s="1"/>
      <c r="T56" s="1"/>
      <c r="V56" s="1" t="s">
        <v>23</v>
      </c>
      <c r="W56" s="1" t="str">
        <f t="shared" ref="W56:AA56" si="84">IF(W$1=$V56, "True", "False")</f>
        <v>False</v>
      </c>
      <c r="X56" s="1" t="str">
        <f t="shared" si="84"/>
        <v>False</v>
      </c>
      <c r="Y56" s="1" t="str">
        <f t="shared" si="84"/>
        <v>True</v>
      </c>
      <c r="Z56" s="1" t="str">
        <f t="shared" si="84"/>
        <v>False</v>
      </c>
      <c r="AA56" s="1" t="str">
        <f t="shared" si="84"/>
        <v>False</v>
      </c>
      <c r="AB56" s="1" t="s">
        <v>354</v>
      </c>
      <c r="AC56">
        <f t="shared" si="77"/>
        <v>1</v>
      </c>
      <c r="AD56">
        <f t="shared" si="77"/>
        <v>0</v>
      </c>
      <c r="AE56">
        <f t="shared" si="77"/>
        <v>0</v>
      </c>
      <c r="AF56">
        <f t="shared" si="77"/>
        <v>0</v>
      </c>
      <c r="AG56">
        <f t="shared" si="77"/>
        <v>0</v>
      </c>
      <c r="AH56">
        <f t="shared" si="77"/>
        <v>1</v>
      </c>
      <c r="AI56" s="1">
        <f t="shared" si="10"/>
        <v>2</v>
      </c>
      <c r="AK56" s="1" t="s">
        <v>478</v>
      </c>
      <c r="AL56">
        <f t="shared" si="78"/>
        <v>0</v>
      </c>
      <c r="AM56">
        <f t="shared" si="78"/>
        <v>0</v>
      </c>
      <c r="AN56">
        <f t="shared" si="78"/>
        <v>0</v>
      </c>
      <c r="AO56">
        <f t="shared" si="78"/>
        <v>1</v>
      </c>
      <c r="AP56">
        <f t="shared" si="78"/>
        <v>0</v>
      </c>
      <c r="AQ56">
        <f t="shared" si="78"/>
        <v>1</v>
      </c>
      <c r="AR56">
        <f t="shared" si="78"/>
        <v>0</v>
      </c>
      <c r="AS56">
        <f t="shared" si="78"/>
        <v>0</v>
      </c>
      <c r="AU56" s="1" t="s">
        <v>45</v>
      </c>
      <c r="AV56" s="1">
        <f t="shared" si="18"/>
        <v>1</v>
      </c>
      <c r="AW56" s="1">
        <f t="shared" si="19"/>
        <v>0</v>
      </c>
      <c r="AX56" s="1">
        <f t="shared" si="20"/>
        <v>0</v>
      </c>
      <c r="AY56" s="1" t="s">
        <v>46</v>
      </c>
      <c r="BA56" s="1" t="s">
        <v>59</v>
      </c>
      <c r="BB56">
        <f t="shared" si="79"/>
        <v>0</v>
      </c>
      <c r="BC56">
        <f t="shared" si="79"/>
        <v>0</v>
      </c>
      <c r="BD56">
        <f t="shared" si="79"/>
        <v>0</v>
      </c>
      <c r="BE56">
        <f t="shared" si="79"/>
        <v>0</v>
      </c>
      <c r="BF56">
        <f t="shared" si="79"/>
        <v>0</v>
      </c>
      <c r="BG56">
        <f t="shared" si="79"/>
        <v>0</v>
      </c>
      <c r="BH56">
        <f t="shared" si="79"/>
        <v>0</v>
      </c>
      <c r="BI56">
        <f t="shared" si="79"/>
        <v>0</v>
      </c>
      <c r="BJ56">
        <f t="shared" si="79"/>
        <v>1</v>
      </c>
      <c r="BK56">
        <f t="shared" si="13"/>
        <v>1</v>
      </c>
      <c r="BM56" s="1" t="s">
        <v>229</v>
      </c>
      <c r="BN56" s="1" t="s">
        <v>68</v>
      </c>
      <c r="BO56">
        <f t="shared" si="80"/>
        <v>0</v>
      </c>
      <c r="BP56">
        <f t="shared" si="80"/>
        <v>0</v>
      </c>
      <c r="BQ56">
        <f t="shared" si="80"/>
        <v>0</v>
      </c>
      <c r="BR56">
        <f t="shared" si="80"/>
        <v>0</v>
      </c>
      <c r="BS56">
        <f t="shared" si="80"/>
        <v>0</v>
      </c>
      <c r="BT56">
        <f t="shared" si="80"/>
        <v>1</v>
      </c>
      <c r="BU56">
        <f t="shared" si="80"/>
        <v>0</v>
      </c>
      <c r="DC56" s="1" t="s">
        <v>235</v>
      </c>
    </row>
    <row r="57" spans="1:107" x14ac:dyDescent="0.25">
      <c r="A57" s="1" t="b">
        <v>1</v>
      </c>
      <c r="B57" s="2">
        <v>46164.563344907408</v>
      </c>
      <c r="C57" s="1" t="s">
        <v>479</v>
      </c>
      <c r="D57" s="1" t="s">
        <v>5</v>
      </c>
      <c r="E57">
        <f t="shared" si="75"/>
        <v>0</v>
      </c>
      <c r="F57">
        <f t="shared" si="75"/>
        <v>1</v>
      </c>
      <c r="G57">
        <f t="shared" si="75"/>
        <v>0</v>
      </c>
      <c r="H57">
        <f t="shared" si="75"/>
        <v>0</v>
      </c>
      <c r="I57">
        <f t="shared" si="75"/>
        <v>0</v>
      </c>
      <c r="J57">
        <f t="shared" si="75"/>
        <v>0</v>
      </c>
      <c r="K57">
        <f t="shared" si="75"/>
        <v>0</v>
      </c>
      <c r="L57">
        <f t="shared" si="7"/>
        <v>1</v>
      </c>
      <c r="N57" s="1" t="s">
        <v>237</v>
      </c>
      <c r="O57" s="1"/>
      <c r="P57" s="1"/>
      <c r="Q57" s="1"/>
      <c r="R57" s="1"/>
      <c r="S57" s="1"/>
      <c r="T57" s="1"/>
      <c r="V57" s="1" t="s">
        <v>25</v>
      </c>
      <c r="W57" s="1" t="str">
        <f t="shared" ref="W57:AA57" si="85">IF(W$1=$V57, "True", "False")</f>
        <v>False</v>
      </c>
      <c r="X57" s="1" t="str">
        <f t="shared" si="85"/>
        <v>False</v>
      </c>
      <c r="Y57" s="1" t="str">
        <f t="shared" si="85"/>
        <v>False</v>
      </c>
      <c r="Z57" s="1" t="str">
        <f t="shared" si="85"/>
        <v>False</v>
      </c>
      <c r="AA57" s="1" t="str">
        <f t="shared" si="85"/>
        <v>True</v>
      </c>
      <c r="AB57" s="1" t="s">
        <v>27</v>
      </c>
      <c r="AC57">
        <f t="shared" si="77"/>
        <v>1</v>
      </c>
      <c r="AD57">
        <f t="shared" si="77"/>
        <v>0</v>
      </c>
      <c r="AE57">
        <f t="shared" si="77"/>
        <v>0</v>
      </c>
      <c r="AF57">
        <f t="shared" si="77"/>
        <v>0</v>
      </c>
      <c r="AG57">
        <f t="shared" si="77"/>
        <v>0</v>
      </c>
      <c r="AH57">
        <f t="shared" si="77"/>
        <v>0</v>
      </c>
      <c r="AI57" s="1">
        <f t="shared" si="10"/>
        <v>1</v>
      </c>
      <c r="AK57" s="1" t="s">
        <v>480</v>
      </c>
      <c r="AL57">
        <f t="shared" si="78"/>
        <v>1</v>
      </c>
      <c r="AM57">
        <f t="shared" si="78"/>
        <v>1</v>
      </c>
      <c r="AN57">
        <f t="shared" si="78"/>
        <v>1</v>
      </c>
      <c r="AO57">
        <f t="shared" si="78"/>
        <v>0</v>
      </c>
      <c r="AP57">
        <f t="shared" si="78"/>
        <v>0</v>
      </c>
      <c r="AQ57">
        <f t="shared" si="78"/>
        <v>0</v>
      </c>
      <c r="AR57">
        <f t="shared" si="78"/>
        <v>0</v>
      </c>
      <c r="AS57">
        <f t="shared" si="78"/>
        <v>0</v>
      </c>
      <c r="AU57" s="1" t="s">
        <v>45</v>
      </c>
      <c r="AV57" s="1">
        <f t="shared" si="18"/>
        <v>1</v>
      </c>
      <c r="AW57" s="1">
        <f t="shared" si="19"/>
        <v>0</v>
      </c>
      <c r="AX57" s="1">
        <f t="shared" si="20"/>
        <v>0</v>
      </c>
      <c r="AY57" s="1" t="s">
        <v>46</v>
      </c>
      <c r="BA57" s="1" t="s">
        <v>481</v>
      </c>
      <c r="BB57">
        <f t="shared" si="79"/>
        <v>0</v>
      </c>
      <c r="BC57">
        <f t="shared" si="79"/>
        <v>0</v>
      </c>
      <c r="BD57">
        <f t="shared" si="79"/>
        <v>1</v>
      </c>
      <c r="BE57">
        <f t="shared" si="79"/>
        <v>0</v>
      </c>
      <c r="BF57">
        <f t="shared" si="79"/>
        <v>0</v>
      </c>
      <c r="BG57">
        <f t="shared" si="79"/>
        <v>0</v>
      </c>
      <c r="BH57">
        <f t="shared" si="79"/>
        <v>1</v>
      </c>
      <c r="BI57">
        <f t="shared" si="79"/>
        <v>0</v>
      </c>
      <c r="BJ57">
        <f t="shared" si="79"/>
        <v>0</v>
      </c>
      <c r="BK57">
        <f t="shared" si="13"/>
        <v>2</v>
      </c>
      <c r="BM57" s="1" t="s">
        <v>163</v>
      </c>
      <c r="BN57" s="1" t="s">
        <v>337</v>
      </c>
      <c r="BO57">
        <f t="shared" si="80"/>
        <v>1</v>
      </c>
      <c r="BP57">
        <f t="shared" si="80"/>
        <v>1</v>
      </c>
      <c r="BQ57">
        <f t="shared" si="80"/>
        <v>0</v>
      </c>
      <c r="BR57">
        <f t="shared" si="80"/>
        <v>0</v>
      </c>
      <c r="BS57">
        <f t="shared" si="80"/>
        <v>0</v>
      </c>
      <c r="BT57">
        <f t="shared" si="80"/>
        <v>0</v>
      </c>
      <c r="BU57">
        <f t="shared" si="80"/>
        <v>0</v>
      </c>
      <c r="CX57" s="1" t="s">
        <v>246</v>
      </c>
      <c r="CZ57" s="1" t="s">
        <v>482</v>
      </c>
      <c r="DC57" s="1" t="s">
        <v>177</v>
      </c>
    </row>
    <row r="58" spans="1:107" x14ac:dyDescent="0.25">
      <c r="A58" s="1" t="b">
        <v>1</v>
      </c>
      <c r="B58" s="2">
        <v>46164.58803240741</v>
      </c>
      <c r="C58" s="1" t="s">
        <v>483</v>
      </c>
      <c r="D58" s="1" t="s">
        <v>4</v>
      </c>
      <c r="E58">
        <f t="shared" si="75"/>
        <v>1</v>
      </c>
      <c r="F58">
        <f t="shared" si="75"/>
        <v>0</v>
      </c>
      <c r="G58">
        <f t="shared" si="75"/>
        <v>0</v>
      </c>
      <c r="H58">
        <f t="shared" si="75"/>
        <v>0</v>
      </c>
      <c r="I58">
        <f t="shared" si="75"/>
        <v>0</v>
      </c>
      <c r="J58">
        <f t="shared" si="75"/>
        <v>0</v>
      </c>
      <c r="K58">
        <f t="shared" si="75"/>
        <v>0</v>
      </c>
      <c r="L58">
        <f t="shared" si="7"/>
        <v>1</v>
      </c>
      <c r="N58" s="1" t="s">
        <v>226</v>
      </c>
      <c r="O58" s="1"/>
      <c r="P58" s="1"/>
      <c r="Q58" s="1"/>
      <c r="R58" s="1"/>
      <c r="S58" s="1"/>
      <c r="T58" s="1"/>
      <c r="W58" s="1" t="str">
        <f t="shared" ref="W58:AA58" si="86">IF(W$1=$V58, "True", "False")</f>
        <v>False</v>
      </c>
      <c r="X58" s="1" t="str">
        <f t="shared" si="86"/>
        <v>False</v>
      </c>
      <c r="Y58" s="1" t="str">
        <f t="shared" si="86"/>
        <v>False</v>
      </c>
      <c r="Z58" s="1" t="str">
        <f t="shared" si="86"/>
        <v>False</v>
      </c>
      <c r="AA58" s="1" t="str">
        <f t="shared" si="86"/>
        <v>False</v>
      </c>
      <c r="AB58" s="1" t="s">
        <v>484</v>
      </c>
      <c r="AC58">
        <f t="shared" si="77"/>
        <v>0</v>
      </c>
      <c r="AD58">
        <f t="shared" si="77"/>
        <v>0</v>
      </c>
      <c r="AE58">
        <f t="shared" si="77"/>
        <v>0</v>
      </c>
      <c r="AF58">
        <f t="shared" si="77"/>
        <v>1</v>
      </c>
      <c r="AG58">
        <f t="shared" si="77"/>
        <v>0</v>
      </c>
      <c r="AH58">
        <f t="shared" si="77"/>
        <v>1</v>
      </c>
      <c r="AI58" s="1">
        <f t="shared" si="10"/>
        <v>2</v>
      </c>
      <c r="AK58" s="1" t="s">
        <v>467</v>
      </c>
      <c r="AL58">
        <f t="shared" si="78"/>
        <v>0</v>
      </c>
      <c r="AM58">
        <f t="shared" si="78"/>
        <v>1</v>
      </c>
      <c r="AN58">
        <f t="shared" si="78"/>
        <v>0</v>
      </c>
      <c r="AO58">
        <f t="shared" si="78"/>
        <v>1</v>
      </c>
      <c r="AP58">
        <f t="shared" si="78"/>
        <v>0</v>
      </c>
      <c r="AQ58">
        <f t="shared" si="78"/>
        <v>1</v>
      </c>
      <c r="AR58">
        <f t="shared" si="78"/>
        <v>0</v>
      </c>
      <c r="AS58">
        <f t="shared" si="78"/>
        <v>0</v>
      </c>
      <c r="AU58" s="1" t="s">
        <v>45</v>
      </c>
      <c r="AV58" s="1">
        <f t="shared" si="18"/>
        <v>1</v>
      </c>
      <c r="AW58" s="1">
        <f t="shared" si="19"/>
        <v>0</v>
      </c>
      <c r="AX58" s="1">
        <f t="shared" si="20"/>
        <v>0</v>
      </c>
      <c r="AY58" s="1" t="s">
        <v>46</v>
      </c>
      <c r="BA58" s="1" t="s">
        <v>55</v>
      </c>
      <c r="BB58">
        <f t="shared" si="79"/>
        <v>0</v>
      </c>
      <c r="BC58">
        <f t="shared" si="79"/>
        <v>0</v>
      </c>
      <c r="BD58">
        <f t="shared" si="79"/>
        <v>0</v>
      </c>
      <c r="BE58">
        <f t="shared" si="79"/>
        <v>0</v>
      </c>
      <c r="BF58">
        <f t="shared" si="79"/>
        <v>1</v>
      </c>
      <c r="BG58">
        <f t="shared" si="79"/>
        <v>0</v>
      </c>
      <c r="BH58">
        <f t="shared" si="79"/>
        <v>0</v>
      </c>
      <c r="BI58">
        <f t="shared" si="79"/>
        <v>0</v>
      </c>
      <c r="BJ58">
        <f t="shared" si="79"/>
        <v>0</v>
      </c>
      <c r="BK58">
        <f t="shared" si="13"/>
        <v>1</v>
      </c>
      <c r="BM58" s="1" t="s">
        <v>215</v>
      </c>
      <c r="BN58" s="1" t="s">
        <v>337</v>
      </c>
      <c r="BO58">
        <f t="shared" si="80"/>
        <v>1</v>
      </c>
      <c r="BP58">
        <f t="shared" si="80"/>
        <v>1</v>
      </c>
      <c r="BQ58">
        <f t="shared" si="80"/>
        <v>0</v>
      </c>
      <c r="BR58">
        <f t="shared" si="80"/>
        <v>0</v>
      </c>
      <c r="BS58">
        <f t="shared" si="80"/>
        <v>0</v>
      </c>
      <c r="BT58">
        <f t="shared" si="80"/>
        <v>0</v>
      </c>
      <c r="BU58">
        <f t="shared" si="80"/>
        <v>0</v>
      </c>
      <c r="DC58" s="1" t="s">
        <v>235</v>
      </c>
    </row>
    <row r="59" spans="1:107" x14ac:dyDescent="0.25">
      <c r="A59" s="1" t="b">
        <v>1</v>
      </c>
      <c r="B59" s="2">
        <v>46164.591782407406</v>
      </c>
      <c r="C59" s="1" t="s">
        <v>485</v>
      </c>
      <c r="D59" s="1" t="s">
        <v>204</v>
      </c>
      <c r="E59">
        <f t="shared" si="75"/>
        <v>1</v>
      </c>
      <c r="F59">
        <f t="shared" si="75"/>
        <v>30</v>
      </c>
      <c r="G59">
        <f t="shared" si="75"/>
        <v>0</v>
      </c>
      <c r="H59">
        <f t="shared" si="75"/>
        <v>0</v>
      </c>
      <c r="I59">
        <f t="shared" si="75"/>
        <v>0</v>
      </c>
      <c r="J59">
        <f t="shared" si="75"/>
        <v>0</v>
      </c>
      <c r="K59">
        <f t="shared" si="75"/>
        <v>0</v>
      </c>
      <c r="L59">
        <f t="shared" si="7"/>
        <v>30</v>
      </c>
      <c r="N59" s="1" t="s">
        <v>291</v>
      </c>
      <c r="O59" s="1"/>
      <c r="P59" s="1"/>
      <c r="Q59" s="1"/>
      <c r="R59" s="1"/>
      <c r="S59" s="1"/>
      <c r="T59" s="1"/>
      <c r="W59" s="1" t="str">
        <f t="shared" ref="W59:AA59" si="87">IF(W$1=$V59, "True", "False")</f>
        <v>False</v>
      </c>
      <c r="X59" s="1" t="str">
        <f t="shared" si="87"/>
        <v>False</v>
      </c>
      <c r="Y59" s="1" t="str">
        <f t="shared" si="87"/>
        <v>False</v>
      </c>
      <c r="Z59" s="1" t="str">
        <f t="shared" si="87"/>
        <v>False</v>
      </c>
      <c r="AA59" s="1" t="str">
        <f t="shared" si="87"/>
        <v>False</v>
      </c>
      <c r="AB59" s="1" t="s">
        <v>30</v>
      </c>
      <c r="AC59">
        <f t="shared" si="77"/>
        <v>0</v>
      </c>
      <c r="AD59">
        <f t="shared" si="77"/>
        <v>0</v>
      </c>
      <c r="AE59">
        <f t="shared" si="77"/>
        <v>0</v>
      </c>
      <c r="AF59">
        <f t="shared" si="77"/>
        <v>1</v>
      </c>
      <c r="AG59">
        <f t="shared" si="77"/>
        <v>0</v>
      </c>
      <c r="AH59">
        <f t="shared" si="77"/>
        <v>0</v>
      </c>
      <c r="AI59" s="1">
        <f t="shared" si="10"/>
        <v>1</v>
      </c>
      <c r="AK59" s="1" t="s">
        <v>36</v>
      </c>
      <c r="AL59">
        <f t="shared" si="78"/>
        <v>0</v>
      </c>
      <c r="AM59">
        <f t="shared" si="78"/>
        <v>1</v>
      </c>
      <c r="AN59">
        <f t="shared" si="78"/>
        <v>0</v>
      </c>
      <c r="AO59">
        <f t="shared" si="78"/>
        <v>0</v>
      </c>
      <c r="AP59">
        <f t="shared" si="78"/>
        <v>0</v>
      </c>
      <c r="AQ59">
        <f t="shared" si="78"/>
        <v>0</v>
      </c>
      <c r="AR59">
        <f t="shared" si="78"/>
        <v>0</v>
      </c>
      <c r="AS59">
        <f t="shared" si="78"/>
        <v>0</v>
      </c>
      <c r="AU59" s="1" t="s">
        <v>45</v>
      </c>
      <c r="AV59" s="1">
        <f t="shared" si="18"/>
        <v>1</v>
      </c>
      <c r="AW59" s="1">
        <f t="shared" si="19"/>
        <v>0</v>
      </c>
      <c r="AX59" s="1">
        <f t="shared" si="20"/>
        <v>0</v>
      </c>
      <c r="AY59" s="1" t="s">
        <v>45</v>
      </c>
      <c r="AZ59" s="1" t="s">
        <v>46</v>
      </c>
      <c r="BB59">
        <f t="shared" si="79"/>
        <v>0</v>
      </c>
      <c r="BC59">
        <f t="shared" si="79"/>
        <v>0</v>
      </c>
      <c r="BD59">
        <f t="shared" si="79"/>
        <v>0</v>
      </c>
      <c r="BE59">
        <f t="shared" si="79"/>
        <v>0</v>
      </c>
      <c r="BF59">
        <f t="shared" si="79"/>
        <v>0</v>
      </c>
      <c r="BG59">
        <f t="shared" si="79"/>
        <v>0</v>
      </c>
      <c r="BH59">
        <f t="shared" si="79"/>
        <v>0</v>
      </c>
      <c r="BI59">
        <f t="shared" si="79"/>
        <v>0</v>
      </c>
      <c r="BJ59">
        <f t="shared" si="79"/>
        <v>0</v>
      </c>
      <c r="BK59">
        <f t="shared" si="13"/>
        <v>0</v>
      </c>
      <c r="BO59">
        <f t="shared" si="80"/>
        <v>0</v>
      </c>
      <c r="BP59">
        <f t="shared" si="80"/>
        <v>0</v>
      </c>
      <c r="BQ59">
        <f t="shared" si="80"/>
        <v>0</v>
      </c>
      <c r="BR59">
        <f t="shared" si="80"/>
        <v>0</v>
      </c>
      <c r="BS59">
        <f t="shared" si="80"/>
        <v>0</v>
      </c>
      <c r="BT59">
        <f t="shared" si="80"/>
        <v>0</v>
      </c>
      <c r="BU59">
        <f t="shared" si="80"/>
        <v>0</v>
      </c>
      <c r="CX59" s="1" t="s">
        <v>258</v>
      </c>
      <c r="CZ59" s="1" t="s">
        <v>486</v>
      </c>
      <c r="DC59" s="1" t="s">
        <v>177</v>
      </c>
    </row>
    <row r="60" spans="1:107" x14ac:dyDescent="0.25">
      <c r="A60" s="1" t="b">
        <v>1</v>
      </c>
      <c r="B60" s="2">
        <v>46164.593090277776</v>
      </c>
      <c r="C60" s="1" t="s">
        <v>487</v>
      </c>
      <c r="D60" s="1" t="s">
        <v>240</v>
      </c>
      <c r="E60">
        <f t="shared" si="75"/>
        <v>1</v>
      </c>
      <c r="F60">
        <f t="shared" si="75"/>
        <v>30</v>
      </c>
      <c r="G60">
        <f t="shared" si="75"/>
        <v>105</v>
      </c>
      <c r="H60">
        <f t="shared" si="75"/>
        <v>0</v>
      </c>
      <c r="I60">
        <f t="shared" si="75"/>
        <v>0</v>
      </c>
      <c r="J60">
        <f t="shared" si="75"/>
        <v>0</v>
      </c>
      <c r="K60">
        <f t="shared" si="75"/>
        <v>0</v>
      </c>
      <c r="L60">
        <f t="shared" si="7"/>
        <v>105</v>
      </c>
      <c r="N60" s="1" t="s">
        <v>184</v>
      </c>
      <c r="O60" s="1"/>
      <c r="P60" s="1"/>
      <c r="Q60" s="1"/>
      <c r="R60" s="1"/>
      <c r="S60" s="1"/>
      <c r="T60" s="1"/>
      <c r="V60" s="1" t="s">
        <v>24</v>
      </c>
      <c r="W60" s="1" t="str">
        <f t="shared" ref="W60:AA60" si="88">IF(W$1=$V60, "True", "False")</f>
        <v>False</v>
      </c>
      <c r="X60" s="1" t="str">
        <f t="shared" si="88"/>
        <v>False</v>
      </c>
      <c r="Y60" s="1" t="str">
        <f t="shared" si="88"/>
        <v>False</v>
      </c>
      <c r="Z60" s="1" t="str">
        <f t="shared" si="88"/>
        <v>True</v>
      </c>
      <c r="AA60" s="1" t="str">
        <f t="shared" si="88"/>
        <v>False</v>
      </c>
      <c r="AB60" s="1" t="s">
        <v>488</v>
      </c>
      <c r="AC60">
        <f t="shared" si="77"/>
        <v>1</v>
      </c>
      <c r="AD60">
        <f t="shared" si="77"/>
        <v>0</v>
      </c>
      <c r="AE60">
        <f t="shared" si="77"/>
        <v>1</v>
      </c>
      <c r="AF60">
        <f t="shared" si="77"/>
        <v>0</v>
      </c>
      <c r="AG60">
        <f t="shared" si="77"/>
        <v>1</v>
      </c>
      <c r="AH60">
        <f t="shared" si="77"/>
        <v>1</v>
      </c>
      <c r="AI60" s="1">
        <f t="shared" si="10"/>
        <v>4</v>
      </c>
      <c r="AK60" s="1" t="s">
        <v>489</v>
      </c>
      <c r="AL60">
        <f t="shared" si="78"/>
        <v>1</v>
      </c>
      <c r="AM60">
        <f t="shared" si="78"/>
        <v>1</v>
      </c>
      <c r="AN60">
        <f t="shared" si="78"/>
        <v>1</v>
      </c>
      <c r="AO60">
        <f t="shared" si="78"/>
        <v>1</v>
      </c>
      <c r="AP60">
        <f t="shared" si="78"/>
        <v>1</v>
      </c>
      <c r="AQ60">
        <f t="shared" si="78"/>
        <v>1</v>
      </c>
      <c r="AR60">
        <f t="shared" si="78"/>
        <v>1</v>
      </c>
      <c r="AS60">
        <f t="shared" si="78"/>
        <v>0</v>
      </c>
      <c r="AU60" s="1" t="s">
        <v>47</v>
      </c>
      <c r="AV60" s="1">
        <f t="shared" si="18"/>
        <v>0</v>
      </c>
      <c r="AW60" s="1">
        <f t="shared" si="19"/>
        <v>0</v>
      </c>
      <c r="AX60" s="1">
        <f t="shared" si="20"/>
        <v>1</v>
      </c>
      <c r="AY60" s="1" t="s">
        <v>46</v>
      </c>
      <c r="BA60" s="1" t="s">
        <v>490</v>
      </c>
      <c r="BB60">
        <f t="shared" si="79"/>
        <v>1</v>
      </c>
      <c r="BC60">
        <f t="shared" si="79"/>
        <v>1</v>
      </c>
      <c r="BD60">
        <f t="shared" si="79"/>
        <v>1</v>
      </c>
      <c r="BE60">
        <f t="shared" si="79"/>
        <v>0</v>
      </c>
      <c r="BF60">
        <f t="shared" si="79"/>
        <v>1</v>
      </c>
      <c r="BG60">
        <f t="shared" si="79"/>
        <v>0</v>
      </c>
      <c r="BH60">
        <f t="shared" si="79"/>
        <v>1</v>
      </c>
      <c r="BI60">
        <f t="shared" si="79"/>
        <v>0</v>
      </c>
      <c r="BJ60">
        <f t="shared" si="79"/>
        <v>1</v>
      </c>
      <c r="BK60">
        <f t="shared" si="13"/>
        <v>6</v>
      </c>
      <c r="BM60" s="1" t="s">
        <v>163</v>
      </c>
      <c r="BN60" s="1" t="s">
        <v>491</v>
      </c>
      <c r="BO60">
        <f t="shared" si="80"/>
        <v>1</v>
      </c>
      <c r="BP60">
        <f t="shared" si="80"/>
        <v>0</v>
      </c>
      <c r="BQ60">
        <f t="shared" si="80"/>
        <v>1</v>
      </c>
      <c r="BR60">
        <f t="shared" si="80"/>
        <v>1</v>
      </c>
      <c r="BS60">
        <f t="shared" si="80"/>
        <v>1</v>
      </c>
      <c r="BT60">
        <f t="shared" si="80"/>
        <v>0</v>
      </c>
      <c r="BU60">
        <f t="shared" si="80"/>
        <v>0</v>
      </c>
      <c r="CU60" s="1" t="s">
        <v>175</v>
      </c>
      <c r="CW60" s="1" t="s">
        <v>492</v>
      </c>
      <c r="CX60" s="1" t="s">
        <v>493</v>
      </c>
      <c r="CZ60" s="1" t="s">
        <v>494</v>
      </c>
      <c r="DB60" s="1" t="s">
        <v>495</v>
      </c>
      <c r="DC60" s="1" t="s">
        <v>235</v>
      </c>
    </row>
    <row r="61" spans="1:107" x14ac:dyDescent="0.25">
      <c r="A61" s="1" t="b">
        <v>1</v>
      </c>
      <c r="B61" s="2">
        <v>46164.595046296294</v>
      </c>
      <c r="C61" s="1" t="s">
        <v>496</v>
      </c>
      <c r="D61" s="1" t="s">
        <v>302</v>
      </c>
      <c r="E61">
        <f t="shared" si="75"/>
        <v>1</v>
      </c>
      <c r="F61">
        <f t="shared" si="75"/>
        <v>0</v>
      </c>
      <c r="G61">
        <f t="shared" si="75"/>
        <v>0</v>
      </c>
      <c r="H61">
        <f t="shared" si="75"/>
        <v>0</v>
      </c>
      <c r="I61">
        <f t="shared" si="75"/>
        <v>0</v>
      </c>
      <c r="J61">
        <f t="shared" si="75"/>
        <v>0</v>
      </c>
      <c r="K61">
        <f t="shared" si="75"/>
        <v>30</v>
      </c>
      <c r="L61">
        <f t="shared" si="7"/>
        <v>30</v>
      </c>
      <c r="N61" s="1" t="s">
        <v>382</v>
      </c>
      <c r="O61" s="1"/>
      <c r="P61" s="1"/>
      <c r="Q61" s="1"/>
      <c r="R61" s="1"/>
      <c r="S61" s="1"/>
      <c r="T61" s="1"/>
      <c r="V61" s="1" t="s">
        <v>23</v>
      </c>
      <c r="W61" s="1" t="str">
        <f t="shared" ref="W61:AA61" si="89">IF(W$1=$V61, "True", "False")</f>
        <v>False</v>
      </c>
      <c r="X61" s="1" t="str">
        <f t="shared" si="89"/>
        <v>False</v>
      </c>
      <c r="Y61" s="1" t="str">
        <f t="shared" si="89"/>
        <v>True</v>
      </c>
      <c r="Z61" s="1" t="str">
        <f t="shared" si="89"/>
        <v>False</v>
      </c>
      <c r="AA61" s="1" t="str">
        <f t="shared" si="89"/>
        <v>False</v>
      </c>
      <c r="AB61" s="1" t="s">
        <v>30</v>
      </c>
      <c r="AC61">
        <f t="shared" si="77"/>
        <v>0</v>
      </c>
      <c r="AD61">
        <f t="shared" si="77"/>
        <v>0</v>
      </c>
      <c r="AE61">
        <f t="shared" si="77"/>
        <v>0</v>
      </c>
      <c r="AF61">
        <f t="shared" si="77"/>
        <v>1</v>
      </c>
      <c r="AG61">
        <f t="shared" si="77"/>
        <v>0</v>
      </c>
      <c r="AH61">
        <f t="shared" si="77"/>
        <v>0</v>
      </c>
      <c r="AI61" s="1">
        <f t="shared" si="10"/>
        <v>1</v>
      </c>
      <c r="AK61" s="1" t="s">
        <v>343</v>
      </c>
      <c r="AL61">
        <f t="shared" si="78"/>
        <v>0</v>
      </c>
      <c r="AM61">
        <f t="shared" si="78"/>
        <v>1</v>
      </c>
      <c r="AN61">
        <f t="shared" si="78"/>
        <v>1</v>
      </c>
      <c r="AO61">
        <f t="shared" si="78"/>
        <v>1</v>
      </c>
      <c r="AP61">
        <f t="shared" si="78"/>
        <v>0</v>
      </c>
      <c r="AQ61">
        <f t="shared" si="78"/>
        <v>0</v>
      </c>
      <c r="AR61">
        <f t="shared" si="78"/>
        <v>0</v>
      </c>
      <c r="AS61">
        <f t="shared" si="78"/>
        <v>0</v>
      </c>
      <c r="AU61" s="1" t="s">
        <v>46</v>
      </c>
      <c r="AV61" s="1">
        <f t="shared" si="18"/>
        <v>0</v>
      </c>
      <c r="AW61" s="1">
        <f t="shared" si="19"/>
        <v>1</v>
      </c>
      <c r="AX61" s="1">
        <f t="shared" si="20"/>
        <v>0</v>
      </c>
      <c r="AY61" s="1" t="s">
        <v>46</v>
      </c>
      <c r="BA61" s="1" t="s">
        <v>497</v>
      </c>
      <c r="BB61">
        <f t="shared" si="79"/>
        <v>0</v>
      </c>
      <c r="BC61">
        <f t="shared" si="79"/>
        <v>1</v>
      </c>
      <c r="BD61">
        <f t="shared" si="79"/>
        <v>0</v>
      </c>
      <c r="BE61">
        <f t="shared" si="79"/>
        <v>0</v>
      </c>
      <c r="BF61">
        <f t="shared" si="79"/>
        <v>0</v>
      </c>
      <c r="BG61">
        <f t="shared" si="79"/>
        <v>0</v>
      </c>
      <c r="BH61">
        <f t="shared" si="79"/>
        <v>0</v>
      </c>
      <c r="BI61">
        <f t="shared" si="79"/>
        <v>0</v>
      </c>
      <c r="BJ61">
        <f t="shared" si="79"/>
        <v>1</v>
      </c>
      <c r="BK61">
        <f t="shared" si="13"/>
        <v>2</v>
      </c>
      <c r="BM61" s="1" t="s">
        <v>215</v>
      </c>
      <c r="BN61" s="1" t="s">
        <v>498</v>
      </c>
      <c r="BO61">
        <f t="shared" si="80"/>
        <v>1</v>
      </c>
      <c r="BP61">
        <f t="shared" si="80"/>
        <v>1</v>
      </c>
      <c r="BQ61">
        <f t="shared" si="80"/>
        <v>1</v>
      </c>
      <c r="BR61">
        <f t="shared" si="80"/>
        <v>1</v>
      </c>
      <c r="BS61">
        <f t="shared" si="80"/>
        <v>0</v>
      </c>
      <c r="BT61">
        <f t="shared" si="80"/>
        <v>1</v>
      </c>
      <c r="BU61">
        <f t="shared" si="80"/>
        <v>0</v>
      </c>
      <c r="BY61" s="1" t="s">
        <v>499</v>
      </c>
      <c r="BZ61" s="1" t="s">
        <v>231</v>
      </c>
      <c r="CM61" s="1" t="s">
        <v>45</v>
      </c>
      <c r="CQ61" s="1" t="s">
        <v>46</v>
      </c>
      <c r="DC61" s="1" t="s">
        <v>177</v>
      </c>
    </row>
    <row r="62" spans="1:107" x14ac:dyDescent="0.25">
      <c r="A62" s="1" t="b">
        <v>1</v>
      </c>
      <c r="B62" s="2">
        <v>46164.596678240741</v>
      </c>
      <c r="C62" s="1" t="s">
        <v>500</v>
      </c>
      <c r="D62" s="1" t="s">
        <v>180</v>
      </c>
      <c r="E62">
        <f t="shared" si="75"/>
        <v>0</v>
      </c>
      <c r="F62">
        <f t="shared" si="75"/>
        <v>0</v>
      </c>
      <c r="G62">
        <f t="shared" si="75"/>
        <v>0</v>
      </c>
      <c r="H62">
        <f t="shared" si="75"/>
        <v>0</v>
      </c>
      <c r="I62">
        <f t="shared" si="75"/>
        <v>0</v>
      </c>
      <c r="J62">
        <f t="shared" si="75"/>
        <v>0</v>
      </c>
      <c r="K62">
        <f t="shared" si="75"/>
        <v>0</v>
      </c>
      <c r="L62">
        <f t="shared" si="7"/>
        <v>0</v>
      </c>
      <c r="M62" s="1" t="s">
        <v>501</v>
      </c>
      <c r="N62" s="1" t="s">
        <v>502</v>
      </c>
      <c r="O62" s="1"/>
      <c r="P62" s="1"/>
      <c r="Q62" s="1"/>
      <c r="R62" s="1"/>
      <c r="S62" s="1"/>
      <c r="T62" s="1"/>
      <c r="V62" s="1" t="s">
        <v>23</v>
      </c>
      <c r="W62" s="1" t="str">
        <f t="shared" ref="W62:AA62" si="90">IF(W$1=$V62, "True", "False")</f>
        <v>False</v>
      </c>
      <c r="X62" s="1" t="str">
        <f t="shared" si="90"/>
        <v>False</v>
      </c>
      <c r="Y62" s="1" t="str">
        <f t="shared" si="90"/>
        <v>True</v>
      </c>
      <c r="Z62" s="1" t="str">
        <f t="shared" si="90"/>
        <v>False</v>
      </c>
      <c r="AA62" s="1" t="str">
        <f t="shared" si="90"/>
        <v>False</v>
      </c>
      <c r="AB62" s="1" t="s">
        <v>484</v>
      </c>
      <c r="AC62">
        <f t="shared" si="77"/>
        <v>0</v>
      </c>
      <c r="AD62">
        <f t="shared" si="77"/>
        <v>0</v>
      </c>
      <c r="AE62">
        <f t="shared" si="77"/>
        <v>0</v>
      </c>
      <c r="AF62">
        <f t="shared" si="77"/>
        <v>1</v>
      </c>
      <c r="AG62">
        <f t="shared" si="77"/>
        <v>0</v>
      </c>
      <c r="AH62">
        <f t="shared" si="77"/>
        <v>1</v>
      </c>
      <c r="AI62" s="1">
        <f t="shared" si="10"/>
        <v>2</v>
      </c>
      <c r="AK62" s="1" t="s">
        <v>503</v>
      </c>
      <c r="AL62">
        <f t="shared" si="78"/>
        <v>1</v>
      </c>
      <c r="AM62">
        <f t="shared" si="78"/>
        <v>1</v>
      </c>
      <c r="AN62">
        <f t="shared" si="78"/>
        <v>0</v>
      </c>
      <c r="AO62">
        <f t="shared" si="78"/>
        <v>0</v>
      </c>
      <c r="AP62">
        <f t="shared" si="78"/>
        <v>0</v>
      </c>
      <c r="AQ62">
        <f t="shared" si="78"/>
        <v>0</v>
      </c>
      <c r="AR62">
        <f t="shared" si="78"/>
        <v>0</v>
      </c>
      <c r="AS62">
        <f t="shared" si="78"/>
        <v>0</v>
      </c>
      <c r="AU62" s="1" t="s">
        <v>45</v>
      </c>
      <c r="AV62" s="1">
        <f t="shared" si="18"/>
        <v>1</v>
      </c>
      <c r="AW62" s="1">
        <f t="shared" si="19"/>
        <v>0</v>
      </c>
      <c r="AX62" s="1">
        <f t="shared" si="20"/>
        <v>0</v>
      </c>
      <c r="AY62" s="1" t="s">
        <v>46</v>
      </c>
      <c r="BA62" s="1" t="s">
        <v>504</v>
      </c>
      <c r="BB62">
        <f t="shared" si="79"/>
        <v>0</v>
      </c>
      <c r="BC62">
        <f t="shared" si="79"/>
        <v>0</v>
      </c>
      <c r="BD62">
        <f t="shared" si="79"/>
        <v>1</v>
      </c>
      <c r="BE62">
        <f t="shared" si="79"/>
        <v>1</v>
      </c>
      <c r="BF62">
        <f t="shared" si="79"/>
        <v>1</v>
      </c>
      <c r="BG62">
        <f t="shared" si="79"/>
        <v>0</v>
      </c>
      <c r="BH62">
        <f t="shared" si="79"/>
        <v>1</v>
      </c>
      <c r="BI62">
        <f t="shared" si="79"/>
        <v>1</v>
      </c>
      <c r="BJ62">
        <f t="shared" si="79"/>
        <v>0</v>
      </c>
      <c r="BK62">
        <f t="shared" si="13"/>
        <v>5</v>
      </c>
      <c r="BM62" s="1" t="s">
        <v>187</v>
      </c>
      <c r="BN62" s="1" t="s">
        <v>69</v>
      </c>
      <c r="BO62">
        <f t="shared" si="80"/>
        <v>0</v>
      </c>
      <c r="BP62">
        <f t="shared" si="80"/>
        <v>0</v>
      </c>
      <c r="BQ62">
        <f t="shared" si="80"/>
        <v>0</v>
      </c>
      <c r="BR62">
        <f t="shared" si="80"/>
        <v>0</v>
      </c>
      <c r="BS62">
        <f t="shared" si="80"/>
        <v>0</v>
      </c>
      <c r="BT62">
        <f t="shared" si="80"/>
        <v>0</v>
      </c>
      <c r="BU62">
        <f t="shared" si="80"/>
        <v>1</v>
      </c>
      <c r="DC62" s="1" t="s">
        <v>235</v>
      </c>
    </row>
    <row r="63" spans="1:107" x14ac:dyDescent="0.25">
      <c r="A63" s="1" t="b">
        <v>1</v>
      </c>
      <c r="B63" s="2">
        <v>46164.639606481483</v>
      </c>
      <c r="C63" s="1" t="s">
        <v>505</v>
      </c>
      <c r="D63" s="1" t="s">
        <v>4</v>
      </c>
      <c r="E63">
        <f t="shared" si="75"/>
        <v>1</v>
      </c>
      <c r="F63">
        <f t="shared" si="75"/>
        <v>0</v>
      </c>
      <c r="G63">
        <f t="shared" si="75"/>
        <v>0</v>
      </c>
      <c r="H63">
        <f t="shared" si="75"/>
        <v>0</v>
      </c>
      <c r="I63">
        <f t="shared" si="75"/>
        <v>0</v>
      </c>
      <c r="J63">
        <f t="shared" si="75"/>
        <v>0</v>
      </c>
      <c r="K63">
        <f t="shared" si="75"/>
        <v>0</v>
      </c>
      <c r="L63">
        <f t="shared" si="7"/>
        <v>1</v>
      </c>
      <c r="N63" s="1" t="s">
        <v>237</v>
      </c>
      <c r="O63" s="1"/>
      <c r="P63" s="1"/>
      <c r="Q63" s="1"/>
      <c r="R63" s="1"/>
      <c r="S63" s="1"/>
      <c r="T63" s="1"/>
      <c r="W63" s="1" t="str">
        <f t="shared" ref="W63:AA63" si="91">IF(W$1=$V63, "True", "False")</f>
        <v>False</v>
      </c>
      <c r="X63" s="1" t="str">
        <f t="shared" si="91"/>
        <v>False</v>
      </c>
      <c r="Y63" s="1" t="str">
        <f t="shared" si="91"/>
        <v>False</v>
      </c>
      <c r="Z63" s="1" t="str">
        <f t="shared" si="91"/>
        <v>False</v>
      </c>
      <c r="AA63" s="1" t="str">
        <f t="shared" si="91"/>
        <v>False</v>
      </c>
      <c r="AB63" s="1" t="s">
        <v>354</v>
      </c>
      <c r="AC63">
        <f t="shared" si="77"/>
        <v>1</v>
      </c>
      <c r="AD63">
        <f t="shared" si="77"/>
        <v>0</v>
      </c>
      <c r="AE63">
        <f t="shared" si="77"/>
        <v>0</v>
      </c>
      <c r="AF63">
        <f t="shared" si="77"/>
        <v>0</v>
      </c>
      <c r="AG63">
        <f t="shared" si="77"/>
        <v>0</v>
      </c>
      <c r="AH63">
        <f t="shared" si="77"/>
        <v>1</v>
      </c>
      <c r="AI63" s="1">
        <f t="shared" si="10"/>
        <v>2</v>
      </c>
      <c r="AK63" s="1" t="s">
        <v>314</v>
      </c>
      <c r="AL63">
        <f t="shared" si="78"/>
        <v>0</v>
      </c>
      <c r="AM63">
        <f t="shared" si="78"/>
        <v>1</v>
      </c>
      <c r="AN63">
        <f t="shared" si="78"/>
        <v>0</v>
      </c>
      <c r="AO63">
        <f t="shared" si="78"/>
        <v>1</v>
      </c>
      <c r="AP63">
        <f t="shared" si="78"/>
        <v>1</v>
      </c>
      <c r="AQ63">
        <f t="shared" si="78"/>
        <v>1</v>
      </c>
      <c r="AR63">
        <f t="shared" si="78"/>
        <v>0</v>
      </c>
      <c r="AS63">
        <f t="shared" si="78"/>
        <v>0</v>
      </c>
      <c r="AU63" s="1" t="s">
        <v>45</v>
      </c>
      <c r="AV63" s="1">
        <f t="shared" si="18"/>
        <v>1</v>
      </c>
      <c r="AW63" s="1">
        <f t="shared" si="19"/>
        <v>0</v>
      </c>
      <c r="AX63" s="1">
        <f t="shared" si="20"/>
        <v>0</v>
      </c>
      <c r="AY63" s="1" t="s">
        <v>46</v>
      </c>
      <c r="BA63" s="1" t="s">
        <v>506</v>
      </c>
      <c r="BB63">
        <f t="shared" si="79"/>
        <v>0</v>
      </c>
      <c r="BC63">
        <f t="shared" si="79"/>
        <v>1</v>
      </c>
      <c r="BD63">
        <f t="shared" si="79"/>
        <v>1</v>
      </c>
      <c r="BE63">
        <f t="shared" si="79"/>
        <v>1</v>
      </c>
      <c r="BF63">
        <f t="shared" si="79"/>
        <v>1</v>
      </c>
      <c r="BG63">
        <f t="shared" si="79"/>
        <v>0</v>
      </c>
      <c r="BH63">
        <f t="shared" si="79"/>
        <v>0</v>
      </c>
      <c r="BI63">
        <f t="shared" si="79"/>
        <v>0</v>
      </c>
      <c r="BJ63">
        <f t="shared" si="79"/>
        <v>1</v>
      </c>
      <c r="BK63">
        <f t="shared" si="13"/>
        <v>5</v>
      </c>
      <c r="BM63" s="1" t="s">
        <v>229</v>
      </c>
      <c r="BN63" s="1" t="s">
        <v>507</v>
      </c>
      <c r="BO63">
        <f t="shared" si="80"/>
        <v>0</v>
      </c>
      <c r="BP63">
        <f t="shared" si="80"/>
        <v>1</v>
      </c>
      <c r="BQ63">
        <f t="shared" si="80"/>
        <v>0</v>
      </c>
      <c r="BR63">
        <f t="shared" si="80"/>
        <v>1</v>
      </c>
      <c r="BS63">
        <f t="shared" si="80"/>
        <v>0</v>
      </c>
      <c r="BT63">
        <f t="shared" si="80"/>
        <v>1</v>
      </c>
      <c r="BU63">
        <f t="shared" si="80"/>
        <v>1</v>
      </c>
      <c r="DC63" s="1" t="s">
        <v>235</v>
      </c>
    </row>
    <row r="64" spans="1:107" x14ac:dyDescent="0.25">
      <c r="A64" s="1" t="b">
        <v>1</v>
      </c>
      <c r="B64" s="2">
        <v>46164.650601851848</v>
      </c>
      <c r="C64" s="1" t="s">
        <v>508</v>
      </c>
      <c r="D64" s="1" t="s">
        <v>4</v>
      </c>
      <c r="E64">
        <f t="shared" si="75"/>
        <v>1</v>
      </c>
      <c r="F64">
        <f t="shared" si="75"/>
        <v>0</v>
      </c>
      <c r="G64">
        <f t="shared" si="75"/>
        <v>0</v>
      </c>
      <c r="H64">
        <f t="shared" si="75"/>
        <v>0</v>
      </c>
      <c r="I64">
        <f t="shared" si="75"/>
        <v>0</v>
      </c>
      <c r="J64">
        <f t="shared" si="75"/>
        <v>0</v>
      </c>
      <c r="K64">
        <f t="shared" si="75"/>
        <v>0</v>
      </c>
      <c r="L64">
        <f t="shared" si="7"/>
        <v>1</v>
      </c>
      <c r="N64" s="1" t="s">
        <v>237</v>
      </c>
      <c r="O64" s="1"/>
      <c r="P64" s="1"/>
      <c r="Q64" s="1"/>
      <c r="R64" s="1"/>
      <c r="S64" s="1"/>
      <c r="T64" s="1"/>
      <c r="W64" s="1" t="str">
        <f t="shared" ref="W64:AA64" si="92">IF(W$1=$V64, "True", "False")</f>
        <v>False</v>
      </c>
      <c r="X64" s="1" t="str">
        <f t="shared" si="92"/>
        <v>False</v>
      </c>
      <c r="Y64" s="1" t="str">
        <f t="shared" si="92"/>
        <v>False</v>
      </c>
      <c r="Z64" s="1" t="str">
        <f t="shared" si="92"/>
        <v>False</v>
      </c>
      <c r="AA64" s="1" t="str">
        <f t="shared" si="92"/>
        <v>False</v>
      </c>
      <c r="AB64" s="1" t="s">
        <v>32</v>
      </c>
      <c r="AC64">
        <f t="shared" si="77"/>
        <v>0</v>
      </c>
      <c r="AD64">
        <f t="shared" si="77"/>
        <v>0</v>
      </c>
      <c r="AE64">
        <f t="shared" si="77"/>
        <v>0</v>
      </c>
      <c r="AF64">
        <f t="shared" si="77"/>
        <v>0</v>
      </c>
      <c r="AG64">
        <f t="shared" si="77"/>
        <v>0</v>
      </c>
      <c r="AH64">
        <f t="shared" si="77"/>
        <v>1</v>
      </c>
      <c r="AI64" s="1">
        <f t="shared" si="10"/>
        <v>1</v>
      </c>
      <c r="AK64" s="1" t="s">
        <v>407</v>
      </c>
      <c r="AL64">
        <f t="shared" si="78"/>
        <v>1</v>
      </c>
      <c r="AM64">
        <f t="shared" si="78"/>
        <v>0</v>
      </c>
      <c r="AN64">
        <f t="shared" si="78"/>
        <v>1</v>
      </c>
      <c r="AO64">
        <f t="shared" si="78"/>
        <v>1</v>
      </c>
      <c r="AP64">
        <f t="shared" si="78"/>
        <v>0</v>
      </c>
      <c r="AQ64">
        <f t="shared" si="78"/>
        <v>0</v>
      </c>
      <c r="AR64">
        <f t="shared" si="78"/>
        <v>0</v>
      </c>
      <c r="AS64">
        <f t="shared" si="78"/>
        <v>0</v>
      </c>
      <c r="AU64" s="1" t="s">
        <v>45</v>
      </c>
      <c r="AV64" s="1">
        <f t="shared" si="18"/>
        <v>1</v>
      </c>
      <c r="AW64" s="1">
        <f t="shared" si="19"/>
        <v>0</v>
      </c>
      <c r="AX64" s="1">
        <f t="shared" si="20"/>
        <v>0</v>
      </c>
      <c r="AY64" s="1" t="s">
        <v>46</v>
      </c>
      <c r="BA64" s="1" t="s">
        <v>228</v>
      </c>
      <c r="BB64">
        <f t="shared" si="79"/>
        <v>1</v>
      </c>
      <c r="BC64">
        <f t="shared" si="79"/>
        <v>1</v>
      </c>
      <c r="BD64">
        <f t="shared" si="79"/>
        <v>1</v>
      </c>
      <c r="BE64">
        <f t="shared" si="79"/>
        <v>1</v>
      </c>
      <c r="BF64">
        <f t="shared" si="79"/>
        <v>1</v>
      </c>
      <c r="BG64">
        <f t="shared" si="79"/>
        <v>1</v>
      </c>
      <c r="BH64">
        <f t="shared" si="79"/>
        <v>0</v>
      </c>
      <c r="BI64">
        <f t="shared" si="79"/>
        <v>0</v>
      </c>
      <c r="BJ64">
        <f t="shared" si="79"/>
        <v>1</v>
      </c>
      <c r="BK64">
        <f t="shared" si="13"/>
        <v>7</v>
      </c>
      <c r="BM64" s="1" t="s">
        <v>163</v>
      </c>
      <c r="BN64" s="1" t="s">
        <v>69</v>
      </c>
      <c r="BO64">
        <f t="shared" si="80"/>
        <v>0</v>
      </c>
      <c r="BP64">
        <f t="shared" si="80"/>
        <v>0</v>
      </c>
      <c r="BQ64">
        <f t="shared" si="80"/>
        <v>0</v>
      </c>
      <c r="BR64">
        <f t="shared" si="80"/>
        <v>0</v>
      </c>
      <c r="BS64">
        <f t="shared" si="80"/>
        <v>0</v>
      </c>
      <c r="BT64">
        <f t="shared" si="80"/>
        <v>0</v>
      </c>
      <c r="BU64">
        <f t="shared" si="80"/>
        <v>1</v>
      </c>
      <c r="DC64" s="1" t="s">
        <v>177</v>
      </c>
    </row>
    <row r="65" spans="1:107" x14ac:dyDescent="0.25">
      <c r="A65" s="1" t="b">
        <v>1</v>
      </c>
      <c r="B65" s="2">
        <v>46164.667071759257</v>
      </c>
      <c r="C65" s="1" t="s">
        <v>509</v>
      </c>
      <c r="D65" s="1" t="s">
        <v>4</v>
      </c>
      <c r="E65">
        <f t="shared" si="75"/>
        <v>1</v>
      </c>
      <c r="F65">
        <f t="shared" si="75"/>
        <v>0</v>
      </c>
      <c r="G65">
        <f t="shared" si="75"/>
        <v>0</v>
      </c>
      <c r="H65">
        <f t="shared" si="75"/>
        <v>0</v>
      </c>
      <c r="I65">
        <f t="shared" si="75"/>
        <v>0</v>
      </c>
      <c r="J65">
        <f t="shared" si="75"/>
        <v>0</v>
      </c>
      <c r="K65">
        <f t="shared" si="75"/>
        <v>0</v>
      </c>
      <c r="L65">
        <f t="shared" si="7"/>
        <v>1</v>
      </c>
      <c r="N65" s="1" t="s">
        <v>184</v>
      </c>
      <c r="O65" s="1"/>
      <c r="P65" s="1"/>
      <c r="Q65" s="1"/>
      <c r="R65" s="1"/>
      <c r="S65" s="1"/>
      <c r="T65" s="1"/>
      <c r="W65" s="1" t="str">
        <f t="shared" ref="W65:AA65" si="93">IF(W$1=$V65, "True", "False")</f>
        <v>False</v>
      </c>
      <c r="X65" s="1" t="str">
        <f t="shared" si="93"/>
        <v>False</v>
      </c>
      <c r="Y65" s="1" t="str">
        <f t="shared" si="93"/>
        <v>False</v>
      </c>
      <c r="Z65" s="1" t="str">
        <f t="shared" si="93"/>
        <v>False</v>
      </c>
      <c r="AA65" s="1" t="str">
        <f t="shared" si="93"/>
        <v>False</v>
      </c>
      <c r="AB65" s="1" t="s">
        <v>510</v>
      </c>
      <c r="AC65">
        <f t="shared" si="77"/>
        <v>1</v>
      </c>
      <c r="AD65">
        <f t="shared" si="77"/>
        <v>0</v>
      </c>
      <c r="AE65">
        <f t="shared" si="77"/>
        <v>0</v>
      </c>
      <c r="AF65">
        <f t="shared" si="77"/>
        <v>0</v>
      </c>
      <c r="AG65">
        <f t="shared" si="77"/>
        <v>1</v>
      </c>
      <c r="AH65">
        <f t="shared" si="77"/>
        <v>0</v>
      </c>
      <c r="AI65" s="1">
        <f t="shared" si="10"/>
        <v>2</v>
      </c>
      <c r="AJ65" s="1" t="s">
        <v>511</v>
      </c>
      <c r="AK65" s="1" t="s">
        <v>310</v>
      </c>
      <c r="AL65">
        <f t="shared" si="78"/>
        <v>1</v>
      </c>
      <c r="AM65">
        <f t="shared" si="78"/>
        <v>1</v>
      </c>
      <c r="AN65">
        <f t="shared" si="78"/>
        <v>0</v>
      </c>
      <c r="AO65">
        <f t="shared" si="78"/>
        <v>1</v>
      </c>
      <c r="AP65">
        <f t="shared" si="78"/>
        <v>1</v>
      </c>
      <c r="AQ65">
        <f t="shared" si="78"/>
        <v>1</v>
      </c>
      <c r="AR65">
        <f t="shared" si="78"/>
        <v>0</v>
      </c>
      <c r="AS65">
        <f t="shared" si="78"/>
        <v>0</v>
      </c>
      <c r="AU65" s="1" t="s">
        <v>46</v>
      </c>
      <c r="AV65" s="1">
        <f t="shared" si="18"/>
        <v>0</v>
      </c>
      <c r="AW65" s="1">
        <f t="shared" si="19"/>
        <v>1</v>
      </c>
      <c r="AX65" s="1">
        <f t="shared" si="20"/>
        <v>0</v>
      </c>
      <c r="AY65" s="1" t="s">
        <v>46</v>
      </c>
      <c r="BA65" s="1" t="s">
        <v>315</v>
      </c>
      <c r="BB65">
        <f t="shared" si="79"/>
        <v>0</v>
      </c>
      <c r="BC65">
        <f t="shared" si="79"/>
        <v>0</v>
      </c>
      <c r="BD65">
        <f t="shared" si="79"/>
        <v>1</v>
      </c>
      <c r="BE65">
        <f t="shared" si="79"/>
        <v>1</v>
      </c>
      <c r="BF65">
        <f t="shared" si="79"/>
        <v>1</v>
      </c>
      <c r="BG65">
        <f t="shared" si="79"/>
        <v>1</v>
      </c>
      <c r="BH65">
        <f t="shared" si="79"/>
        <v>0</v>
      </c>
      <c r="BI65">
        <f t="shared" si="79"/>
        <v>0</v>
      </c>
      <c r="BJ65">
        <f t="shared" si="79"/>
        <v>1</v>
      </c>
      <c r="BK65">
        <f t="shared" si="13"/>
        <v>5</v>
      </c>
      <c r="BM65" s="1" t="s">
        <v>229</v>
      </c>
      <c r="BN65" s="1" t="s">
        <v>69</v>
      </c>
      <c r="BO65">
        <f t="shared" si="80"/>
        <v>0</v>
      </c>
      <c r="BP65">
        <f t="shared" si="80"/>
        <v>0</v>
      </c>
      <c r="BQ65">
        <f t="shared" si="80"/>
        <v>0</v>
      </c>
      <c r="BR65">
        <f t="shared" si="80"/>
        <v>0</v>
      </c>
      <c r="BS65">
        <f t="shared" si="80"/>
        <v>0</v>
      </c>
      <c r="BT65">
        <f t="shared" si="80"/>
        <v>0</v>
      </c>
      <c r="BU65">
        <f t="shared" si="80"/>
        <v>1</v>
      </c>
      <c r="BW65" s="1" t="s">
        <v>209</v>
      </c>
      <c r="BY65" s="1" t="s">
        <v>512</v>
      </c>
      <c r="BZ65" s="1" t="s">
        <v>513</v>
      </c>
      <c r="DC65" s="1" t="s">
        <v>235</v>
      </c>
    </row>
    <row r="66" spans="1:107" x14ac:dyDescent="0.25">
      <c r="A66" s="1" t="b">
        <v>1</v>
      </c>
      <c r="B66" s="2">
        <v>46164.688993055555</v>
      </c>
      <c r="C66" s="1" t="s">
        <v>514</v>
      </c>
      <c r="D66" s="1" t="s">
        <v>515</v>
      </c>
      <c r="E66">
        <f t="shared" si="75"/>
        <v>1</v>
      </c>
      <c r="F66">
        <f t="shared" si="75"/>
        <v>30</v>
      </c>
      <c r="G66">
        <f t="shared" si="75"/>
        <v>0</v>
      </c>
      <c r="H66">
        <f t="shared" si="75"/>
        <v>105</v>
      </c>
      <c r="I66">
        <f t="shared" si="75"/>
        <v>143</v>
      </c>
      <c r="J66">
        <f t="shared" si="75"/>
        <v>0</v>
      </c>
      <c r="K66">
        <f t="shared" si="75"/>
        <v>0</v>
      </c>
      <c r="L66">
        <f t="shared" si="7"/>
        <v>143</v>
      </c>
      <c r="N66" s="1" t="s">
        <v>237</v>
      </c>
      <c r="O66" s="1"/>
      <c r="P66" s="1"/>
      <c r="Q66" s="1"/>
      <c r="R66" s="1"/>
      <c r="S66" s="1"/>
      <c r="T66" s="1"/>
      <c r="V66" s="1" t="s">
        <v>25</v>
      </c>
      <c r="W66" s="1" t="str">
        <f t="shared" ref="W66:AA66" si="94">IF(W$1=$V66, "True", "False")</f>
        <v>False</v>
      </c>
      <c r="X66" s="1" t="str">
        <f t="shared" si="94"/>
        <v>False</v>
      </c>
      <c r="Y66" s="1" t="str">
        <f t="shared" si="94"/>
        <v>False</v>
      </c>
      <c r="Z66" s="1" t="str">
        <f t="shared" si="94"/>
        <v>False</v>
      </c>
      <c r="AA66" s="1" t="str">
        <f t="shared" si="94"/>
        <v>True</v>
      </c>
      <c r="AB66" s="1" t="s">
        <v>516</v>
      </c>
      <c r="AC66">
        <f t="shared" si="77"/>
        <v>1</v>
      </c>
      <c r="AD66">
        <f t="shared" si="77"/>
        <v>0</v>
      </c>
      <c r="AE66">
        <f t="shared" si="77"/>
        <v>0</v>
      </c>
      <c r="AF66">
        <f t="shared" si="77"/>
        <v>0</v>
      </c>
      <c r="AG66">
        <f t="shared" si="77"/>
        <v>1</v>
      </c>
      <c r="AH66">
        <f t="shared" si="77"/>
        <v>0</v>
      </c>
      <c r="AI66" s="1">
        <f t="shared" si="10"/>
        <v>2</v>
      </c>
      <c r="AK66" s="1" t="s">
        <v>314</v>
      </c>
      <c r="AL66">
        <f t="shared" si="78"/>
        <v>0</v>
      </c>
      <c r="AM66">
        <f t="shared" si="78"/>
        <v>1</v>
      </c>
      <c r="AN66">
        <f t="shared" si="78"/>
        <v>0</v>
      </c>
      <c r="AO66">
        <f t="shared" si="78"/>
        <v>1</v>
      </c>
      <c r="AP66">
        <f t="shared" si="78"/>
        <v>1</v>
      </c>
      <c r="AQ66">
        <f t="shared" si="78"/>
        <v>1</v>
      </c>
      <c r="AR66">
        <f t="shared" si="78"/>
        <v>0</v>
      </c>
      <c r="AS66">
        <f t="shared" si="78"/>
        <v>0</v>
      </c>
      <c r="AU66" s="1" t="s">
        <v>46</v>
      </c>
      <c r="AV66" s="1">
        <f t="shared" si="18"/>
        <v>0</v>
      </c>
      <c r="AW66" s="1">
        <f t="shared" si="19"/>
        <v>1</v>
      </c>
      <c r="AX66" s="1">
        <f t="shared" si="20"/>
        <v>0</v>
      </c>
      <c r="AY66" s="1" t="s">
        <v>46</v>
      </c>
      <c r="BA66" s="1" t="s">
        <v>490</v>
      </c>
      <c r="BB66">
        <f t="shared" si="79"/>
        <v>1</v>
      </c>
      <c r="BC66">
        <f t="shared" si="79"/>
        <v>1</v>
      </c>
      <c r="BD66">
        <f t="shared" si="79"/>
        <v>1</v>
      </c>
      <c r="BE66">
        <f t="shared" si="79"/>
        <v>0</v>
      </c>
      <c r="BF66">
        <f t="shared" si="79"/>
        <v>1</v>
      </c>
      <c r="BG66">
        <f t="shared" si="79"/>
        <v>0</v>
      </c>
      <c r="BH66">
        <f t="shared" si="79"/>
        <v>1</v>
      </c>
      <c r="BI66">
        <f t="shared" si="79"/>
        <v>0</v>
      </c>
      <c r="BJ66">
        <f t="shared" si="79"/>
        <v>1</v>
      </c>
      <c r="BK66">
        <f t="shared" si="13"/>
        <v>6</v>
      </c>
      <c r="BM66" s="1" t="s">
        <v>187</v>
      </c>
      <c r="BN66" s="1" t="s">
        <v>337</v>
      </c>
      <c r="BO66">
        <f t="shared" si="80"/>
        <v>1</v>
      </c>
      <c r="BP66">
        <f t="shared" si="80"/>
        <v>1</v>
      </c>
      <c r="BQ66">
        <f t="shared" si="80"/>
        <v>0</v>
      </c>
      <c r="BR66">
        <f t="shared" si="80"/>
        <v>0</v>
      </c>
      <c r="BS66">
        <f t="shared" si="80"/>
        <v>0</v>
      </c>
      <c r="BT66">
        <f t="shared" si="80"/>
        <v>0</v>
      </c>
      <c r="BU66">
        <f t="shared" si="80"/>
        <v>0</v>
      </c>
      <c r="BW66" s="1" t="s">
        <v>217</v>
      </c>
      <c r="CB66" s="1" t="s">
        <v>45</v>
      </c>
      <c r="CF66" s="1" t="s">
        <v>384</v>
      </c>
      <c r="CG66" s="1" t="s">
        <v>385</v>
      </c>
      <c r="CH66" s="1" t="s">
        <v>517</v>
      </c>
      <c r="CL66" s="1" t="s">
        <v>174</v>
      </c>
      <c r="CX66" s="1" t="s">
        <v>447</v>
      </c>
      <c r="CZ66" s="1" t="s">
        <v>247</v>
      </c>
      <c r="DB66" s="1" t="s">
        <v>518</v>
      </c>
      <c r="DC66" s="1" t="s">
        <v>235</v>
      </c>
    </row>
    <row r="67" spans="1:107" x14ac:dyDescent="0.25">
      <c r="A67" s="1" t="b">
        <v>1</v>
      </c>
      <c r="B67" s="2">
        <v>46164.703483796293</v>
      </c>
      <c r="C67" s="1" t="s">
        <v>519</v>
      </c>
      <c r="D67" s="1" t="s">
        <v>335</v>
      </c>
      <c r="E67">
        <f t="shared" si="75"/>
        <v>1</v>
      </c>
      <c r="F67">
        <f t="shared" si="75"/>
        <v>0</v>
      </c>
      <c r="G67">
        <f t="shared" si="75"/>
        <v>0</v>
      </c>
      <c r="H67">
        <f t="shared" si="75"/>
        <v>0</v>
      </c>
      <c r="I67">
        <f t="shared" si="75"/>
        <v>30</v>
      </c>
      <c r="J67">
        <f t="shared" si="75"/>
        <v>0</v>
      </c>
      <c r="K67">
        <f t="shared" si="75"/>
        <v>0</v>
      </c>
      <c r="L67">
        <f t="shared" si="7"/>
        <v>30</v>
      </c>
      <c r="N67" s="1" t="s">
        <v>237</v>
      </c>
      <c r="O67" s="1"/>
      <c r="P67" s="1"/>
      <c r="Q67" s="1"/>
      <c r="R67" s="1"/>
      <c r="S67" s="1"/>
      <c r="T67" s="1"/>
      <c r="W67" s="1" t="str">
        <f t="shared" ref="W67:AA67" si="95">IF(W$1=$V67, "True", "False")</f>
        <v>False</v>
      </c>
      <c r="X67" s="1" t="str">
        <f t="shared" si="95"/>
        <v>False</v>
      </c>
      <c r="Y67" s="1" t="str">
        <f t="shared" si="95"/>
        <v>False</v>
      </c>
      <c r="Z67" s="1" t="str">
        <f t="shared" si="95"/>
        <v>False</v>
      </c>
      <c r="AA67" s="1" t="str">
        <f t="shared" si="95"/>
        <v>False</v>
      </c>
      <c r="AB67" s="1" t="s">
        <v>484</v>
      </c>
      <c r="AC67">
        <f t="shared" si="77"/>
        <v>0</v>
      </c>
      <c r="AD67">
        <f t="shared" si="77"/>
        <v>0</v>
      </c>
      <c r="AE67">
        <f t="shared" si="77"/>
        <v>0</v>
      </c>
      <c r="AF67">
        <f t="shared" si="77"/>
        <v>1</v>
      </c>
      <c r="AG67">
        <f t="shared" si="77"/>
        <v>0</v>
      </c>
      <c r="AH67">
        <f t="shared" si="77"/>
        <v>1</v>
      </c>
      <c r="AI67" s="1">
        <f t="shared" si="10"/>
        <v>2</v>
      </c>
      <c r="AK67" s="1" t="s">
        <v>310</v>
      </c>
      <c r="AL67">
        <f t="shared" si="78"/>
        <v>1</v>
      </c>
      <c r="AM67">
        <f t="shared" si="78"/>
        <v>1</v>
      </c>
      <c r="AN67">
        <f t="shared" si="78"/>
        <v>0</v>
      </c>
      <c r="AO67">
        <f t="shared" si="78"/>
        <v>1</v>
      </c>
      <c r="AP67">
        <f t="shared" si="78"/>
        <v>1</v>
      </c>
      <c r="AQ67">
        <f t="shared" si="78"/>
        <v>1</v>
      </c>
      <c r="AR67">
        <f t="shared" si="78"/>
        <v>0</v>
      </c>
      <c r="AS67">
        <f t="shared" si="78"/>
        <v>0</v>
      </c>
      <c r="AU67" s="1" t="s">
        <v>45</v>
      </c>
      <c r="AV67" s="1">
        <f t="shared" si="18"/>
        <v>1</v>
      </c>
      <c r="AW67" s="1">
        <f t="shared" si="19"/>
        <v>0</v>
      </c>
      <c r="AX67" s="1">
        <f t="shared" si="20"/>
        <v>0</v>
      </c>
      <c r="AY67" s="1" t="s">
        <v>46</v>
      </c>
      <c r="BA67" s="1" t="s">
        <v>520</v>
      </c>
      <c r="BB67">
        <f t="shared" si="79"/>
        <v>0</v>
      </c>
      <c r="BC67">
        <f t="shared" si="79"/>
        <v>1</v>
      </c>
      <c r="BD67">
        <f t="shared" si="79"/>
        <v>0</v>
      </c>
      <c r="BE67">
        <f t="shared" si="79"/>
        <v>0</v>
      </c>
      <c r="BF67">
        <f t="shared" si="79"/>
        <v>0</v>
      </c>
      <c r="BG67">
        <f t="shared" si="79"/>
        <v>0</v>
      </c>
      <c r="BH67">
        <f t="shared" si="79"/>
        <v>0</v>
      </c>
      <c r="BI67">
        <f t="shared" si="79"/>
        <v>0</v>
      </c>
      <c r="BJ67">
        <f t="shared" si="79"/>
        <v>1</v>
      </c>
      <c r="BK67">
        <f t="shared" si="13"/>
        <v>2</v>
      </c>
      <c r="BL67" s="1" t="s">
        <v>521</v>
      </c>
      <c r="BM67" s="1" t="s">
        <v>229</v>
      </c>
      <c r="BN67" s="1" t="s">
        <v>337</v>
      </c>
      <c r="BO67">
        <f t="shared" si="80"/>
        <v>1</v>
      </c>
      <c r="BP67">
        <f t="shared" si="80"/>
        <v>1</v>
      </c>
      <c r="BQ67">
        <f t="shared" si="80"/>
        <v>0</v>
      </c>
      <c r="BR67">
        <f t="shared" si="80"/>
        <v>0</v>
      </c>
      <c r="BS67">
        <f t="shared" si="80"/>
        <v>0</v>
      </c>
      <c r="BT67">
        <f t="shared" si="80"/>
        <v>0</v>
      </c>
      <c r="BU67">
        <f t="shared" si="80"/>
        <v>0</v>
      </c>
      <c r="CH67" s="1" t="s">
        <v>522</v>
      </c>
      <c r="CI67" s="1" t="s">
        <v>523</v>
      </c>
      <c r="CJ67" s="1" t="s">
        <v>431</v>
      </c>
      <c r="CL67" s="1" t="s">
        <v>524</v>
      </c>
      <c r="DC67" s="1" t="s">
        <v>235</v>
      </c>
    </row>
    <row r="68" spans="1:107" x14ac:dyDescent="0.25">
      <c r="A68" s="1" t="b">
        <v>1</v>
      </c>
      <c r="B68" s="2">
        <v>46164.703969907408</v>
      </c>
      <c r="C68" s="1" t="s">
        <v>525</v>
      </c>
      <c r="D68" s="1" t="s">
        <v>189</v>
      </c>
      <c r="E68">
        <f t="shared" ref="E68:K83" si="96">IF(ISNUMBER(SEARCH(E$1,$D68)), SEARCH(E$1,$D68), 0)</f>
        <v>1</v>
      </c>
      <c r="F68">
        <f t="shared" si="96"/>
        <v>30</v>
      </c>
      <c r="G68">
        <f t="shared" si="96"/>
        <v>0</v>
      </c>
      <c r="H68">
        <f t="shared" si="96"/>
        <v>0</v>
      </c>
      <c r="I68">
        <f t="shared" si="96"/>
        <v>0</v>
      </c>
      <c r="J68">
        <f t="shared" si="96"/>
        <v>0</v>
      </c>
      <c r="K68">
        <f t="shared" si="96"/>
        <v>105</v>
      </c>
      <c r="L68">
        <f t="shared" ref="L68:L131" si="97">(MAX(E68:K68))</f>
        <v>105</v>
      </c>
      <c r="N68" s="1" t="s">
        <v>184</v>
      </c>
      <c r="O68" s="1"/>
      <c r="P68" s="1"/>
      <c r="Q68" s="1"/>
      <c r="R68" s="1"/>
      <c r="S68" s="1"/>
      <c r="T68" s="1"/>
      <c r="V68" s="1" t="s">
        <v>25</v>
      </c>
      <c r="W68" s="1" t="str">
        <f t="shared" ref="W68:AA68" si="98">IF(W$1=$V68, "True", "False")</f>
        <v>False</v>
      </c>
      <c r="X68" s="1" t="str">
        <f t="shared" si="98"/>
        <v>False</v>
      </c>
      <c r="Y68" s="1" t="str">
        <f t="shared" si="98"/>
        <v>False</v>
      </c>
      <c r="Z68" s="1" t="str">
        <f t="shared" si="98"/>
        <v>False</v>
      </c>
      <c r="AA68" s="1" t="str">
        <f t="shared" si="98"/>
        <v>True</v>
      </c>
      <c r="AB68" s="1" t="s">
        <v>526</v>
      </c>
      <c r="AC68">
        <f t="shared" ref="AC68:AH83" si="99">IF(ISNUMBER(SEARCH(AC$1,$AB68)), 1, 0)</f>
        <v>1</v>
      </c>
      <c r="AD68">
        <f t="shared" si="99"/>
        <v>1</v>
      </c>
      <c r="AE68">
        <f t="shared" si="99"/>
        <v>0</v>
      </c>
      <c r="AF68">
        <f t="shared" si="99"/>
        <v>0</v>
      </c>
      <c r="AG68">
        <f t="shared" si="99"/>
        <v>1</v>
      </c>
      <c r="AH68">
        <f t="shared" si="99"/>
        <v>1</v>
      </c>
      <c r="AI68" s="1">
        <f t="shared" ref="AI68:AI131" si="100">SUM(AC68:AH68)</f>
        <v>4</v>
      </c>
      <c r="AK68" s="1" t="s">
        <v>489</v>
      </c>
      <c r="AL68">
        <f t="shared" ref="AL68:AS83" si="101">IF(ISNUMBER(SEARCH(AL$1,$AK68)), 1, 0)</f>
        <v>1</v>
      </c>
      <c r="AM68">
        <f t="shared" si="101"/>
        <v>1</v>
      </c>
      <c r="AN68">
        <f t="shared" si="101"/>
        <v>1</v>
      </c>
      <c r="AO68">
        <f t="shared" si="101"/>
        <v>1</v>
      </c>
      <c r="AP68">
        <f t="shared" si="101"/>
        <v>1</v>
      </c>
      <c r="AQ68">
        <f t="shared" si="101"/>
        <v>1</v>
      </c>
      <c r="AR68">
        <f t="shared" si="101"/>
        <v>1</v>
      </c>
      <c r="AS68">
        <f t="shared" si="101"/>
        <v>0</v>
      </c>
      <c r="AU68" s="1" t="s">
        <v>46</v>
      </c>
      <c r="AV68" s="1">
        <f t="shared" si="18"/>
        <v>0</v>
      </c>
      <c r="AW68" s="1">
        <f t="shared" si="19"/>
        <v>1</v>
      </c>
      <c r="AX68" s="1">
        <f t="shared" si="20"/>
        <v>0</v>
      </c>
      <c r="AY68" s="1" t="s">
        <v>46</v>
      </c>
      <c r="BA68" s="1" t="s">
        <v>527</v>
      </c>
      <c r="BB68">
        <f t="shared" ref="BB68:BJ83" si="102">IF(ISNUMBER(SEARCH(BB$1,$BA68)), 1, 0)</f>
        <v>1</v>
      </c>
      <c r="BC68">
        <f t="shared" si="102"/>
        <v>1</v>
      </c>
      <c r="BD68">
        <f t="shared" si="102"/>
        <v>1</v>
      </c>
      <c r="BE68">
        <f t="shared" si="102"/>
        <v>1</v>
      </c>
      <c r="BF68">
        <f t="shared" si="102"/>
        <v>1</v>
      </c>
      <c r="BG68">
        <f t="shared" si="102"/>
        <v>1</v>
      </c>
      <c r="BH68">
        <f t="shared" si="102"/>
        <v>0</v>
      </c>
      <c r="BI68">
        <f t="shared" si="102"/>
        <v>1</v>
      </c>
      <c r="BJ68">
        <f t="shared" si="102"/>
        <v>1</v>
      </c>
      <c r="BK68">
        <f t="shared" ref="BK68:BK131" si="103">SUM(BB68:BJ68)</f>
        <v>8</v>
      </c>
      <c r="BM68" s="1" t="s">
        <v>229</v>
      </c>
      <c r="BN68" s="1" t="s">
        <v>528</v>
      </c>
      <c r="BO68">
        <f t="shared" ref="BO68:BU83" si="104">IF(ISNUMBER(SEARCH(BO$1,$BN68)), 1, 0)</f>
        <v>1</v>
      </c>
      <c r="BP68">
        <f t="shared" si="104"/>
        <v>0</v>
      </c>
      <c r="BQ68">
        <f t="shared" si="104"/>
        <v>0</v>
      </c>
      <c r="BR68">
        <f t="shared" si="104"/>
        <v>1</v>
      </c>
      <c r="BS68">
        <f t="shared" si="104"/>
        <v>1</v>
      </c>
      <c r="BT68">
        <f t="shared" si="104"/>
        <v>1</v>
      </c>
      <c r="BU68">
        <f t="shared" si="104"/>
        <v>0</v>
      </c>
      <c r="BW68" s="1" t="s">
        <v>529</v>
      </c>
      <c r="BZ68" s="1" t="s">
        <v>530</v>
      </c>
      <c r="CM68" s="1" t="s">
        <v>45</v>
      </c>
      <c r="CQ68" s="1" t="s">
        <v>46</v>
      </c>
      <c r="CX68" s="1" t="s">
        <v>531</v>
      </c>
      <c r="CZ68" s="1" t="s">
        <v>211</v>
      </c>
      <c r="DC68" s="1" t="s">
        <v>177</v>
      </c>
    </row>
    <row r="69" spans="1:107" x14ac:dyDescent="0.25">
      <c r="A69" s="1" t="b">
        <v>1</v>
      </c>
      <c r="B69" s="2">
        <v>46164.705891203703</v>
      </c>
      <c r="C69" s="1" t="s">
        <v>532</v>
      </c>
      <c r="D69" s="1" t="s">
        <v>4</v>
      </c>
      <c r="E69">
        <f t="shared" si="96"/>
        <v>1</v>
      </c>
      <c r="F69">
        <f t="shared" si="96"/>
        <v>0</v>
      </c>
      <c r="G69">
        <f t="shared" si="96"/>
        <v>0</v>
      </c>
      <c r="H69">
        <f t="shared" si="96"/>
        <v>0</v>
      </c>
      <c r="I69">
        <f t="shared" si="96"/>
        <v>0</v>
      </c>
      <c r="J69">
        <f t="shared" si="96"/>
        <v>0</v>
      </c>
      <c r="K69">
        <f t="shared" si="96"/>
        <v>0</v>
      </c>
      <c r="L69">
        <f t="shared" si="97"/>
        <v>1</v>
      </c>
      <c r="N69" s="1" t="s">
        <v>13</v>
      </c>
      <c r="O69" s="1"/>
      <c r="P69" s="1"/>
      <c r="Q69" s="1"/>
      <c r="R69" s="1"/>
      <c r="S69" s="1"/>
      <c r="T69" s="1"/>
      <c r="W69" s="1" t="str">
        <f t="shared" ref="W69:AA69" si="105">IF(W$1=$V69, "True", "False")</f>
        <v>False</v>
      </c>
      <c r="X69" s="1" t="str">
        <f t="shared" si="105"/>
        <v>False</v>
      </c>
      <c r="Y69" s="1" t="str">
        <f t="shared" si="105"/>
        <v>False</v>
      </c>
      <c r="Z69" s="1" t="str">
        <f t="shared" si="105"/>
        <v>False</v>
      </c>
      <c r="AA69" s="1" t="str">
        <f t="shared" si="105"/>
        <v>False</v>
      </c>
      <c r="AB69" s="1" t="s">
        <v>32</v>
      </c>
      <c r="AC69">
        <f t="shared" si="99"/>
        <v>0</v>
      </c>
      <c r="AD69">
        <f t="shared" si="99"/>
        <v>0</v>
      </c>
      <c r="AE69">
        <f t="shared" si="99"/>
        <v>0</v>
      </c>
      <c r="AF69">
        <f t="shared" si="99"/>
        <v>0</v>
      </c>
      <c r="AG69">
        <f t="shared" si="99"/>
        <v>0</v>
      </c>
      <c r="AH69">
        <f t="shared" si="99"/>
        <v>1</v>
      </c>
      <c r="AI69" s="1">
        <f t="shared" si="100"/>
        <v>1</v>
      </c>
      <c r="AK69" s="1" t="s">
        <v>36</v>
      </c>
      <c r="AL69">
        <f t="shared" si="101"/>
        <v>0</v>
      </c>
      <c r="AM69">
        <f t="shared" si="101"/>
        <v>1</v>
      </c>
      <c r="AN69">
        <f t="shared" si="101"/>
        <v>0</v>
      </c>
      <c r="AO69">
        <f t="shared" si="101"/>
        <v>0</v>
      </c>
      <c r="AP69">
        <f t="shared" si="101"/>
        <v>0</v>
      </c>
      <c r="AQ69">
        <f t="shared" si="101"/>
        <v>0</v>
      </c>
      <c r="AR69">
        <f t="shared" si="101"/>
        <v>0</v>
      </c>
      <c r="AS69">
        <f t="shared" si="101"/>
        <v>0</v>
      </c>
      <c r="AU69" s="1" t="s">
        <v>45</v>
      </c>
      <c r="AV69" s="1">
        <f t="shared" si="18"/>
        <v>1</v>
      </c>
      <c r="AW69" s="1">
        <f t="shared" si="19"/>
        <v>0</v>
      </c>
      <c r="AX69" s="1">
        <f t="shared" si="20"/>
        <v>0</v>
      </c>
      <c r="AY69" s="1" t="s">
        <v>46</v>
      </c>
      <c r="BA69" s="1" t="s">
        <v>59</v>
      </c>
      <c r="BB69">
        <f t="shared" si="102"/>
        <v>0</v>
      </c>
      <c r="BC69">
        <f t="shared" si="102"/>
        <v>0</v>
      </c>
      <c r="BD69">
        <f t="shared" si="102"/>
        <v>0</v>
      </c>
      <c r="BE69">
        <f t="shared" si="102"/>
        <v>0</v>
      </c>
      <c r="BF69">
        <f t="shared" si="102"/>
        <v>0</v>
      </c>
      <c r="BG69">
        <f t="shared" si="102"/>
        <v>0</v>
      </c>
      <c r="BH69">
        <f t="shared" si="102"/>
        <v>0</v>
      </c>
      <c r="BI69">
        <f t="shared" si="102"/>
        <v>0</v>
      </c>
      <c r="BJ69">
        <f t="shared" si="102"/>
        <v>1</v>
      </c>
      <c r="BK69">
        <f t="shared" si="103"/>
        <v>1</v>
      </c>
      <c r="BM69" s="1" t="s">
        <v>187</v>
      </c>
      <c r="BN69" s="1" t="s">
        <v>69</v>
      </c>
      <c r="BO69">
        <f t="shared" si="104"/>
        <v>0</v>
      </c>
      <c r="BP69">
        <f t="shared" si="104"/>
        <v>0</v>
      </c>
      <c r="BQ69">
        <f t="shared" si="104"/>
        <v>0</v>
      </c>
      <c r="BR69">
        <f t="shared" si="104"/>
        <v>0</v>
      </c>
      <c r="BS69">
        <f t="shared" si="104"/>
        <v>0</v>
      </c>
      <c r="BT69">
        <f t="shared" si="104"/>
        <v>0</v>
      </c>
      <c r="BU69">
        <f t="shared" si="104"/>
        <v>1</v>
      </c>
      <c r="DC69" s="1" t="s">
        <v>177</v>
      </c>
    </row>
    <row r="70" spans="1:107" x14ac:dyDescent="0.25">
      <c r="A70" s="1" t="b">
        <v>1</v>
      </c>
      <c r="B70" s="2">
        <v>46164.725023148145</v>
      </c>
      <c r="C70" s="1" t="s">
        <v>533</v>
      </c>
      <c r="D70" s="1" t="s">
        <v>204</v>
      </c>
      <c r="E70">
        <f t="shared" si="96"/>
        <v>1</v>
      </c>
      <c r="F70">
        <f t="shared" si="96"/>
        <v>30</v>
      </c>
      <c r="G70">
        <f t="shared" si="96"/>
        <v>0</v>
      </c>
      <c r="H70">
        <f t="shared" si="96"/>
        <v>0</v>
      </c>
      <c r="I70">
        <f t="shared" si="96"/>
        <v>0</v>
      </c>
      <c r="J70">
        <f t="shared" si="96"/>
        <v>0</v>
      </c>
      <c r="K70">
        <f t="shared" si="96"/>
        <v>0</v>
      </c>
      <c r="L70">
        <f t="shared" si="97"/>
        <v>30</v>
      </c>
      <c r="N70" s="1" t="s">
        <v>303</v>
      </c>
      <c r="O70" s="1"/>
      <c r="P70" s="1"/>
      <c r="Q70" s="1"/>
      <c r="R70" s="1"/>
      <c r="S70" s="1"/>
      <c r="T70" s="1"/>
      <c r="V70" s="1" t="s">
        <v>25</v>
      </c>
      <c r="W70" s="1" t="str">
        <f t="shared" ref="W70:AA70" si="106">IF(W$1=$V70, "True", "False")</f>
        <v>False</v>
      </c>
      <c r="X70" s="1" t="str">
        <f t="shared" si="106"/>
        <v>False</v>
      </c>
      <c r="Y70" s="1" t="str">
        <f t="shared" si="106"/>
        <v>False</v>
      </c>
      <c r="Z70" s="1" t="str">
        <f t="shared" si="106"/>
        <v>False</v>
      </c>
      <c r="AA70" s="1" t="str">
        <f t="shared" si="106"/>
        <v>True</v>
      </c>
      <c r="AB70" s="1" t="s">
        <v>206</v>
      </c>
      <c r="AC70">
        <f t="shared" si="99"/>
        <v>1</v>
      </c>
      <c r="AD70">
        <f t="shared" si="99"/>
        <v>1</v>
      </c>
      <c r="AE70">
        <f t="shared" si="99"/>
        <v>0</v>
      </c>
      <c r="AF70">
        <f t="shared" si="99"/>
        <v>1</v>
      </c>
      <c r="AG70">
        <f t="shared" si="99"/>
        <v>1</v>
      </c>
      <c r="AH70">
        <f t="shared" si="99"/>
        <v>0</v>
      </c>
      <c r="AI70" s="1">
        <f t="shared" si="100"/>
        <v>4</v>
      </c>
      <c r="AK70" s="1" t="s">
        <v>467</v>
      </c>
      <c r="AL70">
        <f t="shared" si="101"/>
        <v>0</v>
      </c>
      <c r="AM70">
        <f t="shared" si="101"/>
        <v>1</v>
      </c>
      <c r="AN70">
        <f t="shared" si="101"/>
        <v>0</v>
      </c>
      <c r="AO70">
        <f t="shared" si="101"/>
        <v>1</v>
      </c>
      <c r="AP70">
        <f t="shared" si="101"/>
        <v>0</v>
      </c>
      <c r="AQ70">
        <f t="shared" si="101"/>
        <v>1</v>
      </c>
      <c r="AR70">
        <f t="shared" si="101"/>
        <v>0</v>
      </c>
      <c r="AS70">
        <f t="shared" si="101"/>
        <v>0</v>
      </c>
      <c r="AU70" s="1" t="s">
        <v>45</v>
      </c>
      <c r="AV70" s="1">
        <f t="shared" si="18"/>
        <v>1</v>
      </c>
      <c r="AW70" s="1">
        <f t="shared" si="19"/>
        <v>0</v>
      </c>
      <c r="AX70" s="1">
        <f t="shared" si="20"/>
        <v>0</v>
      </c>
      <c r="AY70" s="1" t="s">
        <v>46</v>
      </c>
      <c r="BA70" s="1" t="s">
        <v>534</v>
      </c>
      <c r="BB70">
        <f t="shared" si="102"/>
        <v>1</v>
      </c>
      <c r="BC70">
        <f t="shared" si="102"/>
        <v>0</v>
      </c>
      <c r="BD70">
        <f t="shared" si="102"/>
        <v>1</v>
      </c>
      <c r="BE70">
        <f t="shared" si="102"/>
        <v>1</v>
      </c>
      <c r="BF70">
        <f t="shared" si="102"/>
        <v>1</v>
      </c>
      <c r="BG70">
        <f t="shared" si="102"/>
        <v>1</v>
      </c>
      <c r="BH70">
        <f t="shared" si="102"/>
        <v>0</v>
      </c>
      <c r="BI70">
        <f t="shared" si="102"/>
        <v>0</v>
      </c>
      <c r="BJ70">
        <f t="shared" si="102"/>
        <v>0</v>
      </c>
      <c r="BK70">
        <f t="shared" si="103"/>
        <v>5</v>
      </c>
      <c r="BM70" s="1" t="s">
        <v>163</v>
      </c>
      <c r="BN70" s="1" t="s">
        <v>535</v>
      </c>
      <c r="BO70">
        <f t="shared" si="104"/>
        <v>1</v>
      </c>
      <c r="BP70">
        <f t="shared" si="104"/>
        <v>0</v>
      </c>
      <c r="BQ70">
        <f t="shared" si="104"/>
        <v>1</v>
      </c>
      <c r="BR70">
        <f t="shared" si="104"/>
        <v>0</v>
      </c>
      <c r="BS70">
        <f t="shared" si="104"/>
        <v>0</v>
      </c>
      <c r="BT70">
        <f t="shared" si="104"/>
        <v>0</v>
      </c>
      <c r="BU70">
        <f t="shared" si="104"/>
        <v>0</v>
      </c>
      <c r="BV70" s="1" t="s">
        <v>536</v>
      </c>
      <c r="CX70" s="1" t="s">
        <v>537</v>
      </c>
      <c r="CZ70" s="1" t="s">
        <v>247</v>
      </c>
      <c r="DB70" s="1" t="s">
        <v>538</v>
      </c>
    </row>
    <row r="71" spans="1:107" x14ac:dyDescent="0.25">
      <c r="A71" s="1" t="b">
        <v>1</v>
      </c>
      <c r="B71" s="2">
        <v>46164.733113425929</v>
      </c>
      <c r="C71" s="1" t="s">
        <v>539</v>
      </c>
      <c r="D71" s="1" t="s">
        <v>4</v>
      </c>
      <c r="E71">
        <f t="shared" si="96"/>
        <v>1</v>
      </c>
      <c r="F71">
        <f t="shared" si="96"/>
        <v>0</v>
      </c>
      <c r="G71">
        <f t="shared" si="96"/>
        <v>0</v>
      </c>
      <c r="H71">
        <f t="shared" si="96"/>
        <v>0</v>
      </c>
      <c r="I71">
        <f t="shared" si="96"/>
        <v>0</v>
      </c>
      <c r="J71">
        <f t="shared" si="96"/>
        <v>0</v>
      </c>
      <c r="K71">
        <f t="shared" si="96"/>
        <v>0</v>
      </c>
      <c r="L71">
        <f t="shared" si="97"/>
        <v>1</v>
      </c>
      <c r="N71" s="1" t="s">
        <v>466</v>
      </c>
      <c r="O71" s="1"/>
      <c r="P71" s="1"/>
      <c r="Q71" s="1"/>
      <c r="R71" s="1"/>
      <c r="S71" s="1"/>
      <c r="T71" s="1"/>
      <c r="V71" s="1" t="s">
        <v>23</v>
      </c>
      <c r="W71" s="1" t="str">
        <f t="shared" ref="W71:AA71" si="107">IF(W$1=$V71, "True", "False")</f>
        <v>False</v>
      </c>
      <c r="X71" s="1" t="str">
        <f t="shared" si="107"/>
        <v>False</v>
      </c>
      <c r="Y71" s="1" t="str">
        <f t="shared" si="107"/>
        <v>True</v>
      </c>
      <c r="Z71" s="1" t="str">
        <f t="shared" si="107"/>
        <v>False</v>
      </c>
      <c r="AA71" s="1" t="str">
        <f t="shared" si="107"/>
        <v>False</v>
      </c>
      <c r="AB71" s="1" t="s">
        <v>242</v>
      </c>
      <c r="AC71">
        <f t="shared" si="99"/>
        <v>1</v>
      </c>
      <c r="AD71">
        <f t="shared" si="99"/>
        <v>0</v>
      </c>
      <c r="AE71">
        <f t="shared" si="99"/>
        <v>0</v>
      </c>
      <c r="AF71">
        <f t="shared" si="99"/>
        <v>1</v>
      </c>
      <c r="AG71">
        <f t="shared" si="99"/>
        <v>0</v>
      </c>
      <c r="AH71">
        <f t="shared" si="99"/>
        <v>0</v>
      </c>
      <c r="AI71" s="1">
        <f t="shared" si="100"/>
        <v>2</v>
      </c>
      <c r="AK71" s="1" t="s">
        <v>40</v>
      </c>
      <c r="AL71">
        <f t="shared" si="101"/>
        <v>0</v>
      </c>
      <c r="AM71">
        <f t="shared" si="101"/>
        <v>0</v>
      </c>
      <c r="AN71">
        <f t="shared" si="101"/>
        <v>0</v>
      </c>
      <c r="AO71">
        <f t="shared" si="101"/>
        <v>0</v>
      </c>
      <c r="AP71">
        <f t="shared" si="101"/>
        <v>0</v>
      </c>
      <c r="AQ71">
        <f t="shared" si="101"/>
        <v>1</v>
      </c>
      <c r="AR71">
        <f t="shared" si="101"/>
        <v>0</v>
      </c>
      <c r="AS71">
        <f t="shared" si="101"/>
        <v>0</v>
      </c>
      <c r="AU71" s="1" t="s">
        <v>45</v>
      </c>
      <c r="AV71" s="1">
        <f t="shared" ref="AV71:AV134" si="108">IF($AU71="No",1,0)</f>
        <v>1</v>
      </c>
      <c r="AW71" s="1">
        <f t="shared" ref="AW71:AW134" si="109">IF($AU71="Yes",1,0)</f>
        <v>0</v>
      </c>
      <c r="AX71" s="1">
        <f t="shared" ref="AX71:AX134" si="110">IF($AU71="Unsure",1,0)</f>
        <v>0</v>
      </c>
      <c r="AY71" s="1" t="s">
        <v>46</v>
      </c>
      <c r="BA71" s="1" t="s">
        <v>222</v>
      </c>
      <c r="BB71">
        <f t="shared" si="102"/>
        <v>0</v>
      </c>
      <c r="BC71">
        <f t="shared" si="102"/>
        <v>0</v>
      </c>
      <c r="BD71">
        <f t="shared" si="102"/>
        <v>0</v>
      </c>
      <c r="BE71">
        <f t="shared" si="102"/>
        <v>1</v>
      </c>
      <c r="BF71">
        <f t="shared" si="102"/>
        <v>0</v>
      </c>
      <c r="BG71">
        <f t="shared" si="102"/>
        <v>0</v>
      </c>
      <c r="BH71">
        <f t="shared" si="102"/>
        <v>0</v>
      </c>
      <c r="BI71">
        <f t="shared" si="102"/>
        <v>0</v>
      </c>
      <c r="BJ71">
        <f t="shared" si="102"/>
        <v>1</v>
      </c>
      <c r="BK71">
        <f t="shared" si="103"/>
        <v>2</v>
      </c>
      <c r="BM71" s="1" t="s">
        <v>187</v>
      </c>
      <c r="BN71" s="1" t="s">
        <v>369</v>
      </c>
      <c r="BO71">
        <f t="shared" si="104"/>
        <v>0</v>
      </c>
      <c r="BP71">
        <f t="shared" si="104"/>
        <v>0</v>
      </c>
      <c r="BQ71">
        <f t="shared" si="104"/>
        <v>0</v>
      </c>
      <c r="BR71">
        <f t="shared" si="104"/>
        <v>0</v>
      </c>
      <c r="BS71">
        <f t="shared" si="104"/>
        <v>0</v>
      </c>
      <c r="BT71">
        <f t="shared" si="104"/>
        <v>1</v>
      </c>
      <c r="BU71">
        <f t="shared" si="104"/>
        <v>1</v>
      </c>
      <c r="DC71" s="1" t="s">
        <v>177</v>
      </c>
    </row>
    <row r="72" spans="1:107" x14ac:dyDescent="0.25">
      <c r="A72" s="1" t="b">
        <v>1</v>
      </c>
      <c r="B72" s="2">
        <v>46164.742569444446</v>
      </c>
      <c r="C72" s="1" t="s">
        <v>540</v>
      </c>
      <c r="D72" s="1" t="s">
        <v>541</v>
      </c>
      <c r="E72">
        <f t="shared" si="96"/>
        <v>1</v>
      </c>
      <c r="F72">
        <f t="shared" si="96"/>
        <v>30</v>
      </c>
      <c r="G72">
        <f t="shared" si="96"/>
        <v>0</v>
      </c>
      <c r="H72">
        <f t="shared" si="96"/>
        <v>0</v>
      </c>
      <c r="I72">
        <f t="shared" si="96"/>
        <v>105</v>
      </c>
      <c r="J72">
        <f t="shared" si="96"/>
        <v>0</v>
      </c>
      <c r="K72">
        <f t="shared" si="96"/>
        <v>137</v>
      </c>
      <c r="L72">
        <f t="shared" si="97"/>
        <v>137</v>
      </c>
      <c r="N72" s="1" t="s">
        <v>184</v>
      </c>
      <c r="O72" s="1"/>
      <c r="P72" s="1"/>
      <c r="Q72" s="1"/>
      <c r="R72" s="1"/>
      <c r="S72" s="1"/>
      <c r="T72" s="1"/>
      <c r="W72" s="1" t="str">
        <f t="shared" ref="W72:AA72" si="111">IF(W$1=$V72, "True", "False")</f>
        <v>False</v>
      </c>
      <c r="X72" s="1" t="str">
        <f t="shared" si="111"/>
        <v>False</v>
      </c>
      <c r="Y72" s="1" t="str">
        <f t="shared" si="111"/>
        <v>False</v>
      </c>
      <c r="Z72" s="1" t="str">
        <f t="shared" si="111"/>
        <v>False</v>
      </c>
      <c r="AA72" s="1" t="str">
        <f t="shared" si="111"/>
        <v>False</v>
      </c>
      <c r="AB72" s="1" t="s">
        <v>28</v>
      </c>
      <c r="AC72">
        <f t="shared" si="99"/>
        <v>0</v>
      </c>
      <c r="AD72">
        <f t="shared" si="99"/>
        <v>1</v>
      </c>
      <c r="AE72">
        <f t="shared" si="99"/>
        <v>0</v>
      </c>
      <c r="AF72">
        <f t="shared" si="99"/>
        <v>0</v>
      </c>
      <c r="AG72">
        <f t="shared" si="99"/>
        <v>0</v>
      </c>
      <c r="AH72">
        <f t="shared" si="99"/>
        <v>0</v>
      </c>
      <c r="AI72" s="1">
        <f t="shared" si="100"/>
        <v>1</v>
      </c>
      <c r="AK72" s="1" t="s">
        <v>503</v>
      </c>
      <c r="AL72">
        <f t="shared" si="101"/>
        <v>1</v>
      </c>
      <c r="AM72">
        <f t="shared" si="101"/>
        <v>1</v>
      </c>
      <c r="AN72">
        <f t="shared" si="101"/>
        <v>0</v>
      </c>
      <c r="AO72">
        <f t="shared" si="101"/>
        <v>0</v>
      </c>
      <c r="AP72">
        <f t="shared" si="101"/>
        <v>0</v>
      </c>
      <c r="AQ72">
        <f t="shared" si="101"/>
        <v>0</v>
      </c>
      <c r="AR72">
        <f t="shared" si="101"/>
        <v>0</v>
      </c>
      <c r="AS72">
        <f t="shared" si="101"/>
        <v>0</v>
      </c>
      <c r="AU72" s="1" t="s">
        <v>46</v>
      </c>
      <c r="AV72" s="1">
        <f t="shared" si="108"/>
        <v>0</v>
      </c>
      <c r="AW72" s="1">
        <f t="shared" si="109"/>
        <v>1</v>
      </c>
      <c r="AX72" s="1">
        <f t="shared" si="110"/>
        <v>0</v>
      </c>
      <c r="AY72" s="1" t="s">
        <v>46</v>
      </c>
      <c r="BA72" s="1" t="s">
        <v>542</v>
      </c>
      <c r="BB72">
        <f t="shared" si="102"/>
        <v>1</v>
      </c>
      <c r="BC72">
        <f t="shared" si="102"/>
        <v>0</v>
      </c>
      <c r="BD72">
        <f t="shared" si="102"/>
        <v>1</v>
      </c>
      <c r="BE72">
        <f t="shared" si="102"/>
        <v>0</v>
      </c>
      <c r="BF72">
        <f t="shared" si="102"/>
        <v>1</v>
      </c>
      <c r="BG72">
        <f t="shared" si="102"/>
        <v>0</v>
      </c>
      <c r="BH72">
        <f t="shared" si="102"/>
        <v>0</v>
      </c>
      <c r="BI72">
        <f t="shared" si="102"/>
        <v>0</v>
      </c>
      <c r="BJ72">
        <f t="shared" si="102"/>
        <v>1</v>
      </c>
      <c r="BK72">
        <f t="shared" si="103"/>
        <v>4</v>
      </c>
      <c r="BM72" s="1" t="s">
        <v>229</v>
      </c>
      <c r="BN72" s="1" t="s">
        <v>543</v>
      </c>
      <c r="BO72">
        <f t="shared" si="104"/>
        <v>0</v>
      </c>
      <c r="BP72">
        <f t="shared" si="104"/>
        <v>0</v>
      </c>
      <c r="BQ72">
        <f t="shared" si="104"/>
        <v>0</v>
      </c>
      <c r="BR72">
        <f t="shared" si="104"/>
        <v>0</v>
      </c>
      <c r="BS72">
        <f t="shared" si="104"/>
        <v>1</v>
      </c>
      <c r="BT72">
        <f t="shared" si="104"/>
        <v>0</v>
      </c>
      <c r="BU72">
        <f t="shared" si="104"/>
        <v>1</v>
      </c>
      <c r="BW72" s="1" t="s">
        <v>544</v>
      </c>
      <c r="BZ72" s="1" t="s">
        <v>545</v>
      </c>
      <c r="CH72" s="1" t="s">
        <v>517</v>
      </c>
      <c r="CJ72" s="1" t="s">
        <v>546</v>
      </c>
      <c r="CL72" s="1" t="s">
        <v>174</v>
      </c>
      <c r="CM72" s="1" t="s">
        <v>47</v>
      </c>
      <c r="CX72" s="1" t="s">
        <v>547</v>
      </c>
      <c r="CZ72" s="1" t="s">
        <v>175</v>
      </c>
      <c r="DC72" s="1" t="s">
        <v>177</v>
      </c>
    </row>
    <row r="73" spans="1:107" x14ac:dyDescent="0.25">
      <c r="A73" s="1" t="b">
        <v>1</v>
      </c>
      <c r="B73" s="2">
        <v>46164.790023148147</v>
      </c>
      <c r="C73" s="1" t="s">
        <v>548</v>
      </c>
      <c r="D73" s="1" t="s">
        <v>204</v>
      </c>
      <c r="E73">
        <f t="shared" si="96"/>
        <v>1</v>
      </c>
      <c r="F73">
        <f t="shared" si="96"/>
        <v>30</v>
      </c>
      <c r="G73">
        <f t="shared" si="96"/>
        <v>0</v>
      </c>
      <c r="H73">
        <f t="shared" si="96"/>
        <v>0</v>
      </c>
      <c r="I73">
        <f t="shared" si="96"/>
        <v>0</v>
      </c>
      <c r="J73">
        <f t="shared" si="96"/>
        <v>0</v>
      </c>
      <c r="K73">
        <f t="shared" si="96"/>
        <v>0</v>
      </c>
      <c r="L73">
        <f t="shared" si="97"/>
        <v>30</v>
      </c>
      <c r="N73" s="1" t="s">
        <v>269</v>
      </c>
      <c r="O73" s="1"/>
      <c r="P73" s="1"/>
      <c r="Q73" s="1"/>
      <c r="R73" s="1"/>
      <c r="S73" s="1"/>
      <c r="T73" s="1"/>
      <c r="W73" s="1" t="str">
        <f t="shared" ref="W73:AA73" si="112">IF(W$1=$V73, "True", "False")</f>
        <v>False</v>
      </c>
      <c r="X73" s="1" t="str">
        <f t="shared" si="112"/>
        <v>False</v>
      </c>
      <c r="Y73" s="1" t="str">
        <f t="shared" si="112"/>
        <v>False</v>
      </c>
      <c r="Z73" s="1" t="str">
        <f t="shared" si="112"/>
        <v>False</v>
      </c>
      <c r="AA73" s="1" t="str">
        <f t="shared" si="112"/>
        <v>False</v>
      </c>
      <c r="AB73" s="1" t="s">
        <v>549</v>
      </c>
      <c r="AC73">
        <f t="shared" si="99"/>
        <v>1</v>
      </c>
      <c r="AD73">
        <f t="shared" si="99"/>
        <v>1</v>
      </c>
      <c r="AE73">
        <f t="shared" si="99"/>
        <v>1</v>
      </c>
      <c r="AF73">
        <f t="shared" si="99"/>
        <v>0</v>
      </c>
      <c r="AG73">
        <f t="shared" si="99"/>
        <v>0</v>
      </c>
      <c r="AH73">
        <f t="shared" si="99"/>
        <v>1</v>
      </c>
      <c r="AI73" s="1">
        <f t="shared" si="100"/>
        <v>4</v>
      </c>
      <c r="AK73" s="1" t="s">
        <v>550</v>
      </c>
      <c r="AL73">
        <f t="shared" si="101"/>
        <v>1</v>
      </c>
      <c r="AM73">
        <f t="shared" si="101"/>
        <v>1</v>
      </c>
      <c r="AN73">
        <f t="shared" si="101"/>
        <v>1</v>
      </c>
      <c r="AO73">
        <f t="shared" si="101"/>
        <v>1</v>
      </c>
      <c r="AP73">
        <f t="shared" si="101"/>
        <v>0</v>
      </c>
      <c r="AQ73">
        <f t="shared" si="101"/>
        <v>1</v>
      </c>
      <c r="AR73">
        <f t="shared" si="101"/>
        <v>1</v>
      </c>
      <c r="AS73">
        <f t="shared" si="101"/>
        <v>0</v>
      </c>
      <c r="AU73" s="1" t="s">
        <v>45</v>
      </c>
      <c r="AV73" s="1">
        <f t="shared" si="108"/>
        <v>1</v>
      </c>
      <c r="AW73" s="1">
        <f t="shared" si="109"/>
        <v>0</v>
      </c>
      <c r="AX73" s="1">
        <f t="shared" si="110"/>
        <v>0</v>
      </c>
      <c r="AY73" s="1" t="s">
        <v>46</v>
      </c>
      <c r="BA73" s="1" t="s">
        <v>551</v>
      </c>
      <c r="BB73">
        <f t="shared" si="102"/>
        <v>0</v>
      </c>
      <c r="BC73">
        <f t="shared" si="102"/>
        <v>1</v>
      </c>
      <c r="BD73">
        <f t="shared" si="102"/>
        <v>1</v>
      </c>
      <c r="BE73">
        <f t="shared" si="102"/>
        <v>1</v>
      </c>
      <c r="BF73">
        <f t="shared" si="102"/>
        <v>1</v>
      </c>
      <c r="BG73">
        <f t="shared" si="102"/>
        <v>1</v>
      </c>
      <c r="BH73">
        <f t="shared" si="102"/>
        <v>0</v>
      </c>
      <c r="BI73">
        <f t="shared" si="102"/>
        <v>0</v>
      </c>
      <c r="BJ73">
        <f t="shared" si="102"/>
        <v>0</v>
      </c>
      <c r="BK73">
        <f t="shared" si="103"/>
        <v>5</v>
      </c>
      <c r="BM73" s="1" t="s">
        <v>187</v>
      </c>
      <c r="BN73" s="1" t="s">
        <v>69</v>
      </c>
      <c r="BO73">
        <f t="shared" si="104"/>
        <v>0</v>
      </c>
      <c r="BP73">
        <f t="shared" si="104"/>
        <v>0</v>
      </c>
      <c r="BQ73">
        <f t="shared" si="104"/>
        <v>0</v>
      </c>
      <c r="BR73">
        <f t="shared" si="104"/>
        <v>0</v>
      </c>
      <c r="BS73">
        <f t="shared" si="104"/>
        <v>0</v>
      </c>
      <c r="BT73">
        <f t="shared" si="104"/>
        <v>0</v>
      </c>
      <c r="BU73">
        <f t="shared" si="104"/>
        <v>1</v>
      </c>
      <c r="CX73" s="1" t="s">
        <v>552</v>
      </c>
      <c r="CZ73" s="1" t="s">
        <v>175</v>
      </c>
      <c r="DC73" s="1" t="s">
        <v>235</v>
      </c>
    </row>
    <row r="74" spans="1:107" x14ac:dyDescent="0.25">
      <c r="A74" s="1" t="b">
        <v>1</v>
      </c>
      <c r="B74" s="2">
        <v>46164.808206018519</v>
      </c>
      <c r="C74" s="1" t="s">
        <v>553</v>
      </c>
      <c r="D74" s="1" t="s">
        <v>4</v>
      </c>
      <c r="E74">
        <f t="shared" si="96"/>
        <v>1</v>
      </c>
      <c r="F74">
        <f t="shared" si="96"/>
        <v>0</v>
      </c>
      <c r="G74">
        <f t="shared" si="96"/>
        <v>0</v>
      </c>
      <c r="H74">
        <f t="shared" si="96"/>
        <v>0</v>
      </c>
      <c r="I74">
        <f t="shared" si="96"/>
        <v>0</v>
      </c>
      <c r="J74">
        <f t="shared" si="96"/>
        <v>0</v>
      </c>
      <c r="K74">
        <f t="shared" si="96"/>
        <v>0</v>
      </c>
      <c r="L74">
        <f t="shared" si="97"/>
        <v>1</v>
      </c>
      <c r="N74" s="1" t="s">
        <v>291</v>
      </c>
      <c r="O74" s="1"/>
      <c r="P74" s="1"/>
      <c r="Q74" s="1"/>
      <c r="R74" s="1"/>
      <c r="S74" s="1"/>
      <c r="T74" s="1"/>
      <c r="V74" s="1" t="s">
        <v>23</v>
      </c>
      <c r="W74" s="1" t="str">
        <f t="shared" ref="W74:AA74" si="113">IF(W$1=$V74, "True", "False")</f>
        <v>False</v>
      </c>
      <c r="X74" s="1" t="str">
        <f t="shared" si="113"/>
        <v>False</v>
      </c>
      <c r="Y74" s="1" t="str">
        <f t="shared" si="113"/>
        <v>True</v>
      </c>
      <c r="Z74" s="1" t="str">
        <f t="shared" si="113"/>
        <v>False</v>
      </c>
      <c r="AA74" s="1" t="str">
        <f t="shared" si="113"/>
        <v>False</v>
      </c>
      <c r="AB74" s="1" t="s">
        <v>242</v>
      </c>
      <c r="AC74">
        <f t="shared" si="99"/>
        <v>1</v>
      </c>
      <c r="AD74">
        <f t="shared" si="99"/>
        <v>0</v>
      </c>
      <c r="AE74">
        <f t="shared" si="99"/>
        <v>0</v>
      </c>
      <c r="AF74">
        <f t="shared" si="99"/>
        <v>1</v>
      </c>
      <c r="AG74">
        <f t="shared" si="99"/>
        <v>0</v>
      </c>
      <c r="AH74">
        <f t="shared" si="99"/>
        <v>0</v>
      </c>
      <c r="AI74" s="1">
        <f t="shared" si="100"/>
        <v>2</v>
      </c>
      <c r="AK74" s="1" t="s">
        <v>467</v>
      </c>
      <c r="AL74">
        <f t="shared" si="101"/>
        <v>0</v>
      </c>
      <c r="AM74">
        <f t="shared" si="101"/>
        <v>1</v>
      </c>
      <c r="AN74">
        <f t="shared" si="101"/>
        <v>0</v>
      </c>
      <c r="AO74">
        <f t="shared" si="101"/>
        <v>1</v>
      </c>
      <c r="AP74">
        <f t="shared" si="101"/>
        <v>0</v>
      </c>
      <c r="AQ74">
        <f t="shared" si="101"/>
        <v>1</v>
      </c>
      <c r="AR74">
        <f t="shared" si="101"/>
        <v>0</v>
      </c>
      <c r="AS74">
        <f t="shared" si="101"/>
        <v>0</v>
      </c>
      <c r="AU74" s="1" t="s">
        <v>46</v>
      </c>
      <c r="AV74" s="1">
        <f t="shared" si="108"/>
        <v>0</v>
      </c>
      <c r="AW74" s="1">
        <f t="shared" si="109"/>
        <v>1</v>
      </c>
      <c r="AX74" s="1">
        <f t="shared" si="110"/>
        <v>0</v>
      </c>
      <c r="AY74" s="1" t="s">
        <v>46</v>
      </c>
      <c r="BA74" s="1" t="s">
        <v>451</v>
      </c>
      <c r="BB74">
        <f t="shared" si="102"/>
        <v>0</v>
      </c>
      <c r="BC74">
        <f t="shared" si="102"/>
        <v>0</v>
      </c>
      <c r="BD74">
        <f t="shared" si="102"/>
        <v>1</v>
      </c>
      <c r="BE74">
        <f t="shared" si="102"/>
        <v>0</v>
      </c>
      <c r="BF74">
        <f t="shared" si="102"/>
        <v>1</v>
      </c>
      <c r="BG74">
        <f t="shared" si="102"/>
        <v>0</v>
      </c>
      <c r="BH74">
        <f t="shared" si="102"/>
        <v>0</v>
      </c>
      <c r="BI74">
        <f t="shared" si="102"/>
        <v>0</v>
      </c>
      <c r="BJ74">
        <f t="shared" si="102"/>
        <v>1</v>
      </c>
      <c r="BK74">
        <f t="shared" si="103"/>
        <v>3</v>
      </c>
      <c r="BM74" s="1" t="s">
        <v>229</v>
      </c>
      <c r="BN74" s="1" t="s">
        <v>554</v>
      </c>
      <c r="BO74">
        <f t="shared" si="104"/>
        <v>0</v>
      </c>
      <c r="BP74">
        <f t="shared" si="104"/>
        <v>0</v>
      </c>
      <c r="BQ74">
        <f t="shared" si="104"/>
        <v>0</v>
      </c>
      <c r="BR74">
        <f t="shared" si="104"/>
        <v>1</v>
      </c>
      <c r="BS74">
        <f t="shared" si="104"/>
        <v>1</v>
      </c>
      <c r="BT74">
        <f t="shared" si="104"/>
        <v>0</v>
      </c>
      <c r="BU74">
        <f t="shared" si="104"/>
        <v>0</v>
      </c>
      <c r="BW74" s="1" t="s">
        <v>544</v>
      </c>
      <c r="BY74" s="1" t="s">
        <v>555</v>
      </c>
      <c r="BZ74" s="1" t="s">
        <v>513</v>
      </c>
      <c r="DC74" s="1" t="s">
        <v>177</v>
      </c>
    </row>
    <row r="75" spans="1:107" x14ac:dyDescent="0.25">
      <c r="A75" s="1" t="b">
        <v>1</v>
      </c>
      <c r="B75" s="2">
        <v>46164.850706018522</v>
      </c>
      <c r="C75" s="1" t="s">
        <v>556</v>
      </c>
      <c r="D75" s="1" t="s">
        <v>204</v>
      </c>
      <c r="E75">
        <f t="shared" si="96"/>
        <v>1</v>
      </c>
      <c r="F75">
        <f t="shared" si="96"/>
        <v>30</v>
      </c>
      <c r="G75">
        <f t="shared" si="96"/>
        <v>0</v>
      </c>
      <c r="H75">
        <f t="shared" si="96"/>
        <v>0</v>
      </c>
      <c r="I75">
        <f t="shared" si="96"/>
        <v>0</v>
      </c>
      <c r="J75">
        <f t="shared" si="96"/>
        <v>0</v>
      </c>
      <c r="K75">
        <f t="shared" si="96"/>
        <v>0</v>
      </c>
      <c r="L75">
        <f t="shared" si="97"/>
        <v>30</v>
      </c>
      <c r="N75" s="1" t="s">
        <v>382</v>
      </c>
      <c r="O75" s="1"/>
      <c r="P75" s="1"/>
      <c r="Q75" s="1"/>
      <c r="R75" s="1"/>
      <c r="S75" s="1"/>
      <c r="T75" s="1"/>
      <c r="V75" s="1" t="s">
        <v>24</v>
      </c>
      <c r="W75" s="1" t="str">
        <f t="shared" ref="W75:AA75" si="114">IF(W$1=$V75, "True", "False")</f>
        <v>False</v>
      </c>
      <c r="X75" s="1" t="str">
        <f t="shared" si="114"/>
        <v>False</v>
      </c>
      <c r="Y75" s="1" t="str">
        <f t="shared" si="114"/>
        <v>False</v>
      </c>
      <c r="Z75" s="1" t="str">
        <f t="shared" si="114"/>
        <v>True</v>
      </c>
      <c r="AA75" s="1" t="str">
        <f t="shared" si="114"/>
        <v>False</v>
      </c>
      <c r="AB75" s="1" t="s">
        <v>557</v>
      </c>
      <c r="AC75">
        <f t="shared" si="99"/>
        <v>1</v>
      </c>
      <c r="AD75">
        <f t="shared" si="99"/>
        <v>0</v>
      </c>
      <c r="AE75">
        <f t="shared" si="99"/>
        <v>1</v>
      </c>
      <c r="AF75">
        <f t="shared" si="99"/>
        <v>0</v>
      </c>
      <c r="AG75">
        <f t="shared" si="99"/>
        <v>0</v>
      </c>
      <c r="AH75">
        <f t="shared" si="99"/>
        <v>1</v>
      </c>
      <c r="AI75" s="1">
        <f t="shared" si="100"/>
        <v>3</v>
      </c>
      <c r="AK75" s="1" t="s">
        <v>221</v>
      </c>
      <c r="AL75">
        <f t="shared" si="101"/>
        <v>1</v>
      </c>
      <c r="AM75">
        <f t="shared" si="101"/>
        <v>0</v>
      </c>
      <c r="AN75">
        <f t="shared" si="101"/>
        <v>1</v>
      </c>
      <c r="AO75">
        <f t="shared" si="101"/>
        <v>0</v>
      </c>
      <c r="AP75">
        <f t="shared" si="101"/>
        <v>0</v>
      </c>
      <c r="AQ75">
        <f t="shared" si="101"/>
        <v>1</v>
      </c>
      <c r="AR75">
        <f t="shared" si="101"/>
        <v>0</v>
      </c>
      <c r="AS75">
        <f t="shared" si="101"/>
        <v>0</v>
      </c>
      <c r="AU75" s="1" t="s">
        <v>45</v>
      </c>
      <c r="AV75" s="1">
        <f t="shared" si="108"/>
        <v>1</v>
      </c>
      <c r="AW75" s="1">
        <f t="shared" si="109"/>
        <v>0</v>
      </c>
      <c r="AX75" s="1">
        <f t="shared" si="110"/>
        <v>0</v>
      </c>
      <c r="AY75" s="1" t="s">
        <v>46</v>
      </c>
      <c r="BA75" s="1" t="s">
        <v>228</v>
      </c>
      <c r="BB75">
        <f t="shared" si="102"/>
        <v>1</v>
      </c>
      <c r="BC75">
        <f t="shared" si="102"/>
        <v>1</v>
      </c>
      <c r="BD75">
        <f t="shared" si="102"/>
        <v>1</v>
      </c>
      <c r="BE75">
        <f t="shared" si="102"/>
        <v>1</v>
      </c>
      <c r="BF75">
        <f t="shared" si="102"/>
        <v>1</v>
      </c>
      <c r="BG75">
        <f t="shared" si="102"/>
        <v>1</v>
      </c>
      <c r="BH75">
        <f t="shared" si="102"/>
        <v>0</v>
      </c>
      <c r="BI75">
        <f t="shared" si="102"/>
        <v>0</v>
      </c>
      <c r="BJ75">
        <f t="shared" si="102"/>
        <v>1</v>
      </c>
      <c r="BK75">
        <f t="shared" si="103"/>
        <v>7</v>
      </c>
      <c r="BM75" s="1" t="s">
        <v>163</v>
      </c>
      <c r="BN75" s="1" t="s">
        <v>498</v>
      </c>
      <c r="BO75">
        <f t="shared" si="104"/>
        <v>1</v>
      </c>
      <c r="BP75">
        <f t="shared" si="104"/>
        <v>1</v>
      </c>
      <c r="BQ75">
        <f t="shared" si="104"/>
        <v>1</v>
      </c>
      <c r="BR75">
        <f t="shared" si="104"/>
        <v>1</v>
      </c>
      <c r="BS75">
        <f t="shared" si="104"/>
        <v>0</v>
      </c>
      <c r="BT75">
        <f t="shared" si="104"/>
        <v>1</v>
      </c>
      <c r="BU75">
        <f t="shared" si="104"/>
        <v>0</v>
      </c>
      <c r="CX75" s="1" t="s">
        <v>463</v>
      </c>
      <c r="CZ75" s="1" t="s">
        <v>175</v>
      </c>
      <c r="DB75" s="1" t="s">
        <v>558</v>
      </c>
      <c r="DC75" s="1" t="s">
        <v>235</v>
      </c>
    </row>
    <row r="76" spans="1:107" x14ac:dyDescent="0.25">
      <c r="A76" s="1" t="b">
        <v>1</v>
      </c>
      <c r="B76" s="2">
        <v>46164.868333333332</v>
      </c>
      <c r="C76" s="1" t="s">
        <v>559</v>
      </c>
      <c r="D76" s="1" t="s">
        <v>4</v>
      </c>
      <c r="E76">
        <f t="shared" si="96"/>
        <v>1</v>
      </c>
      <c r="F76">
        <f t="shared" si="96"/>
        <v>0</v>
      </c>
      <c r="G76">
        <f t="shared" si="96"/>
        <v>0</v>
      </c>
      <c r="H76">
        <f t="shared" si="96"/>
        <v>0</v>
      </c>
      <c r="I76">
        <f t="shared" si="96"/>
        <v>0</v>
      </c>
      <c r="J76">
        <f t="shared" si="96"/>
        <v>0</v>
      </c>
      <c r="K76">
        <f t="shared" si="96"/>
        <v>0</v>
      </c>
      <c r="L76">
        <f t="shared" si="97"/>
        <v>1</v>
      </c>
      <c r="N76" s="1" t="s">
        <v>303</v>
      </c>
      <c r="O76" s="1"/>
      <c r="P76" s="1"/>
      <c r="Q76" s="1"/>
      <c r="R76" s="1"/>
      <c r="S76" s="1"/>
      <c r="T76" s="1"/>
      <c r="V76" s="1" t="s">
        <v>24</v>
      </c>
      <c r="W76" s="1" t="str">
        <f t="shared" ref="W76:AA76" si="115">IF(W$1=$V76, "True", "False")</f>
        <v>False</v>
      </c>
      <c r="X76" s="1" t="str">
        <f t="shared" si="115"/>
        <v>False</v>
      </c>
      <c r="Y76" s="1" t="str">
        <f t="shared" si="115"/>
        <v>False</v>
      </c>
      <c r="Z76" s="1" t="str">
        <f t="shared" si="115"/>
        <v>True</v>
      </c>
      <c r="AA76" s="1" t="str">
        <f t="shared" si="115"/>
        <v>False</v>
      </c>
      <c r="AB76" s="1" t="s">
        <v>560</v>
      </c>
      <c r="AC76">
        <f t="shared" si="99"/>
        <v>0</v>
      </c>
      <c r="AD76">
        <f t="shared" si="99"/>
        <v>1</v>
      </c>
      <c r="AE76">
        <f t="shared" si="99"/>
        <v>0</v>
      </c>
      <c r="AF76">
        <f t="shared" si="99"/>
        <v>0</v>
      </c>
      <c r="AG76">
        <f t="shared" si="99"/>
        <v>1</v>
      </c>
      <c r="AH76">
        <f t="shared" si="99"/>
        <v>1</v>
      </c>
      <c r="AI76" s="1">
        <f t="shared" si="100"/>
        <v>3</v>
      </c>
      <c r="AJ76" s="1" t="s">
        <v>561</v>
      </c>
      <c r="AK76" s="1" t="s">
        <v>562</v>
      </c>
      <c r="AL76">
        <f t="shared" si="101"/>
        <v>1</v>
      </c>
      <c r="AM76">
        <f t="shared" si="101"/>
        <v>0</v>
      </c>
      <c r="AN76">
        <f t="shared" si="101"/>
        <v>0</v>
      </c>
      <c r="AO76">
        <f t="shared" si="101"/>
        <v>1</v>
      </c>
      <c r="AP76">
        <f t="shared" si="101"/>
        <v>0</v>
      </c>
      <c r="AQ76">
        <f t="shared" si="101"/>
        <v>1</v>
      </c>
      <c r="AR76">
        <f t="shared" si="101"/>
        <v>0</v>
      </c>
      <c r="AS76">
        <f t="shared" si="101"/>
        <v>0</v>
      </c>
      <c r="AU76" s="1" t="s">
        <v>46</v>
      </c>
      <c r="AV76" s="1">
        <f t="shared" si="108"/>
        <v>0</v>
      </c>
      <c r="AW76" s="1">
        <f t="shared" si="109"/>
        <v>1</v>
      </c>
      <c r="AX76" s="1">
        <f t="shared" si="110"/>
        <v>0</v>
      </c>
      <c r="AY76" s="1" t="s">
        <v>46</v>
      </c>
      <c r="BA76" s="1" t="s">
        <v>182</v>
      </c>
      <c r="BB76">
        <f t="shared" si="102"/>
        <v>0</v>
      </c>
      <c r="BC76">
        <f t="shared" si="102"/>
        <v>1</v>
      </c>
      <c r="BD76">
        <f t="shared" si="102"/>
        <v>0</v>
      </c>
      <c r="BE76">
        <f t="shared" si="102"/>
        <v>1</v>
      </c>
      <c r="BF76">
        <f t="shared" si="102"/>
        <v>0</v>
      </c>
      <c r="BG76">
        <f t="shared" si="102"/>
        <v>0</v>
      </c>
      <c r="BH76">
        <f t="shared" si="102"/>
        <v>0</v>
      </c>
      <c r="BI76">
        <f t="shared" si="102"/>
        <v>0</v>
      </c>
      <c r="BJ76">
        <f t="shared" si="102"/>
        <v>1</v>
      </c>
      <c r="BK76">
        <f t="shared" si="103"/>
        <v>3</v>
      </c>
      <c r="BM76" s="1" t="s">
        <v>187</v>
      </c>
      <c r="BN76" s="1" t="s">
        <v>563</v>
      </c>
      <c r="BO76">
        <f t="shared" si="104"/>
        <v>1</v>
      </c>
      <c r="BP76">
        <f t="shared" si="104"/>
        <v>0</v>
      </c>
      <c r="BQ76">
        <f t="shared" si="104"/>
        <v>0</v>
      </c>
      <c r="BR76">
        <f t="shared" si="104"/>
        <v>1</v>
      </c>
      <c r="BS76">
        <f t="shared" si="104"/>
        <v>0</v>
      </c>
      <c r="BT76">
        <f t="shared" si="104"/>
        <v>1</v>
      </c>
      <c r="BU76">
        <f t="shared" si="104"/>
        <v>0</v>
      </c>
      <c r="BW76" s="1" t="s">
        <v>274</v>
      </c>
      <c r="BZ76" s="1" t="s">
        <v>231</v>
      </c>
      <c r="DC76" s="1" t="s">
        <v>235</v>
      </c>
    </row>
    <row r="77" spans="1:107" x14ac:dyDescent="0.25">
      <c r="A77" s="1" t="b">
        <v>1</v>
      </c>
      <c r="B77" s="2">
        <v>46164.872199074074</v>
      </c>
      <c r="C77" s="1" t="s">
        <v>564</v>
      </c>
      <c r="D77" s="1" t="s">
        <v>4</v>
      </c>
      <c r="E77">
        <f t="shared" si="96"/>
        <v>1</v>
      </c>
      <c r="F77">
        <f t="shared" si="96"/>
        <v>0</v>
      </c>
      <c r="G77">
        <f t="shared" si="96"/>
        <v>0</v>
      </c>
      <c r="H77">
        <f t="shared" si="96"/>
        <v>0</v>
      </c>
      <c r="I77">
        <f t="shared" si="96"/>
        <v>0</v>
      </c>
      <c r="J77">
        <f t="shared" si="96"/>
        <v>0</v>
      </c>
      <c r="K77">
        <f t="shared" si="96"/>
        <v>0</v>
      </c>
      <c r="L77">
        <f t="shared" si="97"/>
        <v>1</v>
      </c>
      <c r="N77" s="1" t="s">
        <v>269</v>
      </c>
      <c r="O77" s="1"/>
      <c r="P77" s="1"/>
      <c r="Q77" s="1"/>
      <c r="R77" s="1"/>
      <c r="S77" s="1"/>
      <c r="T77" s="1"/>
      <c r="W77" s="1" t="str">
        <f t="shared" ref="W77:AA77" si="116">IF(W$1=$V77, "True", "False")</f>
        <v>False</v>
      </c>
      <c r="X77" s="1" t="str">
        <f t="shared" si="116"/>
        <v>False</v>
      </c>
      <c r="Y77" s="1" t="str">
        <f t="shared" si="116"/>
        <v>False</v>
      </c>
      <c r="Z77" s="1" t="str">
        <f t="shared" si="116"/>
        <v>False</v>
      </c>
      <c r="AA77" s="1" t="str">
        <f t="shared" si="116"/>
        <v>False</v>
      </c>
      <c r="AB77" s="1" t="s">
        <v>565</v>
      </c>
      <c r="AC77">
        <f t="shared" si="99"/>
        <v>1</v>
      </c>
      <c r="AD77">
        <f t="shared" si="99"/>
        <v>0</v>
      </c>
      <c r="AE77">
        <f t="shared" si="99"/>
        <v>0</v>
      </c>
      <c r="AF77">
        <f t="shared" si="99"/>
        <v>1</v>
      </c>
      <c r="AG77">
        <f t="shared" si="99"/>
        <v>0</v>
      </c>
      <c r="AH77">
        <f t="shared" si="99"/>
        <v>1</v>
      </c>
      <c r="AI77" s="1">
        <f t="shared" si="100"/>
        <v>3</v>
      </c>
      <c r="AK77" s="1" t="s">
        <v>243</v>
      </c>
      <c r="AL77">
        <f t="shared" si="101"/>
        <v>1</v>
      </c>
      <c r="AM77">
        <f t="shared" si="101"/>
        <v>1</v>
      </c>
      <c r="AN77">
        <f t="shared" si="101"/>
        <v>0</v>
      </c>
      <c r="AO77">
        <f t="shared" si="101"/>
        <v>1</v>
      </c>
      <c r="AP77">
        <f t="shared" si="101"/>
        <v>0</v>
      </c>
      <c r="AQ77">
        <f t="shared" si="101"/>
        <v>1</v>
      </c>
      <c r="AR77">
        <f t="shared" si="101"/>
        <v>0</v>
      </c>
      <c r="AS77">
        <f t="shared" si="101"/>
        <v>0</v>
      </c>
      <c r="AU77" s="1" t="s">
        <v>45</v>
      </c>
      <c r="AV77" s="1">
        <f t="shared" si="108"/>
        <v>1</v>
      </c>
      <c r="AW77" s="1">
        <f t="shared" si="109"/>
        <v>0</v>
      </c>
      <c r="AX77" s="1">
        <f t="shared" si="110"/>
        <v>0</v>
      </c>
      <c r="AY77" s="1" t="s">
        <v>46</v>
      </c>
      <c r="BA77" s="1" t="s">
        <v>566</v>
      </c>
      <c r="BB77">
        <f t="shared" si="102"/>
        <v>0</v>
      </c>
      <c r="BC77">
        <f t="shared" si="102"/>
        <v>1</v>
      </c>
      <c r="BD77">
        <f t="shared" si="102"/>
        <v>1</v>
      </c>
      <c r="BE77">
        <f t="shared" si="102"/>
        <v>0</v>
      </c>
      <c r="BF77">
        <f t="shared" si="102"/>
        <v>1</v>
      </c>
      <c r="BG77">
        <f t="shared" si="102"/>
        <v>0</v>
      </c>
      <c r="BH77">
        <f t="shared" si="102"/>
        <v>0</v>
      </c>
      <c r="BI77">
        <f t="shared" si="102"/>
        <v>1</v>
      </c>
      <c r="BJ77">
        <f t="shared" si="102"/>
        <v>1</v>
      </c>
      <c r="BK77">
        <f t="shared" si="103"/>
        <v>5</v>
      </c>
      <c r="BM77" s="1" t="s">
        <v>229</v>
      </c>
      <c r="BN77" s="1" t="s">
        <v>337</v>
      </c>
      <c r="BO77">
        <f t="shared" si="104"/>
        <v>1</v>
      </c>
      <c r="BP77">
        <f t="shared" si="104"/>
        <v>1</v>
      </c>
      <c r="BQ77">
        <f t="shared" si="104"/>
        <v>0</v>
      </c>
      <c r="BR77">
        <f t="shared" si="104"/>
        <v>0</v>
      </c>
      <c r="BS77">
        <f t="shared" si="104"/>
        <v>0</v>
      </c>
      <c r="BT77">
        <f t="shared" si="104"/>
        <v>0</v>
      </c>
      <c r="BU77">
        <f t="shared" si="104"/>
        <v>0</v>
      </c>
      <c r="DC77" s="1" t="s">
        <v>177</v>
      </c>
    </row>
    <row r="78" spans="1:107" x14ac:dyDescent="0.25">
      <c r="A78" s="1" t="b">
        <v>1</v>
      </c>
      <c r="B78" s="2">
        <v>46164.884675925925</v>
      </c>
      <c r="C78" s="1" t="s">
        <v>567</v>
      </c>
      <c r="D78" s="1" t="s">
        <v>4</v>
      </c>
      <c r="E78">
        <f t="shared" si="96"/>
        <v>1</v>
      </c>
      <c r="F78">
        <f t="shared" si="96"/>
        <v>0</v>
      </c>
      <c r="G78">
        <f t="shared" si="96"/>
        <v>0</v>
      </c>
      <c r="H78">
        <f t="shared" si="96"/>
        <v>0</v>
      </c>
      <c r="I78">
        <f t="shared" si="96"/>
        <v>0</v>
      </c>
      <c r="J78">
        <f t="shared" si="96"/>
        <v>0</v>
      </c>
      <c r="K78">
        <f t="shared" si="96"/>
        <v>0</v>
      </c>
      <c r="L78">
        <f t="shared" si="97"/>
        <v>1</v>
      </c>
      <c r="N78" s="1" t="s">
        <v>320</v>
      </c>
      <c r="O78" s="1"/>
      <c r="P78" s="1"/>
      <c r="Q78" s="1"/>
      <c r="R78" s="1"/>
      <c r="S78" s="1"/>
      <c r="T78" s="1"/>
      <c r="V78" s="1" t="s">
        <v>21</v>
      </c>
      <c r="W78" s="1" t="str">
        <f t="shared" ref="W78:AA78" si="117">IF(W$1=$V78, "True", "False")</f>
        <v>True</v>
      </c>
      <c r="X78" s="1" t="str">
        <f t="shared" si="117"/>
        <v>False</v>
      </c>
      <c r="Y78" s="1" t="str">
        <f t="shared" si="117"/>
        <v>False</v>
      </c>
      <c r="Z78" s="1" t="str">
        <f t="shared" si="117"/>
        <v>False</v>
      </c>
      <c r="AA78" s="1" t="str">
        <f t="shared" si="117"/>
        <v>False</v>
      </c>
      <c r="AB78" s="1" t="s">
        <v>398</v>
      </c>
      <c r="AC78">
        <f t="shared" si="99"/>
        <v>0</v>
      </c>
      <c r="AD78">
        <f t="shared" si="99"/>
        <v>0</v>
      </c>
      <c r="AE78">
        <f t="shared" si="99"/>
        <v>0</v>
      </c>
      <c r="AF78">
        <f t="shared" si="99"/>
        <v>0</v>
      </c>
      <c r="AG78">
        <f t="shared" si="99"/>
        <v>0</v>
      </c>
      <c r="AH78">
        <f t="shared" si="99"/>
        <v>1</v>
      </c>
      <c r="AI78" s="1">
        <f t="shared" si="100"/>
        <v>1</v>
      </c>
      <c r="AJ78" s="1" t="s">
        <v>568</v>
      </c>
      <c r="AK78" s="1" t="s">
        <v>569</v>
      </c>
      <c r="AL78">
        <f t="shared" si="101"/>
        <v>1</v>
      </c>
      <c r="AM78">
        <f t="shared" si="101"/>
        <v>1</v>
      </c>
      <c r="AN78">
        <f t="shared" si="101"/>
        <v>1</v>
      </c>
      <c r="AO78">
        <f t="shared" si="101"/>
        <v>1</v>
      </c>
      <c r="AP78">
        <f t="shared" si="101"/>
        <v>1</v>
      </c>
      <c r="AQ78">
        <f t="shared" si="101"/>
        <v>1</v>
      </c>
      <c r="AR78">
        <f t="shared" si="101"/>
        <v>0</v>
      </c>
      <c r="AS78">
        <f t="shared" si="101"/>
        <v>1</v>
      </c>
      <c r="AU78" s="1" t="s">
        <v>45</v>
      </c>
      <c r="AV78" s="1">
        <f t="shared" si="108"/>
        <v>1</v>
      </c>
      <c r="AW78" s="1">
        <f t="shared" si="109"/>
        <v>0</v>
      </c>
      <c r="AX78" s="1">
        <f t="shared" si="110"/>
        <v>0</v>
      </c>
      <c r="AY78" s="1" t="s">
        <v>46</v>
      </c>
      <c r="BA78" s="1" t="s">
        <v>194</v>
      </c>
      <c r="BB78">
        <f t="shared" si="102"/>
        <v>0</v>
      </c>
      <c r="BC78">
        <f t="shared" si="102"/>
        <v>0</v>
      </c>
      <c r="BD78">
        <f t="shared" si="102"/>
        <v>1</v>
      </c>
      <c r="BE78">
        <f t="shared" si="102"/>
        <v>1</v>
      </c>
      <c r="BF78">
        <f t="shared" si="102"/>
        <v>1</v>
      </c>
      <c r="BG78">
        <f t="shared" si="102"/>
        <v>0</v>
      </c>
      <c r="BH78">
        <f t="shared" si="102"/>
        <v>0</v>
      </c>
      <c r="BI78">
        <f t="shared" si="102"/>
        <v>0</v>
      </c>
      <c r="BJ78">
        <f t="shared" si="102"/>
        <v>1</v>
      </c>
      <c r="BK78">
        <f t="shared" si="103"/>
        <v>4</v>
      </c>
      <c r="BM78" s="1" t="s">
        <v>229</v>
      </c>
      <c r="BN78" s="1" t="s">
        <v>570</v>
      </c>
      <c r="BO78">
        <f t="shared" si="104"/>
        <v>0</v>
      </c>
      <c r="BP78">
        <f t="shared" si="104"/>
        <v>1</v>
      </c>
      <c r="BQ78">
        <f t="shared" si="104"/>
        <v>1</v>
      </c>
      <c r="BR78">
        <f t="shared" si="104"/>
        <v>1</v>
      </c>
      <c r="BS78">
        <f t="shared" si="104"/>
        <v>0</v>
      </c>
      <c r="BT78">
        <f t="shared" si="104"/>
        <v>1</v>
      </c>
      <c r="BU78">
        <f t="shared" si="104"/>
        <v>0</v>
      </c>
      <c r="DC78" s="1" t="s">
        <v>177</v>
      </c>
    </row>
    <row r="79" spans="1:107" x14ac:dyDescent="0.25">
      <c r="A79" s="1" t="b">
        <v>1</v>
      </c>
      <c r="B79" s="2">
        <v>46165.060011574074</v>
      </c>
      <c r="C79" s="1" t="s">
        <v>571</v>
      </c>
      <c r="D79" s="1" t="s">
        <v>8</v>
      </c>
      <c r="E79">
        <f t="shared" si="96"/>
        <v>0</v>
      </c>
      <c r="F79">
        <f t="shared" si="96"/>
        <v>0</v>
      </c>
      <c r="G79">
        <f t="shared" si="96"/>
        <v>0</v>
      </c>
      <c r="H79">
        <f t="shared" si="96"/>
        <v>0</v>
      </c>
      <c r="I79">
        <f t="shared" si="96"/>
        <v>1</v>
      </c>
      <c r="J79">
        <f t="shared" si="96"/>
        <v>0</v>
      </c>
      <c r="K79">
        <f t="shared" si="96"/>
        <v>0</v>
      </c>
      <c r="L79">
        <f t="shared" si="97"/>
        <v>1</v>
      </c>
      <c r="N79" s="1" t="s">
        <v>237</v>
      </c>
      <c r="O79" s="1"/>
      <c r="P79" s="1"/>
      <c r="Q79" s="1"/>
      <c r="R79" s="1"/>
      <c r="S79" s="1"/>
      <c r="T79" s="1"/>
      <c r="W79" s="1" t="str">
        <f t="shared" ref="W79:AA79" si="118">IF(W$1=$V79, "True", "False")</f>
        <v>False</v>
      </c>
      <c r="X79" s="1" t="str">
        <f t="shared" si="118"/>
        <v>False</v>
      </c>
      <c r="Y79" s="1" t="str">
        <f t="shared" si="118"/>
        <v>False</v>
      </c>
      <c r="Z79" s="1" t="str">
        <f t="shared" si="118"/>
        <v>False</v>
      </c>
      <c r="AA79" s="1" t="str">
        <f t="shared" si="118"/>
        <v>False</v>
      </c>
      <c r="AB79" s="1" t="s">
        <v>354</v>
      </c>
      <c r="AC79">
        <f t="shared" si="99"/>
        <v>1</v>
      </c>
      <c r="AD79">
        <f t="shared" si="99"/>
        <v>0</v>
      </c>
      <c r="AE79">
        <f t="shared" si="99"/>
        <v>0</v>
      </c>
      <c r="AF79">
        <f t="shared" si="99"/>
        <v>0</v>
      </c>
      <c r="AG79">
        <f t="shared" si="99"/>
        <v>0</v>
      </c>
      <c r="AH79">
        <f t="shared" si="99"/>
        <v>1</v>
      </c>
      <c r="AI79" s="1">
        <f t="shared" si="100"/>
        <v>2</v>
      </c>
      <c r="AK79" s="1" t="s">
        <v>467</v>
      </c>
      <c r="AL79">
        <f t="shared" si="101"/>
        <v>0</v>
      </c>
      <c r="AM79">
        <f t="shared" si="101"/>
        <v>1</v>
      </c>
      <c r="AN79">
        <f t="shared" si="101"/>
        <v>0</v>
      </c>
      <c r="AO79">
        <f t="shared" si="101"/>
        <v>1</v>
      </c>
      <c r="AP79">
        <f t="shared" si="101"/>
        <v>0</v>
      </c>
      <c r="AQ79">
        <f t="shared" si="101"/>
        <v>1</v>
      </c>
      <c r="AR79">
        <f t="shared" si="101"/>
        <v>0</v>
      </c>
      <c r="AS79">
        <f t="shared" si="101"/>
        <v>0</v>
      </c>
      <c r="AU79" s="1" t="s">
        <v>45</v>
      </c>
      <c r="AV79" s="1">
        <f t="shared" si="108"/>
        <v>1</v>
      </c>
      <c r="AW79" s="1">
        <f t="shared" si="109"/>
        <v>0</v>
      </c>
      <c r="AX79" s="1">
        <f t="shared" si="110"/>
        <v>0</v>
      </c>
      <c r="AY79" s="1" t="s">
        <v>46</v>
      </c>
      <c r="BA79" s="1" t="s">
        <v>228</v>
      </c>
      <c r="BB79">
        <f t="shared" si="102"/>
        <v>1</v>
      </c>
      <c r="BC79">
        <f t="shared" si="102"/>
        <v>1</v>
      </c>
      <c r="BD79">
        <f t="shared" si="102"/>
        <v>1</v>
      </c>
      <c r="BE79">
        <f t="shared" si="102"/>
        <v>1</v>
      </c>
      <c r="BF79">
        <f t="shared" si="102"/>
        <v>1</v>
      </c>
      <c r="BG79">
        <f t="shared" si="102"/>
        <v>1</v>
      </c>
      <c r="BH79">
        <f t="shared" si="102"/>
        <v>0</v>
      </c>
      <c r="BI79">
        <f t="shared" si="102"/>
        <v>0</v>
      </c>
      <c r="BJ79">
        <f t="shared" si="102"/>
        <v>1</v>
      </c>
      <c r="BK79">
        <f t="shared" si="103"/>
        <v>7</v>
      </c>
      <c r="BM79" s="1" t="s">
        <v>229</v>
      </c>
      <c r="BN79" s="1" t="s">
        <v>379</v>
      </c>
      <c r="BO79">
        <f t="shared" si="104"/>
        <v>1</v>
      </c>
      <c r="BP79">
        <f t="shared" si="104"/>
        <v>1</v>
      </c>
      <c r="BQ79">
        <f t="shared" si="104"/>
        <v>1</v>
      </c>
      <c r="BR79">
        <f t="shared" si="104"/>
        <v>1</v>
      </c>
      <c r="BS79">
        <f t="shared" si="104"/>
        <v>1</v>
      </c>
      <c r="BT79">
        <f t="shared" si="104"/>
        <v>1</v>
      </c>
      <c r="BU79">
        <f t="shared" si="104"/>
        <v>0</v>
      </c>
      <c r="CH79" s="1" t="s">
        <v>572</v>
      </c>
      <c r="CI79" s="1" t="s">
        <v>573</v>
      </c>
      <c r="CJ79" s="1" t="s">
        <v>172</v>
      </c>
      <c r="CK79" s="1" t="s">
        <v>574</v>
      </c>
      <c r="CL79" s="1" t="s">
        <v>575</v>
      </c>
      <c r="DC79" s="1" t="s">
        <v>177</v>
      </c>
    </row>
    <row r="80" spans="1:107" x14ac:dyDescent="0.25">
      <c r="A80" s="1" t="b">
        <v>1</v>
      </c>
      <c r="B80" s="2">
        <v>46165.140775462962</v>
      </c>
      <c r="C80" s="1" t="s">
        <v>576</v>
      </c>
      <c r="D80" s="1" t="s">
        <v>4</v>
      </c>
      <c r="E80">
        <f t="shared" si="96"/>
        <v>1</v>
      </c>
      <c r="F80">
        <f t="shared" si="96"/>
        <v>0</v>
      </c>
      <c r="G80">
        <f t="shared" si="96"/>
        <v>0</v>
      </c>
      <c r="H80">
        <f t="shared" si="96"/>
        <v>0</v>
      </c>
      <c r="I80">
        <f t="shared" si="96"/>
        <v>0</v>
      </c>
      <c r="J80">
        <f t="shared" si="96"/>
        <v>0</v>
      </c>
      <c r="K80">
        <f t="shared" si="96"/>
        <v>0</v>
      </c>
      <c r="L80">
        <f t="shared" si="97"/>
        <v>1</v>
      </c>
      <c r="N80" s="1" t="s">
        <v>13</v>
      </c>
      <c r="O80" s="1"/>
      <c r="P80" s="1"/>
      <c r="Q80" s="1"/>
      <c r="R80" s="1"/>
      <c r="S80" s="1"/>
      <c r="T80" s="1"/>
      <c r="W80" s="1" t="str">
        <f t="shared" ref="W80:AA80" si="119">IF(W$1=$V80, "True", "False")</f>
        <v>False</v>
      </c>
      <c r="X80" s="1" t="str">
        <f t="shared" si="119"/>
        <v>False</v>
      </c>
      <c r="Y80" s="1" t="str">
        <f t="shared" si="119"/>
        <v>False</v>
      </c>
      <c r="Z80" s="1" t="str">
        <f t="shared" si="119"/>
        <v>False</v>
      </c>
      <c r="AA80" s="1" t="str">
        <f t="shared" si="119"/>
        <v>False</v>
      </c>
      <c r="AB80" s="1" t="s">
        <v>28</v>
      </c>
      <c r="AC80">
        <f t="shared" si="99"/>
        <v>0</v>
      </c>
      <c r="AD80">
        <f t="shared" si="99"/>
        <v>1</v>
      </c>
      <c r="AE80">
        <f t="shared" si="99"/>
        <v>0</v>
      </c>
      <c r="AF80">
        <f t="shared" si="99"/>
        <v>0</v>
      </c>
      <c r="AG80">
        <f t="shared" si="99"/>
        <v>0</v>
      </c>
      <c r="AH80">
        <f t="shared" si="99"/>
        <v>0</v>
      </c>
      <c r="AI80" s="1">
        <f t="shared" si="100"/>
        <v>1</v>
      </c>
      <c r="AK80" s="1" t="s">
        <v>577</v>
      </c>
      <c r="AL80">
        <f t="shared" si="101"/>
        <v>0</v>
      </c>
      <c r="AM80">
        <f t="shared" si="101"/>
        <v>0</v>
      </c>
      <c r="AN80">
        <f t="shared" si="101"/>
        <v>1</v>
      </c>
      <c r="AO80">
        <f t="shared" si="101"/>
        <v>0</v>
      </c>
      <c r="AP80">
        <f t="shared" si="101"/>
        <v>0</v>
      </c>
      <c r="AQ80">
        <f t="shared" si="101"/>
        <v>0</v>
      </c>
      <c r="AR80">
        <f t="shared" si="101"/>
        <v>0</v>
      </c>
      <c r="AS80">
        <f t="shared" si="101"/>
        <v>1</v>
      </c>
      <c r="AU80" s="1" t="s">
        <v>45</v>
      </c>
      <c r="AV80" s="1">
        <f t="shared" si="108"/>
        <v>1</v>
      </c>
      <c r="AW80" s="1">
        <f t="shared" si="109"/>
        <v>0</v>
      </c>
      <c r="AX80" s="1">
        <f t="shared" si="110"/>
        <v>0</v>
      </c>
      <c r="AY80" s="1" t="s">
        <v>46</v>
      </c>
      <c r="BA80" s="1" t="s">
        <v>578</v>
      </c>
      <c r="BB80">
        <f t="shared" si="102"/>
        <v>0</v>
      </c>
      <c r="BC80">
        <f t="shared" si="102"/>
        <v>0</v>
      </c>
      <c r="BD80">
        <f t="shared" si="102"/>
        <v>0</v>
      </c>
      <c r="BE80">
        <f t="shared" si="102"/>
        <v>0</v>
      </c>
      <c r="BF80">
        <f t="shared" si="102"/>
        <v>0</v>
      </c>
      <c r="BG80">
        <f t="shared" si="102"/>
        <v>1</v>
      </c>
      <c r="BH80">
        <f t="shared" si="102"/>
        <v>0</v>
      </c>
      <c r="BI80">
        <f t="shared" si="102"/>
        <v>1</v>
      </c>
      <c r="BJ80">
        <f t="shared" si="102"/>
        <v>1</v>
      </c>
      <c r="BK80">
        <f t="shared" si="103"/>
        <v>3</v>
      </c>
      <c r="BM80" s="1" t="s">
        <v>229</v>
      </c>
      <c r="BN80" s="1" t="s">
        <v>383</v>
      </c>
      <c r="BO80">
        <f t="shared" si="104"/>
        <v>0</v>
      </c>
      <c r="BP80">
        <f t="shared" si="104"/>
        <v>1</v>
      </c>
      <c r="BQ80">
        <f t="shared" si="104"/>
        <v>0</v>
      </c>
      <c r="BR80">
        <f t="shared" si="104"/>
        <v>0</v>
      </c>
      <c r="BS80">
        <f t="shared" si="104"/>
        <v>0</v>
      </c>
      <c r="BT80">
        <f t="shared" si="104"/>
        <v>1</v>
      </c>
      <c r="BU80">
        <f t="shared" si="104"/>
        <v>0</v>
      </c>
      <c r="DC80" s="1" t="s">
        <v>235</v>
      </c>
    </row>
    <row r="81" spans="1:107" x14ac:dyDescent="0.25">
      <c r="A81" s="1" t="b">
        <v>1</v>
      </c>
      <c r="B81" s="2">
        <v>46165.181793981479</v>
      </c>
      <c r="C81" s="1" t="s">
        <v>579</v>
      </c>
      <c r="D81" s="1" t="s">
        <v>204</v>
      </c>
      <c r="E81">
        <f t="shared" si="96"/>
        <v>1</v>
      </c>
      <c r="F81">
        <f t="shared" si="96"/>
        <v>30</v>
      </c>
      <c r="G81">
        <f t="shared" si="96"/>
        <v>0</v>
      </c>
      <c r="H81">
        <f t="shared" si="96"/>
        <v>0</v>
      </c>
      <c r="I81">
        <f t="shared" si="96"/>
        <v>0</v>
      </c>
      <c r="J81">
        <f t="shared" si="96"/>
        <v>0</v>
      </c>
      <c r="K81">
        <f t="shared" si="96"/>
        <v>0</v>
      </c>
      <c r="L81">
        <f t="shared" si="97"/>
        <v>30</v>
      </c>
      <c r="N81" s="1" t="s">
        <v>320</v>
      </c>
      <c r="O81" s="1"/>
      <c r="P81" s="1"/>
      <c r="Q81" s="1"/>
      <c r="R81" s="1"/>
      <c r="S81" s="1"/>
      <c r="T81" s="1"/>
      <c r="V81" s="1" t="s">
        <v>25</v>
      </c>
      <c r="W81" s="1" t="str">
        <f t="shared" ref="W81:AA81" si="120">IF(W$1=$V81, "True", "False")</f>
        <v>False</v>
      </c>
      <c r="X81" s="1" t="str">
        <f t="shared" si="120"/>
        <v>False</v>
      </c>
      <c r="Y81" s="1" t="str">
        <f t="shared" si="120"/>
        <v>False</v>
      </c>
      <c r="Z81" s="1" t="str">
        <f t="shared" si="120"/>
        <v>False</v>
      </c>
      <c r="AA81" s="1" t="str">
        <f t="shared" si="120"/>
        <v>True</v>
      </c>
      <c r="AB81" s="1" t="s">
        <v>580</v>
      </c>
      <c r="AC81">
        <f t="shared" si="99"/>
        <v>1</v>
      </c>
      <c r="AD81">
        <f t="shared" si="99"/>
        <v>0</v>
      </c>
      <c r="AE81">
        <f t="shared" si="99"/>
        <v>0</v>
      </c>
      <c r="AF81">
        <f t="shared" si="99"/>
        <v>1</v>
      </c>
      <c r="AG81">
        <f t="shared" si="99"/>
        <v>1</v>
      </c>
      <c r="AH81">
        <f t="shared" si="99"/>
        <v>1</v>
      </c>
      <c r="AI81" s="1">
        <f t="shared" si="100"/>
        <v>4</v>
      </c>
      <c r="AK81" s="1" t="s">
        <v>467</v>
      </c>
      <c r="AL81">
        <f t="shared" si="101"/>
        <v>0</v>
      </c>
      <c r="AM81">
        <f t="shared" si="101"/>
        <v>1</v>
      </c>
      <c r="AN81">
        <f t="shared" si="101"/>
        <v>0</v>
      </c>
      <c r="AO81">
        <f t="shared" si="101"/>
        <v>1</v>
      </c>
      <c r="AP81">
        <f t="shared" si="101"/>
        <v>0</v>
      </c>
      <c r="AQ81">
        <f t="shared" si="101"/>
        <v>1</v>
      </c>
      <c r="AR81">
        <f t="shared" si="101"/>
        <v>0</v>
      </c>
      <c r="AS81">
        <f t="shared" si="101"/>
        <v>0</v>
      </c>
      <c r="AU81" s="1" t="s">
        <v>46</v>
      </c>
      <c r="AV81" s="1">
        <f t="shared" si="108"/>
        <v>0</v>
      </c>
      <c r="AW81" s="1">
        <f t="shared" si="109"/>
        <v>1</v>
      </c>
      <c r="AX81" s="1">
        <f t="shared" si="110"/>
        <v>0</v>
      </c>
      <c r="AY81" s="1" t="s">
        <v>46</v>
      </c>
      <c r="BA81" s="1" t="s">
        <v>368</v>
      </c>
      <c r="BB81">
        <f t="shared" si="102"/>
        <v>1</v>
      </c>
      <c r="BC81">
        <f t="shared" si="102"/>
        <v>1</v>
      </c>
      <c r="BD81">
        <f t="shared" si="102"/>
        <v>1</v>
      </c>
      <c r="BE81">
        <f t="shared" si="102"/>
        <v>0</v>
      </c>
      <c r="BF81">
        <f t="shared" si="102"/>
        <v>1</v>
      </c>
      <c r="BG81">
        <f t="shared" si="102"/>
        <v>1</v>
      </c>
      <c r="BH81">
        <f t="shared" si="102"/>
        <v>0</v>
      </c>
      <c r="BI81">
        <f t="shared" si="102"/>
        <v>0</v>
      </c>
      <c r="BJ81">
        <f t="shared" si="102"/>
        <v>1</v>
      </c>
      <c r="BK81">
        <f t="shared" si="103"/>
        <v>6</v>
      </c>
      <c r="BM81" s="1" t="s">
        <v>187</v>
      </c>
      <c r="BN81" s="1" t="s">
        <v>581</v>
      </c>
      <c r="BO81">
        <f t="shared" si="104"/>
        <v>1</v>
      </c>
      <c r="BP81">
        <f t="shared" si="104"/>
        <v>0</v>
      </c>
      <c r="BQ81">
        <f t="shared" si="104"/>
        <v>0</v>
      </c>
      <c r="BR81">
        <f t="shared" si="104"/>
        <v>0</v>
      </c>
      <c r="BS81">
        <f t="shared" si="104"/>
        <v>0</v>
      </c>
      <c r="BT81">
        <f t="shared" si="104"/>
        <v>1</v>
      </c>
      <c r="BU81">
        <f t="shared" si="104"/>
        <v>0</v>
      </c>
      <c r="BV81" s="1" t="s">
        <v>582</v>
      </c>
      <c r="BW81" s="1" t="s">
        <v>217</v>
      </c>
      <c r="BY81" s="1" t="s">
        <v>583</v>
      </c>
      <c r="CX81" s="1" t="s">
        <v>584</v>
      </c>
      <c r="CY81" s="1" t="s">
        <v>585</v>
      </c>
      <c r="CZ81" s="1" t="s">
        <v>175</v>
      </c>
      <c r="DB81" s="1" t="s">
        <v>586</v>
      </c>
      <c r="DC81" s="1" t="s">
        <v>177</v>
      </c>
    </row>
    <row r="82" spans="1:107" x14ac:dyDescent="0.25">
      <c r="A82" s="1" t="b">
        <v>1</v>
      </c>
      <c r="B82" s="2">
        <v>46165.189583333333</v>
      </c>
      <c r="C82" s="1" t="s">
        <v>587</v>
      </c>
      <c r="D82" s="1" t="s">
        <v>588</v>
      </c>
      <c r="E82">
        <f t="shared" si="96"/>
        <v>1</v>
      </c>
      <c r="F82">
        <f t="shared" si="96"/>
        <v>0</v>
      </c>
      <c r="G82">
        <f t="shared" si="96"/>
        <v>0</v>
      </c>
      <c r="H82">
        <f t="shared" si="96"/>
        <v>0</v>
      </c>
      <c r="I82">
        <f t="shared" si="96"/>
        <v>30</v>
      </c>
      <c r="J82">
        <f t="shared" si="96"/>
        <v>0</v>
      </c>
      <c r="K82">
        <f t="shared" si="96"/>
        <v>0</v>
      </c>
      <c r="L82">
        <f t="shared" si="97"/>
        <v>30</v>
      </c>
      <c r="M82" s="1" t="s">
        <v>589</v>
      </c>
      <c r="N82" s="1" t="s">
        <v>184</v>
      </c>
      <c r="O82" s="1"/>
      <c r="P82" s="1"/>
      <c r="Q82" s="1"/>
      <c r="R82" s="1"/>
      <c r="S82" s="1"/>
      <c r="T82" s="1"/>
      <c r="V82" s="1" t="s">
        <v>23</v>
      </c>
      <c r="W82" s="1" t="str">
        <f t="shared" ref="W82:AA82" si="121">IF(W$1=$V82, "True", "False")</f>
        <v>False</v>
      </c>
      <c r="X82" s="1" t="str">
        <f t="shared" si="121"/>
        <v>False</v>
      </c>
      <c r="Y82" s="1" t="str">
        <f t="shared" si="121"/>
        <v>True</v>
      </c>
      <c r="Z82" s="1" t="str">
        <f t="shared" si="121"/>
        <v>False</v>
      </c>
      <c r="AA82" s="1" t="str">
        <f t="shared" si="121"/>
        <v>False</v>
      </c>
      <c r="AB82" s="1" t="s">
        <v>398</v>
      </c>
      <c r="AC82">
        <f t="shared" si="99"/>
        <v>0</v>
      </c>
      <c r="AD82">
        <f t="shared" si="99"/>
        <v>0</v>
      </c>
      <c r="AE82">
        <f t="shared" si="99"/>
        <v>0</v>
      </c>
      <c r="AF82">
        <f t="shared" si="99"/>
        <v>0</v>
      </c>
      <c r="AG82">
        <f t="shared" si="99"/>
        <v>0</v>
      </c>
      <c r="AH82">
        <f t="shared" si="99"/>
        <v>1</v>
      </c>
      <c r="AI82" s="1">
        <f t="shared" si="100"/>
        <v>1</v>
      </c>
      <c r="AJ82" s="1" t="s">
        <v>590</v>
      </c>
      <c r="AK82" s="1" t="s">
        <v>591</v>
      </c>
      <c r="AL82">
        <f t="shared" si="101"/>
        <v>1</v>
      </c>
      <c r="AM82">
        <f t="shared" si="101"/>
        <v>0</v>
      </c>
      <c r="AN82">
        <f t="shared" si="101"/>
        <v>0</v>
      </c>
      <c r="AO82">
        <f t="shared" si="101"/>
        <v>0</v>
      </c>
      <c r="AP82">
        <f t="shared" si="101"/>
        <v>0</v>
      </c>
      <c r="AQ82">
        <f t="shared" si="101"/>
        <v>1</v>
      </c>
      <c r="AR82">
        <f t="shared" si="101"/>
        <v>0</v>
      </c>
      <c r="AS82">
        <f t="shared" si="101"/>
        <v>0</v>
      </c>
      <c r="AU82" s="1" t="s">
        <v>46</v>
      </c>
      <c r="AV82" s="1">
        <f t="shared" si="108"/>
        <v>0</v>
      </c>
      <c r="AW82" s="1">
        <f t="shared" si="109"/>
        <v>1</v>
      </c>
      <c r="AX82" s="1">
        <f t="shared" si="110"/>
        <v>0</v>
      </c>
      <c r="AY82" s="1" t="s">
        <v>46</v>
      </c>
      <c r="BA82" s="1" t="s">
        <v>592</v>
      </c>
      <c r="BB82">
        <f t="shared" si="102"/>
        <v>0</v>
      </c>
      <c r="BC82">
        <f t="shared" si="102"/>
        <v>1</v>
      </c>
      <c r="BD82">
        <f t="shared" si="102"/>
        <v>1</v>
      </c>
      <c r="BE82">
        <f t="shared" si="102"/>
        <v>1</v>
      </c>
      <c r="BF82">
        <f t="shared" si="102"/>
        <v>1</v>
      </c>
      <c r="BG82">
        <f t="shared" si="102"/>
        <v>0</v>
      </c>
      <c r="BH82">
        <f t="shared" si="102"/>
        <v>0</v>
      </c>
      <c r="BI82">
        <f t="shared" si="102"/>
        <v>1</v>
      </c>
      <c r="BJ82">
        <f t="shared" si="102"/>
        <v>1</v>
      </c>
      <c r="BK82">
        <f t="shared" si="103"/>
        <v>6</v>
      </c>
      <c r="BM82" s="1" t="s">
        <v>163</v>
      </c>
      <c r="BN82" s="1" t="s">
        <v>401</v>
      </c>
      <c r="BO82">
        <f t="shared" si="104"/>
        <v>0</v>
      </c>
      <c r="BP82">
        <f t="shared" si="104"/>
        <v>0</v>
      </c>
      <c r="BQ82">
        <f t="shared" si="104"/>
        <v>0</v>
      </c>
      <c r="BR82">
        <f t="shared" si="104"/>
        <v>0</v>
      </c>
      <c r="BS82">
        <f t="shared" si="104"/>
        <v>0</v>
      </c>
      <c r="BT82">
        <f t="shared" si="104"/>
        <v>0</v>
      </c>
      <c r="BU82">
        <f t="shared" si="104"/>
        <v>0</v>
      </c>
      <c r="BV82" s="1" t="s">
        <v>593</v>
      </c>
      <c r="BW82" s="1" t="s">
        <v>252</v>
      </c>
      <c r="BY82" s="1" t="s">
        <v>594</v>
      </c>
      <c r="BZ82" s="1" t="s">
        <v>275</v>
      </c>
      <c r="CH82" s="1" t="s">
        <v>595</v>
      </c>
      <c r="CI82" s="1" t="s">
        <v>596</v>
      </c>
      <c r="CJ82" s="1" t="s">
        <v>597</v>
      </c>
      <c r="CL82" s="1" t="s">
        <v>598</v>
      </c>
      <c r="DC82" s="1" t="s">
        <v>177</v>
      </c>
    </row>
    <row r="83" spans="1:107" x14ac:dyDescent="0.25">
      <c r="A83" s="1" t="b">
        <v>1</v>
      </c>
      <c r="B83" s="2">
        <v>46165.302349537036</v>
      </c>
      <c r="C83" s="1" t="s">
        <v>599</v>
      </c>
      <c r="D83" s="1" t="s">
        <v>388</v>
      </c>
      <c r="E83">
        <f t="shared" si="96"/>
        <v>1</v>
      </c>
      <c r="F83">
        <f t="shared" si="96"/>
        <v>30</v>
      </c>
      <c r="G83">
        <f t="shared" si="96"/>
        <v>105</v>
      </c>
      <c r="H83">
        <f t="shared" si="96"/>
        <v>161</v>
      </c>
      <c r="I83">
        <f t="shared" si="96"/>
        <v>199</v>
      </c>
      <c r="J83">
        <f t="shared" si="96"/>
        <v>231</v>
      </c>
      <c r="K83">
        <f t="shared" si="96"/>
        <v>268</v>
      </c>
      <c r="L83">
        <f t="shared" si="97"/>
        <v>268</v>
      </c>
      <c r="N83" s="1" t="s">
        <v>502</v>
      </c>
      <c r="O83" s="1"/>
      <c r="P83" s="1"/>
      <c r="Q83" s="1"/>
      <c r="R83" s="1"/>
      <c r="S83" s="1"/>
      <c r="T83" s="1"/>
      <c r="W83" s="1" t="str">
        <f t="shared" ref="W83:AA83" si="122">IF(W$1=$V83, "True", "False")</f>
        <v>False</v>
      </c>
      <c r="X83" s="1" t="str">
        <f t="shared" si="122"/>
        <v>False</v>
      </c>
      <c r="Y83" s="1" t="str">
        <f t="shared" si="122"/>
        <v>False</v>
      </c>
      <c r="Z83" s="1" t="str">
        <f t="shared" si="122"/>
        <v>False</v>
      </c>
      <c r="AA83" s="1" t="str">
        <f t="shared" si="122"/>
        <v>False</v>
      </c>
      <c r="AB83" s="1" t="s">
        <v>600</v>
      </c>
      <c r="AC83">
        <f t="shared" si="99"/>
        <v>1</v>
      </c>
      <c r="AD83">
        <f t="shared" si="99"/>
        <v>1</v>
      </c>
      <c r="AE83">
        <f t="shared" si="99"/>
        <v>1</v>
      </c>
      <c r="AF83">
        <f t="shared" si="99"/>
        <v>1</v>
      </c>
      <c r="AG83">
        <f t="shared" si="99"/>
        <v>0</v>
      </c>
      <c r="AH83">
        <f t="shared" si="99"/>
        <v>1</v>
      </c>
      <c r="AI83" s="1">
        <f t="shared" si="100"/>
        <v>5</v>
      </c>
      <c r="AK83" s="1" t="s">
        <v>601</v>
      </c>
      <c r="AL83">
        <f t="shared" si="101"/>
        <v>1</v>
      </c>
      <c r="AM83">
        <f t="shared" si="101"/>
        <v>1</v>
      </c>
      <c r="AN83">
        <f t="shared" si="101"/>
        <v>1</v>
      </c>
      <c r="AO83">
        <f t="shared" si="101"/>
        <v>1</v>
      </c>
      <c r="AP83">
        <f t="shared" si="101"/>
        <v>1</v>
      </c>
      <c r="AQ83">
        <f t="shared" si="101"/>
        <v>1</v>
      </c>
      <c r="AR83">
        <f t="shared" si="101"/>
        <v>1</v>
      </c>
      <c r="AS83">
        <f t="shared" si="101"/>
        <v>1</v>
      </c>
      <c r="AU83" s="1" t="s">
        <v>46</v>
      </c>
      <c r="AV83" s="1">
        <f t="shared" si="108"/>
        <v>0</v>
      </c>
      <c r="AW83" s="1">
        <f t="shared" si="109"/>
        <v>1</v>
      </c>
      <c r="AX83" s="1">
        <f t="shared" si="110"/>
        <v>0</v>
      </c>
      <c r="AY83" s="1" t="s">
        <v>46</v>
      </c>
      <c r="BA83" s="1" t="s">
        <v>602</v>
      </c>
      <c r="BB83">
        <f t="shared" si="102"/>
        <v>1</v>
      </c>
      <c r="BC83">
        <f t="shared" si="102"/>
        <v>1</v>
      </c>
      <c r="BD83">
        <f t="shared" si="102"/>
        <v>1</v>
      </c>
      <c r="BE83">
        <f t="shared" si="102"/>
        <v>1</v>
      </c>
      <c r="BF83">
        <f t="shared" si="102"/>
        <v>1</v>
      </c>
      <c r="BG83">
        <f t="shared" si="102"/>
        <v>1</v>
      </c>
      <c r="BH83">
        <f t="shared" si="102"/>
        <v>1</v>
      </c>
      <c r="BI83">
        <f t="shared" si="102"/>
        <v>1</v>
      </c>
      <c r="BJ83">
        <f t="shared" si="102"/>
        <v>1</v>
      </c>
      <c r="BK83">
        <f t="shared" si="103"/>
        <v>9</v>
      </c>
      <c r="BO83">
        <f t="shared" si="104"/>
        <v>0</v>
      </c>
      <c r="BP83">
        <f t="shared" si="104"/>
        <v>0</v>
      </c>
      <c r="BQ83">
        <f t="shared" si="104"/>
        <v>0</v>
      </c>
      <c r="BR83">
        <f t="shared" si="104"/>
        <v>0</v>
      </c>
      <c r="BS83">
        <f t="shared" si="104"/>
        <v>0</v>
      </c>
      <c r="BT83">
        <f t="shared" si="104"/>
        <v>0</v>
      </c>
      <c r="BU83">
        <f t="shared" si="104"/>
        <v>0</v>
      </c>
      <c r="BZ83" s="1" t="s">
        <v>168</v>
      </c>
      <c r="CB83" s="1" t="s">
        <v>46</v>
      </c>
      <c r="CC83" s="1" t="s">
        <v>46</v>
      </c>
      <c r="CD83" s="1" t="s">
        <v>441</v>
      </c>
      <c r="CF83" s="1" t="s">
        <v>603</v>
      </c>
      <c r="CG83" s="1" t="s">
        <v>604</v>
      </c>
      <c r="CH83" s="1" t="s">
        <v>170</v>
      </c>
      <c r="CJ83" s="1" t="s">
        <v>605</v>
      </c>
      <c r="CL83" s="1" t="s">
        <v>349</v>
      </c>
      <c r="CM83" s="1" t="s">
        <v>46</v>
      </c>
      <c r="CN83" s="1" t="s">
        <v>606</v>
      </c>
      <c r="CU83" s="1" t="s">
        <v>175</v>
      </c>
      <c r="DC83" s="1" t="s">
        <v>235</v>
      </c>
    </row>
    <row r="84" spans="1:107" x14ac:dyDescent="0.25">
      <c r="A84" s="1" t="b">
        <v>1</v>
      </c>
      <c r="B84" s="2">
        <v>46165.311550925922</v>
      </c>
      <c r="C84" s="1" t="s">
        <v>607</v>
      </c>
      <c r="D84" s="1" t="s">
        <v>4</v>
      </c>
      <c r="E84">
        <f t="shared" ref="E84:K99" si="123">IF(ISNUMBER(SEARCH(E$1,$D84)), SEARCH(E$1,$D84), 0)</f>
        <v>1</v>
      </c>
      <c r="F84">
        <f t="shared" si="123"/>
        <v>0</v>
      </c>
      <c r="G84">
        <f t="shared" si="123"/>
        <v>0</v>
      </c>
      <c r="H84">
        <f t="shared" si="123"/>
        <v>0</v>
      </c>
      <c r="I84">
        <f t="shared" si="123"/>
        <v>0</v>
      </c>
      <c r="J84">
        <f t="shared" si="123"/>
        <v>0</v>
      </c>
      <c r="K84">
        <f t="shared" si="123"/>
        <v>0</v>
      </c>
      <c r="L84">
        <f t="shared" si="97"/>
        <v>1</v>
      </c>
      <c r="N84" s="1" t="s">
        <v>313</v>
      </c>
      <c r="O84" s="1"/>
      <c r="P84" s="1"/>
      <c r="Q84" s="1"/>
      <c r="R84" s="1"/>
      <c r="S84" s="1"/>
      <c r="T84" s="1"/>
      <c r="V84" s="1" t="s">
        <v>23</v>
      </c>
      <c r="W84" s="1" t="str">
        <f t="shared" ref="W84:AA84" si="124">IF(W$1=$V84, "True", "False")</f>
        <v>False</v>
      </c>
      <c r="X84" s="1" t="str">
        <f t="shared" si="124"/>
        <v>False</v>
      </c>
      <c r="Y84" s="1" t="str">
        <f t="shared" si="124"/>
        <v>True</v>
      </c>
      <c r="Z84" s="1" t="str">
        <f t="shared" si="124"/>
        <v>False</v>
      </c>
      <c r="AA84" s="1" t="str">
        <f t="shared" si="124"/>
        <v>False</v>
      </c>
      <c r="AB84" s="1" t="s">
        <v>30</v>
      </c>
      <c r="AC84">
        <f t="shared" ref="AC84:AH99" si="125">IF(ISNUMBER(SEARCH(AC$1,$AB84)), 1, 0)</f>
        <v>0</v>
      </c>
      <c r="AD84">
        <f t="shared" si="125"/>
        <v>0</v>
      </c>
      <c r="AE84">
        <f t="shared" si="125"/>
        <v>0</v>
      </c>
      <c r="AF84">
        <f t="shared" si="125"/>
        <v>1</v>
      </c>
      <c r="AG84">
        <f t="shared" si="125"/>
        <v>0</v>
      </c>
      <c r="AH84">
        <f t="shared" si="125"/>
        <v>0</v>
      </c>
      <c r="AI84" s="1">
        <f t="shared" si="100"/>
        <v>1</v>
      </c>
      <c r="AK84" s="1" t="s">
        <v>608</v>
      </c>
      <c r="AL84">
        <f t="shared" ref="AL84:AS99" si="126">IF(ISNUMBER(SEARCH(AL$1,$AK84)), 1, 0)</f>
        <v>0</v>
      </c>
      <c r="AM84">
        <f t="shared" si="126"/>
        <v>1</v>
      </c>
      <c r="AN84">
        <f t="shared" si="126"/>
        <v>1</v>
      </c>
      <c r="AO84">
        <f t="shared" si="126"/>
        <v>1</v>
      </c>
      <c r="AP84">
        <f t="shared" si="126"/>
        <v>1</v>
      </c>
      <c r="AQ84">
        <f t="shared" si="126"/>
        <v>1</v>
      </c>
      <c r="AR84">
        <f t="shared" si="126"/>
        <v>1</v>
      </c>
      <c r="AS84">
        <f t="shared" si="126"/>
        <v>0</v>
      </c>
      <c r="AU84" s="1" t="s">
        <v>45</v>
      </c>
      <c r="AV84" s="1">
        <f t="shared" si="108"/>
        <v>1</v>
      </c>
      <c r="AW84" s="1">
        <f t="shared" si="109"/>
        <v>0</v>
      </c>
      <c r="AX84" s="1">
        <f t="shared" si="110"/>
        <v>0</v>
      </c>
      <c r="AY84" s="1" t="s">
        <v>46</v>
      </c>
      <c r="BA84" s="1" t="s">
        <v>54</v>
      </c>
      <c r="BB84">
        <f t="shared" ref="BB84:BJ99" si="127">IF(ISNUMBER(SEARCH(BB$1,$BA84)), 1, 0)</f>
        <v>0</v>
      </c>
      <c r="BC84">
        <f t="shared" si="127"/>
        <v>0</v>
      </c>
      <c r="BD84">
        <f t="shared" si="127"/>
        <v>0</v>
      </c>
      <c r="BE84">
        <f t="shared" si="127"/>
        <v>1</v>
      </c>
      <c r="BF84">
        <f t="shared" si="127"/>
        <v>0</v>
      </c>
      <c r="BG84">
        <f t="shared" si="127"/>
        <v>0</v>
      </c>
      <c r="BH84">
        <f t="shared" si="127"/>
        <v>0</v>
      </c>
      <c r="BI84">
        <f t="shared" si="127"/>
        <v>0</v>
      </c>
      <c r="BJ84">
        <f t="shared" si="127"/>
        <v>0</v>
      </c>
      <c r="BK84">
        <f t="shared" si="103"/>
        <v>1</v>
      </c>
      <c r="BM84" s="1" t="s">
        <v>187</v>
      </c>
      <c r="BN84" s="1" t="s">
        <v>69</v>
      </c>
      <c r="BO84">
        <f t="shared" ref="BO84:BU99" si="128">IF(ISNUMBER(SEARCH(BO$1,$BN84)), 1, 0)</f>
        <v>0</v>
      </c>
      <c r="BP84">
        <f t="shared" si="128"/>
        <v>0</v>
      </c>
      <c r="BQ84">
        <f t="shared" si="128"/>
        <v>0</v>
      </c>
      <c r="BR84">
        <f t="shared" si="128"/>
        <v>0</v>
      </c>
      <c r="BS84">
        <f t="shared" si="128"/>
        <v>0</v>
      </c>
      <c r="BT84">
        <f t="shared" si="128"/>
        <v>0</v>
      </c>
      <c r="BU84">
        <f t="shared" si="128"/>
        <v>1</v>
      </c>
      <c r="DC84" s="1" t="s">
        <v>177</v>
      </c>
    </row>
    <row r="85" spans="1:107" x14ac:dyDescent="0.25">
      <c r="A85" s="1" t="b">
        <v>1</v>
      </c>
      <c r="B85" s="2">
        <v>46165.45511574074</v>
      </c>
      <c r="C85" s="1" t="s">
        <v>609</v>
      </c>
      <c r="D85" s="1" t="s">
        <v>204</v>
      </c>
      <c r="E85">
        <f t="shared" si="123"/>
        <v>1</v>
      </c>
      <c r="F85">
        <f t="shared" si="123"/>
        <v>30</v>
      </c>
      <c r="G85">
        <f t="shared" si="123"/>
        <v>0</v>
      </c>
      <c r="H85">
        <f t="shared" si="123"/>
        <v>0</v>
      </c>
      <c r="I85">
        <f t="shared" si="123"/>
        <v>0</v>
      </c>
      <c r="J85">
        <f t="shared" si="123"/>
        <v>0</v>
      </c>
      <c r="K85">
        <f t="shared" si="123"/>
        <v>0</v>
      </c>
      <c r="L85">
        <f t="shared" si="97"/>
        <v>30</v>
      </c>
      <c r="N85" s="1" t="s">
        <v>184</v>
      </c>
      <c r="O85" s="1"/>
      <c r="P85" s="1"/>
      <c r="Q85" s="1"/>
      <c r="R85" s="1"/>
      <c r="S85" s="1"/>
      <c r="T85" s="1"/>
      <c r="V85" s="1" t="s">
        <v>23</v>
      </c>
      <c r="W85" s="1" t="str">
        <f t="shared" ref="W85:AA85" si="129">IF(W$1=$V85, "True", "False")</f>
        <v>False</v>
      </c>
      <c r="X85" s="1" t="str">
        <f t="shared" si="129"/>
        <v>False</v>
      </c>
      <c r="Y85" s="1" t="str">
        <f t="shared" si="129"/>
        <v>True</v>
      </c>
      <c r="Z85" s="1" t="str">
        <f t="shared" si="129"/>
        <v>False</v>
      </c>
      <c r="AA85" s="1" t="str">
        <f t="shared" si="129"/>
        <v>False</v>
      </c>
      <c r="AB85" s="1" t="s">
        <v>610</v>
      </c>
      <c r="AC85">
        <f t="shared" si="125"/>
        <v>1</v>
      </c>
      <c r="AD85">
        <f t="shared" si="125"/>
        <v>1</v>
      </c>
      <c r="AE85">
        <f t="shared" si="125"/>
        <v>0</v>
      </c>
      <c r="AF85">
        <f t="shared" si="125"/>
        <v>1</v>
      </c>
      <c r="AG85">
        <f t="shared" si="125"/>
        <v>0</v>
      </c>
      <c r="AH85">
        <f t="shared" si="125"/>
        <v>1</v>
      </c>
      <c r="AI85" s="1">
        <f t="shared" si="100"/>
        <v>4</v>
      </c>
      <c r="AJ85" s="1" t="s">
        <v>611</v>
      </c>
      <c r="AK85" s="1" t="s">
        <v>362</v>
      </c>
      <c r="AL85">
        <f t="shared" si="126"/>
        <v>1</v>
      </c>
      <c r="AM85">
        <f t="shared" si="126"/>
        <v>1</v>
      </c>
      <c r="AN85">
        <f t="shared" si="126"/>
        <v>1</v>
      </c>
      <c r="AO85">
        <f t="shared" si="126"/>
        <v>1</v>
      </c>
      <c r="AP85">
        <f t="shared" si="126"/>
        <v>1</v>
      </c>
      <c r="AQ85">
        <f t="shared" si="126"/>
        <v>1</v>
      </c>
      <c r="AR85">
        <f t="shared" si="126"/>
        <v>1</v>
      </c>
      <c r="AS85">
        <f t="shared" si="126"/>
        <v>1</v>
      </c>
      <c r="AU85" s="1" t="s">
        <v>46</v>
      </c>
      <c r="AV85" s="1">
        <f t="shared" si="108"/>
        <v>0</v>
      </c>
      <c r="AW85" s="1">
        <f t="shared" si="109"/>
        <v>1</v>
      </c>
      <c r="AX85" s="1">
        <f t="shared" si="110"/>
        <v>0</v>
      </c>
      <c r="AY85" s="1" t="s">
        <v>45</v>
      </c>
      <c r="AZ85" s="1" t="s">
        <v>46</v>
      </c>
      <c r="BA85" s="1" t="s">
        <v>612</v>
      </c>
      <c r="BB85">
        <f t="shared" si="127"/>
        <v>1</v>
      </c>
      <c r="BC85">
        <f t="shared" si="127"/>
        <v>0</v>
      </c>
      <c r="BD85">
        <f t="shared" si="127"/>
        <v>0</v>
      </c>
      <c r="BE85">
        <f t="shared" si="127"/>
        <v>0</v>
      </c>
      <c r="BF85">
        <f t="shared" si="127"/>
        <v>0</v>
      </c>
      <c r="BG85">
        <f t="shared" si="127"/>
        <v>0</v>
      </c>
      <c r="BH85">
        <f t="shared" si="127"/>
        <v>1</v>
      </c>
      <c r="BI85">
        <f t="shared" si="127"/>
        <v>1</v>
      </c>
      <c r="BJ85">
        <f t="shared" si="127"/>
        <v>1</v>
      </c>
      <c r="BK85">
        <f t="shared" si="103"/>
        <v>4</v>
      </c>
      <c r="BO85">
        <f t="shared" si="128"/>
        <v>0</v>
      </c>
      <c r="BP85">
        <f t="shared" si="128"/>
        <v>0</v>
      </c>
      <c r="BQ85">
        <f t="shared" si="128"/>
        <v>0</v>
      </c>
      <c r="BR85">
        <f t="shared" si="128"/>
        <v>0</v>
      </c>
      <c r="BS85">
        <f t="shared" si="128"/>
        <v>0</v>
      </c>
      <c r="BT85">
        <f t="shared" si="128"/>
        <v>0</v>
      </c>
      <c r="BU85">
        <f t="shared" si="128"/>
        <v>0</v>
      </c>
      <c r="BW85" s="1" t="s">
        <v>166</v>
      </c>
      <c r="CX85" s="1" t="s">
        <v>531</v>
      </c>
      <c r="CZ85" s="1" t="s">
        <v>613</v>
      </c>
      <c r="DB85" s="1" t="s">
        <v>614</v>
      </c>
      <c r="DC85" s="1" t="s">
        <v>235</v>
      </c>
    </row>
    <row r="86" spans="1:107" x14ac:dyDescent="0.25">
      <c r="A86" s="1" t="b">
        <v>1</v>
      </c>
      <c r="B86" s="2">
        <v>46165.493495370371</v>
      </c>
      <c r="C86" s="1" t="s">
        <v>615</v>
      </c>
      <c r="D86" s="1" t="s">
        <v>204</v>
      </c>
      <c r="E86">
        <f t="shared" si="123"/>
        <v>1</v>
      </c>
      <c r="F86">
        <f t="shared" si="123"/>
        <v>30</v>
      </c>
      <c r="G86">
        <f t="shared" si="123"/>
        <v>0</v>
      </c>
      <c r="H86">
        <f t="shared" si="123"/>
        <v>0</v>
      </c>
      <c r="I86">
        <f t="shared" si="123"/>
        <v>0</v>
      </c>
      <c r="J86">
        <f t="shared" si="123"/>
        <v>0</v>
      </c>
      <c r="K86">
        <f t="shared" si="123"/>
        <v>0</v>
      </c>
      <c r="L86">
        <f t="shared" si="97"/>
        <v>30</v>
      </c>
      <c r="N86" s="1" t="s">
        <v>325</v>
      </c>
      <c r="O86" s="1"/>
      <c r="P86" s="1"/>
      <c r="Q86" s="1"/>
      <c r="R86" s="1"/>
      <c r="S86" s="1"/>
      <c r="T86" s="1"/>
      <c r="W86" s="1" t="str">
        <f t="shared" ref="W86:AA86" si="130">IF(W$1=$V86, "True", "False")</f>
        <v>False</v>
      </c>
      <c r="X86" s="1" t="str">
        <f t="shared" si="130"/>
        <v>False</v>
      </c>
      <c r="Y86" s="1" t="str">
        <f t="shared" si="130"/>
        <v>False</v>
      </c>
      <c r="Z86" s="1" t="str">
        <f t="shared" si="130"/>
        <v>False</v>
      </c>
      <c r="AA86" s="1" t="str">
        <f t="shared" si="130"/>
        <v>False</v>
      </c>
      <c r="AB86" s="1" t="s">
        <v>180</v>
      </c>
      <c r="AC86">
        <f t="shared" si="125"/>
        <v>0</v>
      </c>
      <c r="AD86">
        <f t="shared" si="125"/>
        <v>0</v>
      </c>
      <c r="AE86">
        <f t="shared" si="125"/>
        <v>0</v>
      </c>
      <c r="AF86">
        <f t="shared" si="125"/>
        <v>0</v>
      </c>
      <c r="AG86">
        <f t="shared" si="125"/>
        <v>0</v>
      </c>
      <c r="AH86">
        <f t="shared" si="125"/>
        <v>0</v>
      </c>
      <c r="AI86" s="1">
        <f t="shared" si="100"/>
        <v>0</v>
      </c>
      <c r="AJ86" s="1" t="s">
        <v>616</v>
      </c>
      <c r="AK86" s="1" t="s">
        <v>285</v>
      </c>
      <c r="AL86">
        <f t="shared" si="126"/>
        <v>0</v>
      </c>
      <c r="AM86">
        <f t="shared" si="126"/>
        <v>1</v>
      </c>
      <c r="AN86">
        <f t="shared" si="126"/>
        <v>0</v>
      </c>
      <c r="AO86">
        <f t="shared" si="126"/>
        <v>1</v>
      </c>
      <c r="AP86">
        <f t="shared" si="126"/>
        <v>0</v>
      </c>
      <c r="AQ86">
        <f t="shared" si="126"/>
        <v>0</v>
      </c>
      <c r="AR86">
        <f t="shared" si="126"/>
        <v>0</v>
      </c>
      <c r="AS86">
        <f t="shared" si="126"/>
        <v>0</v>
      </c>
      <c r="AU86" s="1" t="s">
        <v>45</v>
      </c>
      <c r="AV86" s="1">
        <f t="shared" si="108"/>
        <v>1</v>
      </c>
      <c r="AW86" s="1">
        <f t="shared" si="109"/>
        <v>0</v>
      </c>
      <c r="AX86" s="1">
        <f t="shared" si="110"/>
        <v>0</v>
      </c>
      <c r="AY86" s="1" t="s">
        <v>46</v>
      </c>
      <c r="BA86" s="1" t="s">
        <v>59</v>
      </c>
      <c r="BB86">
        <f t="shared" si="127"/>
        <v>0</v>
      </c>
      <c r="BC86">
        <f t="shared" si="127"/>
        <v>0</v>
      </c>
      <c r="BD86">
        <f t="shared" si="127"/>
        <v>0</v>
      </c>
      <c r="BE86">
        <f t="shared" si="127"/>
        <v>0</v>
      </c>
      <c r="BF86">
        <f t="shared" si="127"/>
        <v>0</v>
      </c>
      <c r="BG86">
        <f t="shared" si="127"/>
        <v>0</v>
      </c>
      <c r="BH86">
        <f t="shared" si="127"/>
        <v>0</v>
      </c>
      <c r="BI86">
        <f t="shared" si="127"/>
        <v>0</v>
      </c>
      <c r="BJ86">
        <f t="shared" si="127"/>
        <v>1</v>
      </c>
      <c r="BK86">
        <f t="shared" si="103"/>
        <v>1</v>
      </c>
      <c r="BM86" s="1" t="s">
        <v>163</v>
      </c>
      <c r="BN86" s="1" t="s">
        <v>66</v>
      </c>
      <c r="BO86">
        <f t="shared" si="128"/>
        <v>0</v>
      </c>
      <c r="BP86">
        <f t="shared" si="128"/>
        <v>0</v>
      </c>
      <c r="BQ86">
        <f t="shared" si="128"/>
        <v>0</v>
      </c>
      <c r="BR86">
        <f t="shared" si="128"/>
        <v>1</v>
      </c>
      <c r="BS86">
        <f t="shared" si="128"/>
        <v>0</v>
      </c>
      <c r="BT86">
        <f t="shared" si="128"/>
        <v>0</v>
      </c>
      <c r="BU86">
        <f t="shared" si="128"/>
        <v>0</v>
      </c>
      <c r="CX86" s="1" t="s">
        <v>617</v>
      </c>
      <c r="CZ86" s="1" t="s">
        <v>175</v>
      </c>
      <c r="DC86" s="1" t="s">
        <v>177</v>
      </c>
    </row>
    <row r="87" spans="1:107" x14ac:dyDescent="0.25">
      <c r="A87" s="1" t="b">
        <v>1</v>
      </c>
      <c r="B87" s="2">
        <v>46165.503668981481</v>
      </c>
      <c r="C87" s="1" t="s">
        <v>618</v>
      </c>
      <c r="D87" s="1" t="s">
        <v>4</v>
      </c>
      <c r="E87">
        <f t="shared" si="123"/>
        <v>1</v>
      </c>
      <c r="F87">
        <f t="shared" si="123"/>
        <v>0</v>
      </c>
      <c r="G87">
        <f t="shared" si="123"/>
        <v>0</v>
      </c>
      <c r="H87">
        <f t="shared" si="123"/>
        <v>0</v>
      </c>
      <c r="I87">
        <f t="shared" si="123"/>
        <v>0</v>
      </c>
      <c r="J87">
        <f t="shared" si="123"/>
        <v>0</v>
      </c>
      <c r="K87">
        <f t="shared" si="123"/>
        <v>0</v>
      </c>
      <c r="L87">
        <f t="shared" si="97"/>
        <v>1</v>
      </c>
      <c r="N87" s="1" t="s">
        <v>16</v>
      </c>
      <c r="O87" s="1"/>
      <c r="P87" s="1"/>
      <c r="Q87" s="1"/>
      <c r="R87" s="1"/>
      <c r="S87" s="1"/>
      <c r="T87" s="1"/>
      <c r="V87" s="1" t="s">
        <v>22</v>
      </c>
      <c r="W87" s="1" t="str">
        <f t="shared" ref="W87:AA87" si="131">IF(W$1=$V87, "True", "False")</f>
        <v>False</v>
      </c>
      <c r="X87" s="1" t="str">
        <f t="shared" si="131"/>
        <v>True</v>
      </c>
      <c r="Y87" s="1" t="str">
        <f t="shared" si="131"/>
        <v>False</v>
      </c>
      <c r="Z87" s="1" t="str">
        <f t="shared" si="131"/>
        <v>False</v>
      </c>
      <c r="AA87" s="1" t="str">
        <f t="shared" si="131"/>
        <v>False</v>
      </c>
      <c r="AB87" s="1" t="s">
        <v>180</v>
      </c>
      <c r="AC87">
        <f t="shared" si="125"/>
        <v>0</v>
      </c>
      <c r="AD87">
        <f t="shared" si="125"/>
        <v>0</v>
      </c>
      <c r="AE87">
        <f t="shared" si="125"/>
        <v>0</v>
      </c>
      <c r="AF87">
        <f t="shared" si="125"/>
        <v>0</v>
      </c>
      <c r="AG87">
        <f t="shared" si="125"/>
        <v>0</v>
      </c>
      <c r="AH87">
        <f t="shared" si="125"/>
        <v>0</v>
      </c>
      <c r="AI87" s="1">
        <f t="shared" si="100"/>
        <v>0</v>
      </c>
      <c r="AJ87" s="1" t="s">
        <v>399</v>
      </c>
      <c r="AK87" s="1" t="s">
        <v>36</v>
      </c>
      <c r="AL87">
        <f t="shared" si="126"/>
        <v>0</v>
      </c>
      <c r="AM87">
        <f t="shared" si="126"/>
        <v>1</v>
      </c>
      <c r="AN87">
        <f t="shared" si="126"/>
        <v>0</v>
      </c>
      <c r="AO87">
        <f t="shared" si="126"/>
        <v>0</v>
      </c>
      <c r="AP87">
        <f t="shared" si="126"/>
        <v>0</v>
      </c>
      <c r="AQ87">
        <f t="shared" si="126"/>
        <v>0</v>
      </c>
      <c r="AR87">
        <f t="shared" si="126"/>
        <v>0</v>
      </c>
      <c r="AS87">
        <f t="shared" si="126"/>
        <v>0</v>
      </c>
      <c r="AU87" s="1" t="s">
        <v>47</v>
      </c>
      <c r="AV87" s="1">
        <f t="shared" si="108"/>
        <v>0</v>
      </c>
      <c r="AW87" s="1">
        <f t="shared" si="109"/>
        <v>0</v>
      </c>
      <c r="AX87" s="1">
        <f t="shared" si="110"/>
        <v>1</v>
      </c>
      <c r="AY87" s="1" t="s">
        <v>46</v>
      </c>
      <c r="BA87" s="1" t="s">
        <v>59</v>
      </c>
      <c r="BB87">
        <f t="shared" si="127"/>
        <v>0</v>
      </c>
      <c r="BC87">
        <f t="shared" si="127"/>
        <v>0</v>
      </c>
      <c r="BD87">
        <f t="shared" si="127"/>
        <v>0</v>
      </c>
      <c r="BE87">
        <f t="shared" si="127"/>
        <v>0</v>
      </c>
      <c r="BF87">
        <f t="shared" si="127"/>
        <v>0</v>
      </c>
      <c r="BG87">
        <f t="shared" si="127"/>
        <v>0</v>
      </c>
      <c r="BH87">
        <f t="shared" si="127"/>
        <v>0</v>
      </c>
      <c r="BI87">
        <f t="shared" si="127"/>
        <v>0</v>
      </c>
      <c r="BJ87">
        <f t="shared" si="127"/>
        <v>1</v>
      </c>
      <c r="BK87">
        <f t="shared" si="103"/>
        <v>1</v>
      </c>
      <c r="BM87" s="1" t="s">
        <v>229</v>
      </c>
      <c r="BN87" s="1" t="s">
        <v>67</v>
      </c>
      <c r="BO87">
        <f t="shared" si="128"/>
        <v>0</v>
      </c>
      <c r="BP87">
        <f t="shared" si="128"/>
        <v>0</v>
      </c>
      <c r="BQ87">
        <f t="shared" si="128"/>
        <v>0</v>
      </c>
      <c r="BR87">
        <f t="shared" si="128"/>
        <v>0</v>
      </c>
      <c r="BS87">
        <f t="shared" si="128"/>
        <v>1</v>
      </c>
      <c r="BT87">
        <f t="shared" si="128"/>
        <v>0</v>
      </c>
      <c r="BU87">
        <f t="shared" si="128"/>
        <v>0</v>
      </c>
      <c r="DC87" s="1" t="s">
        <v>177</v>
      </c>
    </row>
    <row r="88" spans="1:107" x14ac:dyDescent="0.25">
      <c r="A88" s="1" t="b">
        <v>1</v>
      </c>
      <c r="B88" s="2">
        <v>46165.772303240738</v>
      </c>
      <c r="C88" s="1" t="s">
        <v>619</v>
      </c>
      <c r="D88" s="1" t="s">
        <v>4</v>
      </c>
      <c r="E88">
        <f t="shared" si="123"/>
        <v>1</v>
      </c>
      <c r="F88">
        <f t="shared" si="123"/>
        <v>0</v>
      </c>
      <c r="G88">
        <f t="shared" si="123"/>
        <v>0</v>
      </c>
      <c r="H88">
        <f t="shared" si="123"/>
        <v>0</v>
      </c>
      <c r="I88">
        <f t="shared" si="123"/>
        <v>0</v>
      </c>
      <c r="J88">
        <f t="shared" si="123"/>
        <v>0</v>
      </c>
      <c r="K88">
        <f t="shared" si="123"/>
        <v>0</v>
      </c>
      <c r="L88">
        <f t="shared" si="97"/>
        <v>1</v>
      </c>
      <c r="N88" s="1" t="s">
        <v>205</v>
      </c>
      <c r="O88" s="1"/>
      <c r="P88" s="1"/>
      <c r="Q88" s="1"/>
      <c r="R88" s="1"/>
      <c r="S88" s="1"/>
      <c r="T88" s="1"/>
      <c r="W88" s="1" t="str">
        <f t="shared" ref="W88:AA88" si="132">IF(W$1=$V88, "True", "False")</f>
        <v>False</v>
      </c>
      <c r="X88" s="1" t="str">
        <f t="shared" si="132"/>
        <v>False</v>
      </c>
      <c r="Y88" s="1" t="str">
        <f t="shared" si="132"/>
        <v>False</v>
      </c>
      <c r="Z88" s="1" t="str">
        <f t="shared" si="132"/>
        <v>False</v>
      </c>
      <c r="AA88" s="1" t="str">
        <f t="shared" si="132"/>
        <v>False</v>
      </c>
      <c r="AB88" s="1" t="s">
        <v>484</v>
      </c>
      <c r="AC88">
        <f t="shared" si="125"/>
        <v>0</v>
      </c>
      <c r="AD88">
        <f t="shared" si="125"/>
        <v>0</v>
      </c>
      <c r="AE88">
        <f t="shared" si="125"/>
        <v>0</v>
      </c>
      <c r="AF88">
        <f t="shared" si="125"/>
        <v>1</v>
      </c>
      <c r="AG88">
        <f t="shared" si="125"/>
        <v>0</v>
      </c>
      <c r="AH88">
        <f t="shared" si="125"/>
        <v>1</v>
      </c>
      <c r="AI88" s="1">
        <f t="shared" si="100"/>
        <v>2</v>
      </c>
      <c r="AK88" s="1" t="s">
        <v>620</v>
      </c>
      <c r="AL88">
        <f t="shared" si="126"/>
        <v>0</v>
      </c>
      <c r="AM88">
        <f t="shared" si="126"/>
        <v>1</v>
      </c>
      <c r="AN88">
        <f t="shared" si="126"/>
        <v>1</v>
      </c>
      <c r="AO88">
        <f t="shared" si="126"/>
        <v>1</v>
      </c>
      <c r="AP88">
        <f t="shared" si="126"/>
        <v>1</v>
      </c>
      <c r="AQ88">
        <f t="shared" si="126"/>
        <v>1</v>
      </c>
      <c r="AR88">
        <f t="shared" si="126"/>
        <v>0</v>
      </c>
      <c r="AS88">
        <f t="shared" si="126"/>
        <v>0</v>
      </c>
      <c r="AU88" s="1" t="s">
        <v>45</v>
      </c>
      <c r="AV88" s="1">
        <f t="shared" si="108"/>
        <v>1</v>
      </c>
      <c r="AW88" s="1">
        <f t="shared" si="109"/>
        <v>0</v>
      </c>
      <c r="AX88" s="1">
        <f t="shared" si="110"/>
        <v>0</v>
      </c>
      <c r="AY88" s="1" t="s">
        <v>46</v>
      </c>
      <c r="BA88" s="1" t="s">
        <v>621</v>
      </c>
      <c r="BB88">
        <f t="shared" si="127"/>
        <v>0</v>
      </c>
      <c r="BC88">
        <f t="shared" si="127"/>
        <v>0</v>
      </c>
      <c r="BD88">
        <f t="shared" si="127"/>
        <v>0</v>
      </c>
      <c r="BE88">
        <f t="shared" si="127"/>
        <v>1</v>
      </c>
      <c r="BF88">
        <f t="shared" si="127"/>
        <v>0</v>
      </c>
      <c r="BG88">
        <f t="shared" si="127"/>
        <v>1</v>
      </c>
      <c r="BH88">
        <f t="shared" si="127"/>
        <v>0</v>
      </c>
      <c r="BI88">
        <f t="shared" si="127"/>
        <v>0</v>
      </c>
      <c r="BJ88">
        <f t="shared" si="127"/>
        <v>1</v>
      </c>
      <c r="BK88">
        <f t="shared" si="103"/>
        <v>3</v>
      </c>
      <c r="BM88" s="1" t="s">
        <v>229</v>
      </c>
      <c r="BN88" s="1" t="s">
        <v>622</v>
      </c>
      <c r="BO88">
        <f t="shared" si="128"/>
        <v>1</v>
      </c>
      <c r="BP88">
        <f t="shared" si="128"/>
        <v>0</v>
      </c>
      <c r="BQ88">
        <f t="shared" si="128"/>
        <v>0</v>
      </c>
      <c r="BR88">
        <f t="shared" si="128"/>
        <v>0</v>
      </c>
      <c r="BS88">
        <f t="shared" si="128"/>
        <v>1</v>
      </c>
      <c r="BT88">
        <f t="shared" si="128"/>
        <v>0</v>
      </c>
      <c r="BU88">
        <f t="shared" si="128"/>
        <v>0</v>
      </c>
      <c r="DC88" s="1" t="s">
        <v>177</v>
      </c>
    </row>
    <row r="89" spans="1:107" x14ac:dyDescent="0.25">
      <c r="A89" s="1" t="b">
        <v>1</v>
      </c>
      <c r="B89" s="2">
        <v>46165.828402777777</v>
      </c>
      <c r="C89" s="1" t="s">
        <v>623</v>
      </c>
      <c r="D89" s="1" t="s">
        <v>5</v>
      </c>
      <c r="E89">
        <f t="shared" si="123"/>
        <v>0</v>
      </c>
      <c r="F89">
        <f t="shared" si="123"/>
        <v>1</v>
      </c>
      <c r="G89">
        <f t="shared" si="123"/>
        <v>0</v>
      </c>
      <c r="H89">
        <f t="shared" si="123"/>
        <v>0</v>
      </c>
      <c r="I89">
        <f t="shared" si="123"/>
        <v>0</v>
      </c>
      <c r="J89">
        <f t="shared" si="123"/>
        <v>0</v>
      </c>
      <c r="K89">
        <f t="shared" si="123"/>
        <v>0</v>
      </c>
      <c r="L89">
        <f t="shared" si="97"/>
        <v>1</v>
      </c>
      <c r="N89" s="1" t="s">
        <v>13</v>
      </c>
      <c r="O89" s="1"/>
      <c r="P89" s="1"/>
      <c r="Q89" s="1"/>
      <c r="R89" s="1"/>
      <c r="S89" s="1"/>
      <c r="T89" s="1"/>
      <c r="W89" s="1" t="str">
        <f t="shared" ref="W89:AA89" si="133">IF(W$1=$V89, "True", "False")</f>
        <v>False</v>
      </c>
      <c r="X89" s="1" t="str">
        <f t="shared" si="133"/>
        <v>False</v>
      </c>
      <c r="Y89" s="1" t="str">
        <f t="shared" si="133"/>
        <v>False</v>
      </c>
      <c r="Z89" s="1" t="str">
        <f t="shared" si="133"/>
        <v>False</v>
      </c>
      <c r="AA89" s="1" t="str">
        <f t="shared" si="133"/>
        <v>False</v>
      </c>
      <c r="AB89" s="1" t="s">
        <v>308</v>
      </c>
      <c r="AC89">
        <f t="shared" si="125"/>
        <v>1</v>
      </c>
      <c r="AD89">
        <f t="shared" si="125"/>
        <v>0</v>
      </c>
      <c r="AE89">
        <f t="shared" si="125"/>
        <v>0</v>
      </c>
      <c r="AF89">
        <f t="shared" si="125"/>
        <v>0</v>
      </c>
      <c r="AG89">
        <f t="shared" si="125"/>
        <v>0</v>
      </c>
      <c r="AH89">
        <f t="shared" si="125"/>
        <v>0</v>
      </c>
      <c r="AI89" s="1">
        <f t="shared" si="100"/>
        <v>1</v>
      </c>
      <c r="AJ89" s="1" t="s">
        <v>624</v>
      </c>
      <c r="AK89" s="1" t="s">
        <v>467</v>
      </c>
      <c r="AL89">
        <f t="shared" si="126"/>
        <v>0</v>
      </c>
      <c r="AM89">
        <f t="shared" si="126"/>
        <v>1</v>
      </c>
      <c r="AN89">
        <f t="shared" si="126"/>
        <v>0</v>
      </c>
      <c r="AO89">
        <f t="shared" si="126"/>
        <v>1</v>
      </c>
      <c r="AP89">
        <f t="shared" si="126"/>
        <v>0</v>
      </c>
      <c r="AQ89">
        <f t="shared" si="126"/>
        <v>1</v>
      </c>
      <c r="AR89">
        <f t="shared" si="126"/>
        <v>0</v>
      </c>
      <c r="AS89">
        <f t="shared" si="126"/>
        <v>0</v>
      </c>
      <c r="AU89" s="1" t="s">
        <v>45</v>
      </c>
      <c r="AV89" s="1">
        <f t="shared" si="108"/>
        <v>1</v>
      </c>
      <c r="AW89" s="1">
        <f t="shared" si="109"/>
        <v>0</v>
      </c>
      <c r="AX89" s="1">
        <f t="shared" si="110"/>
        <v>0</v>
      </c>
      <c r="AY89" s="1" t="s">
        <v>46</v>
      </c>
      <c r="BA89" s="1" t="s">
        <v>625</v>
      </c>
      <c r="BB89">
        <f t="shared" si="127"/>
        <v>1</v>
      </c>
      <c r="BC89">
        <f t="shared" si="127"/>
        <v>0</v>
      </c>
      <c r="BD89">
        <f t="shared" si="127"/>
        <v>1</v>
      </c>
      <c r="BE89">
        <f t="shared" si="127"/>
        <v>1</v>
      </c>
      <c r="BF89">
        <f t="shared" si="127"/>
        <v>1</v>
      </c>
      <c r="BG89">
        <f t="shared" si="127"/>
        <v>0</v>
      </c>
      <c r="BH89">
        <f t="shared" si="127"/>
        <v>0</v>
      </c>
      <c r="BI89">
        <f t="shared" si="127"/>
        <v>0</v>
      </c>
      <c r="BJ89">
        <f t="shared" si="127"/>
        <v>1</v>
      </c>
      <c r="BK89">
        <f t="shared" si="103"/>
        <v>5</v>
      </c>
      <c r="BM89" s="1" t="s">
        <v>229</v>
      </c>
      <c r="BN89" s="1" t="s">
        <v>626</v>
      </c>
      <c r="BO89">
        <f t="shared" si="128"/>
        <v>0</v>
      </c>
      <c r="BP89">
        <f t="shared" si="128"/>
        <v>0</v>
      </c>
      <c r="BQ89">
        <f t="shared" si="128"/>
        <v>0</v>
      </c>
      <c r="BR89">
        <f t="shared" si="128"/>
        <v>0</v>
      </c>
      <c r="BS89">
        <f t="shared" si="128"/>
        <v>1</v>
      </c>
      <c r="BT89">
        <f t="shared" si="128"/>
        <v>1</v>
      </c>
      <c r="BU89">
        <f t="shared" si="128"/>
        <v>0</v>
      </c>
      <c r="CX89" s="1" t="s">
        <v>627</v>
      </c>
      <c r="CZ89" s="1" t="s">
        <v>628</v>
      </c>
      <c r="DC89" s="1" t="s">
        <v>235</v>
      </c>
    </row>
    <row r="90" spans="1:107" x14ac:dyDescent="0.25">
      <c r="A90" s="1" t="b">
        <v>0</v>
      </c>
      <c r="B90" s="2">
        <v>46166.174571759257</v>
      </c>
      <c r="C90" s="1" t="s">
        <v>629</v>
      </c>
      <c r="D90" s="1" t="s">
        <v>5</v>
      </c>
      <c r="E90">
        <f t="shared" si="123"/>
        <v>0</v>
      </c>
      <c r="F90">
        <f t="shared" si="123"/>
        <v>1</v>
      </c>
      <c r="G90">
        <f t="shared" si="123"/>
        <v>0</v>
      </c>
      <c r="H90">
        <f t="shared" si="123"/>
        <v>0</v>
      </c>
      <c r="I90">
        <f t="shared" si="123"/>
        <v>0</v>
      </c>
      <c r="J90">
        <f t="shared" si="123"/>
        <v>0</v>
      </c>
      <c r="K90">
        <f t="shared" si="123"/>
        <v>0</v>
      </c>
      <c r="L90">
        <f t="shared" si="97"/>
        <v>1</v>
      </c>
      <c r="N90" s="1" t="s">
        <v>237</v>
      </c>
      <c r="O90" s="1"/>
      <c r="P90" s="1"/>
      <c r="Q90" s="1"/>
      <c r="R90" s="1"/>
      <c r="S90" s="1"/>
      <c r="T90" s="1"/>
      <c r="W90" s="1" t="str">
        <f t="shared" ref="W90:AA90" si="134">IF(W$1=$V90, "True", "False")</f>
        <v>False</v>
      </c>
      <c r="X90" s="1" t="str">
        <f t="shared" si="134"/>
        <v>False</v>
      </c>
      <c r="Y90" s="1" t="str">
        <f t="shared" si="134"/>
        <v>False</v>
      </c>
      <c r="Z90" s="1" t="str">
        <f t="shared" si="134"/>
        <v>False</v>
      </c>
      <c r="AA90" s="1" t="str">
        <f t="shared" si="134"/>
        <v>False</v>
      </c>
      <c r="AC90">
        <f t="shared" si="125"/>
        <v>0</v>
      </c>
      <c r="AD90">
        <f t="shared" si="125"/>
        <v>0</v>
      </c>
      <c r="AE90">
        <f t="shared" si="125"/>
        <v>0</v>
      </c>
      <c r="AF90">
        <f t="shared" si="125"/>
        <v>0</v>
      </c>
      <c r="AG90">
        <f t="shared" si="125"/>
        <v>0</v>
      </c>
      <c r="AH90">
        <f t="shared" si="125"/>
        <v>0</v>
      </c>
      <c r="AI90" s="1">
        <f t="shared" si="100"/>
        <v>0</v>
      </c>
      <c r="AL90">
        <f t="shared" si="126"/>
        <v>0</v>
      </c>
      <c r="AM90">
        <f t="shared" si="126"/>
        <v>0</v>
      </c>
      <c r="AN90">
        <f t="shared" si="126"/>
        <v>0</v>
      </c>
      <c r="AO90">
        <f t="shared" si="126"/>
        <v>0</v>
      </c>
      <c r="AP90">
        <f t="shared" si="126"/>
        <v>0</v>
      </c>
      <c r="AQ90">
        <f t="shared" si="126"/>
        <v>0</v>
      </c>
      <c r="AR90">
        <f t="shared" si="126"/>
        <v>0</v>
      </c>
      <c r="AS90">
        <f t="shared" si="126"/>
        <v>0</v>
      </c>
      <c r="AV90" s="1">
        <f t="shared" si="108"/>
        <v>0</v>
      </c>
      <c r="AW90" s="1">
        <f t="shared" si="109"/>
        <v>0</v>
      </c>
      <c r="AX90" s="1">
        <f t="shared" si="110"/>
        <v>0</v>
      </c>
      <c r="BB90">
        <f t="shared" si="127"/>
        <v>0</v>
      </c>
      <c r="BC90">
        <f t="shared" si="127"/>
        <v>0</v>
      </c>
      <c r="BD90">
        <f t="shared" si="127"/>
        <v>0</v>
      </c>
      <c r="BE90">
        <f t="shared" si="127"/>
        <v>0</v>
      </c>
      <c r="BF90">
        <f t="shared" si="127"/>
        <v>0</v>
      </c>
      <c r="BG90">
        <f t="shared" si="127"/>
        <v>0</v>
      </c>
      <c r="BH90">
        <f t="shared" si="127"/>
        <v>0</v>
      </c>
      <c r="BI90">
        <f t="shared" si="127"/>
        <v>0</v>
      </c>
      <c r="BJ90">
        <f t="shared" si="127"/>
        <v>0</v>
      </c>
      <c r="BK90">
        <f t="shared" si="103"/>
        <v>0</v>
      </c>
      <c r="BO90">
        <f t="shared" si="128"/>
        <v>0</v>
      </c>
      <c r="BP90">
        <f t="shared" si="128"/>
        <v>0</v>
      </c>
      <c r="BQ90">
        <f t="shared" si="128"/>
        <v>0</v>
      </c>
      <c r="BR90">
        <f t="shared" si="128"/>
        <v>0</v>
      </c>
      <c r="BS90">
        <f t="shared" si="128"/>
        <v>0</v>
      </c>
      <c r="BT90">
        <f t="shared" si="128"/>
        <v>0</v>
      </c>
      <c r="BU90">
        <f t="shared" si="128"/>
        <v>0</v>
      </c>
    </row>
    <row r="91" spans="1:107" x14ac:dyDescent="0.25">
      <c r="A91" s="1" t="b">
        <v>1</v>
      </c>
      <c r="B91" s="2">
        <v>46166.365081018521</v>
      </c>
      <c r="C91" s="1" t="s">
        <v>630</v>
      </c>
      <c r="D91" s="1" t="s">
        <v>4</v>
      </c>
      <c r="E91">
        <f t="shared" si="123"/>
        <v>1</v>
      </c>
      <c r="F91">
        <f t="shared" si="123"/>
        <v>0</v>
      </c>
      <c r="G91">
        <f t="shared" si="123"/>
        <v>0</v>
      </c>
      <c r="H91">
        <f t="shared" si="123"/>
        <v>0</v>
      </c>
      <c r="I91">
        <f t="shared" si="123"/>
        <v>0</v>
      </c>
      <c r="J91">
        <f t="shared" si="123"/>
        <v>0</v>
      </c>
      <c r="K91">
        <f t="shared" si="123"/>
        <v>0</v>
      </c>
      <c r="L91">
        <f t="shared" si="97"/>
        <v>1</v>
      </c>
      <c r="N91" s="1" t="s">
        <v>631</v>
      </c>
      <c r="O91" s="1"/>
      <c r="P91" s="1"/>
      <c r="Q91" s="1"/>
      <c r="R91" s="1"/>
      <c r="S91" s="1"/>
      <c r="T91" s="1"/>
      <c r="V91" s="1" t="s">
        <v>24</v>
      </c>
      <c r="W91" s="1" t="str">
        <f t="shared" ref="W91:AA91" si="135">IF(W$1=$V91, "True", "False")</f>
        <v>False</v>
      </c>
      <c r="X91" s="1" t="str">
        <f t="shared" si="135"/>
        <v>False</v>
      </c>
      <c r="Y91" s="1" t="str">
        <f t="shared" si="135"/>
        <v>False</v>
      </c>
      <c r="Z91" s="1" t="str">
        <f t="shared" si="135"/>
        <v>True</v>
      </c>
      <c r="AA91" s="1" t="str">
        <f t="shared" si="135"/>
        <v>False</v>
      </c>
      <c r="AB91" s="1" t="s">
        <v>484</v>
      </c>
      <c r="AC91">
        <f t="shared" si="125"/>
        <v>0</v>
      </c>
      <c r="AD91">
        <f t="shared" si="125"/>
        <v>0</v>
      </c>
      <c r="AE91">
        <f t="shared" si="125"/>
        <v>0</v>
      </c>
      <c r="AF91">
        <f t="shared" si="125"/>
        <v>1</v>
      </c>
      <c r="AG91">
        <f t="shared" si="125"/>
        <v>0</v>
      </c>
      <c r="AH91">
        <f t="shared" si="125"/>
        <v>1</v>
      </c>
      <c r="AI91" s="1">
        <f t="shared" si="100"/>
        <v>2</v>
      </c>
      <c r="AK91" s="1" t="s">
        <v>243</v>
      </c>
      <c r="AL91">
        <f t="shared" si="126"/>
        <v>1</v>
      </c>
      <c r="AM91">
        <f t="shared" si="126"/>
        <v>1</v>
      </c>
      <c r="AN91">
        <f t="shared" si="126"/>
        <v>0</v>
      </c>
      <c r="AO91">
        <f t="shared" si="126"/>
        <v>1</v>
      </c>
      <c r="AP91">
        <f t="shared" si="126"/>
        <v>0</v>
      </c>
      <c r="AQ91">
        <f t="shared" si="126"/>
        <v>1</v>
      </c>
      <c r="AR91">
        <f t="shared" si="126"/>
        <v>0</v>
      </c>
      <c r="AS91">
        <f t="shared" si="126"/>
        <v>0</v>
      </c>
      <c r="AU91" s="1" t="s">
        <v>46</v>
      </c>
      <c r="AV91" s="1">
        <f t="shared" si="108"/>
        <v>0</v>
      </c>
      <c r="AW91" s="1">
        <f t="shared" si="109"/>
        <v>1</v>
      </c>
      <c r="AX91" s="1">
        <f t="shared" si="110"/>
        <v>0</v>
      </c>
      <c r="AY91" s="1" t="s">
        <v>45</v>
      </c>
      <c r="AZ91" s="1" t="s">
        <v>46</v>
      </c>
      <c r="BA91" s="1" t="s">
        <v>59</v>
      </c>
      <c r="BB91">
        <f t="shared" si="127"/>
        <v>0</v>
      </c>
      <c r="BC91">
        <f t="shared" si="127"/>
        <v>0</v>
      </c>
      <c r="BD91">
        <f t="shared" si="127"/>
        <v>0</v>
      </c>
      <c r="BE91">
        <f t="shared" si="127"/>
        <v>0</v>
      </c>
      <c r="BF91">
        <f t="shared" si="127"/>
        <v>0</v>
      </c>
      <c r="BG91">
        <f t="shared" si="127"/>
        <v>0</v>
      </c>
      <c r="BH91">
        <f t="shared" si="127"/>
        <v>0</v>
      </c>
      <c r="BI91">
        <f t="shared" si="127"/>
        <v>0</v>
      </c>
      <c r="BJ91">
        <f t="shared" si="127"/>
        <v>1</v>
      </c>
      <c r="BK91">
        <f t="shared" si="103"/>
        <v>1</v>
      </c>
      <c r="BO91">
        <f t="shared" si="128"/>
        <v>0</v>
      </c>
      <c r="BP91">
        <f t="shared" si="128"/>
        <v>0</v>
      </c>
      <c r="BQ91">
        <f t="shared" si="128"/>
        <v>0</v>
      </c>
      <c r="BR91">
        <f t="shared" si="128"/>
        <v>0</v>
      </c>
      <c r="BS91">
        <f t="shared" si="128"/>
        <v>0</v>
      </c>
      <c r="BT91">
        <f t="shared" si="128"/>
        <v>0</v>
      </c>
      <c r="BU91">
        <f t="shared" si="128"/>
        <v>0</v>
      </c>
      <c r="BW91" s="1" t="s">
        <v>209</v>
      </c>
      <c r="DC91" s="1" t="s">
        <v>177</v>
      </c>
    </row>
    <row r="92" spans="1:107" x14ac:dyDescent="0.25">
      <c r="A92" s="1" t="b">
        <v>1</v>
      </c>
      <c r="B92" s="2">
        <v>46166.38758101852</v>
      </c>
      <c r="C92" s="1" t="s">
        <v>632</v>
      </c>
      <c r="D92" s="1" t="s">
        <v>204</v>
      </c>
      <c r="E92">
        <f t="shared" si="123"/>
        <v>1</v>
      </c>
      <c r="F92">
        <f t="shared" si="123"/>
        <v>30</v>
      </c>
      <c r="G92">
        <f t="shared" si="123"/>
        <v>0</v>
      </c>
      <c r="H92">
        <f t="shared" si="123"/>
        <v>0</v>
      </c>
      <c r="I92">
        <f t="shared" si="123"/>
        <v>0</v>
      </c>
      <c r="J92">
        <f t="shared" si="123"/>
        <v>0</v>
      </c>
      <c r="K92">
        <f t="shared" si="123"/>
        <v>0</v>
      </c>
      <c r="L92">
        <f t="shared" si="97"/>
        <v>30</v>
      </c>
      <c r="N92" s="1" t="s">
        <v>241</v>
      </c>
      <c r="O92" s="1"/>
      <c r="P92" s="1"/>
      <c r="Q92" s="1"/>
      <c r="R92" s="1"/>
      <c r="S92" s="1"/>
      <c r="T92" s="1"/>
      <c r="V92" s="1" t="s">
        <v>23</v>
      </c>
      <c r="W92" s="1" t="str">
        <f t="shared" ref="W92:AA92" si="136">IF(W$1=$V92, "True", "False")</f>
        <v>False</v>
      </c>
      <c r="X92" s="1" t="str">
        <f t="shared" si="136"/>
        <v>False</v>
      </c>
      <c r="Y92" s="1" t="str">
        <f t="shared" si="136"/>
        <v>True</v>
      </c>
      <c r="Z92" s="1" t="str">
        <f t="shared" si="136"/>
        <v>False</v>
      </c>
      <c r="AA92" s="1" t="str">
        <f t="shared" si="136"/>
        <v>False</v>
      </c>
      <c r="AB92" s="1" t="s">
        <v>354</v>
      </c>
      <c r="AC92">
        <f t="shared" si="125"/>
        <v>1</v>
      </c>
      <c r="AD92">
        <f t="shared" si="125"/>
        <v>0</v>
      </c>
      <c r="AE92">
        <f t="shared" si="125"/>
        <v>0</v>
      </c>
      <c r="AF92">
        <f t="shared" si="125"/>
        <v>0</v>
      </c>
      <c r="AG92">
        <f t="shared" si="125"/>
        <v>0</v>
      </c>
      <c r="AH92">
        <f t="shared" si="125"/>
        <v>1</v>
      </c>
      <c r="AI92" s="1">
        <f t="shared" si="100"/>
        <v>2</v>
      </c>
      <c r="AK92" s="1" t="s">
        <v>256</v>
      </c>
      <c r="AL92">
        <f t="shared" si="126"/>
        <v>1</v>
      </c>
      <c r="AM92">
        <f t="shared" si="126"/>
        <v>1</v>
      </c>
      <c r="AN92">
        <f t="shared" si="126"/>
        <v>0</v>
      </c>
      <c r="AO92">
        <f t="shared" si="126"/>
        <v>1</v>
      </c>
      <c r="AP92">
        <f t="shared" si="126"/>
        <v>0</v>
      </c>
      <c r="AQ92">
        <f t="shared" si="126"/>
        <v>0</v>
      </c>
      <c r="AR92">
        <f t="shared" si="126"/>
        <v>0</v>
      </c>
      <c r="AS92">
        <f t="shared" si="126"/>
        <v>0</v>
      </c>
      <c r="AU92" s="1" t="s">
        <v>45</v>
      </c>
      <c r="AV92" s="1">
        <f t="shared" si="108"/>
        <v>1</v>
      </c>
      <c r="AW92" s="1">
        <f t="shared" si="109"/>
        <v>0</v>
      </c>
      <c r="AX92" s="1">
        <f t="shared" si="110"/>
        <v>0</v>
      </c>
      <c r="AY92" s="1" t="s">
        <v>46</v>
      </c>
      <c r="BA92" s="1" t="s">
        <v>315</v>
      </c>
      <c r="BB92">
        <f t="shared" si="127"/>
        <v>0</v>
      </c>
      <c r="BC92">
        <f t="shared" si="127"/>
        <v>0</v>
      </c>
      <c r="BD92">
        <f t="shared" si="127"/>
        <v>1</v>
      </c>
      <c r="BE92">
        <f t="shared" si="127"/>
        <v>1</v>
      </c>
      <c r="BF92">
        <f t="shared" si="127"/>
        <v>1</v>
      </c>
      <c r="BG92">
        <f t="shared" si="127"/>
        <v>1</v>
      </c>
      <c r="BH92">
        <f t="shared" si="127"/>
        <v>0</v>
      </c>
      <c r="BI92">
        <f t="shared" si="127"/>
        <v>0</v>
      </c>
      <c r="BJ92">
        <f t="shared" si="127"/>
        <v>1</v>
      </c>
      <c r="BK92">
        <f t="shared" si="103"/>
        <v>5</v>
      </c>
      <c r="BM92" s="1" t="s">
        <v>229</v>
      </c>
      <c r="BN92" s="1" t="s">
        <v>337</v>
      </c>
      <c r="BO92">
        <f t="shared" si="128"/>
        <v>1</v>
      </c>
      <c r="BP92">
        <f t="shared" si="128"/>
        <v>1</v>
      </c>
      <c r="BQ92">
        <f t="shared" si="128"/>
        <v>0</v>
      </c>
      <c r="BR92">
        <f t="shared" si="128"/>
        <v>0</v>
      </c>
      <c r="BS92">
        <f t="shared" si="128"/>
        <v>0</v>
      </c>
      <c r="BT92">
        <f t="shared" si="128"/>
        <v>0</v>
      </c>
      <c r="BU92">
        <f t="shared" si="128"/>
        <v>0</v>
      </c>
      <c r="CX92" s="1" t="s">
        <v>633</v>
      </c>
      <c r="CZ92" s="1" t="s">
        <v>634</v>
      </c>
      <c r="DB92" s="1" t="s">
        <v>635</v>
      </c>
      <c r="DC92" s="1" t="s">
        <v>177</v>
      </c>
    </row>
    <row r="93" spans="1:107" x14ac:dyDescent="0.25">
      <c r="A93" s="1" t="b">
        <v>1</v>
      </c>
      <c r="B93" s="2">
        <v>46166.415347222224</v>
      </c>
      <c r="C93" s="1" t="s">
        <v>636</v>
      </c>
      <c r="D93" s="1" t="s">
        <v>436</v>
      </c>
      <c r="E93">
        <f t="shared" si="123"/>
        <v>1</v>
      </c>
      <c r="F93">
        <f t="shared" si="123"/>
        <v>30</v>
      </c>
      <c r="G93">
        <f t="shared" si="123"/>
        <v>0</v>
      </c>
      <c r="H93">
        <f t="shared" si="123"/>
        <v>0</v>
      </c>
      <c r="I93">
        <f t="shared" si="123"/>
        <v>105</v>
      </c>
      <c r="J93">
        <f t="shared" si="123"/>
        <v>0</v>
      </c>
      <c r="K93">
        <f t="shared" si="123"/>
        <v>0</v>
      </c>
      <c r="L93">
        <f t="shared" si="97"/>
        <v>105</v>
      </c>
      <c r="N93" s="1" t="s">
        <v>269</v>
      </c>
      <c r="O93" s="1"/>
      <c r="P93" s="1"/>
      <c r="Q93" s="1"/>
      <c r="R93" s="1"/>
      <c r="S93" s="1"/>
      <c r="T93" s="1"/>
      <c r="V93" s="1" t="s">
        <v>25</v>
      </c>
      <c r="W93" s="1" t="str">
        <f t="shared" ref="W93:AA93" si="137">IF(W$1=$V93, "True", "False")</f>
        <v>False</v>
      </c>
      <c r="X93" s="1" t="str">
        <f t="shared" si="137"/>
        <v>False</v>
      </c>
      <c r="Y93" s="1" t="str">
        <f t="shared" si="137"/>
        <v>False</v>
      </c>
      <c r="Z93" s="1" t="str">
        <f t="shared" si="137"/>
        <v>False</v>
      </c>
      <c r="AA93" s="1" t="str">
        <f t="shared" si="137"/>
        <v>True</v>
      </c>
      <c r="AB93" s="1" t="s">
        <v>565</v>
      </c>
      <c r="AC93">
        <f t="shared" si="125"/>
        <v>1</v>
      </c>
      <c r="AD93">
        <f t="shared" si="125"/>
        <v>0</v>
      </c>
      <c r="AE93">
        <f t="shared" si="125"/>
        <v>0</v>
      </c>
      <c r="AF93">
        <f t="shared" si="125"/>
        <v>1</v>
      </c>
      <c r="AG93">
        <f t="shared" si="125"/>
        <v>0</v>
      </c>
      <c r="AH93">
        <f t="shared" si="125"/>
        <v>1</v>
      </c>
      <c r="AI93" s="1">
        <f t="shared" si="100"/>
        <v>3</v>
      </c>
      <c r="AK93" s="1" t="s">
        <v>467</v>
      </c>
      <c r="AL93">
        <f t="shared" si="126"/>
        <v>0</v>
      </c>
      <c r="AM93">
        <f t="shared" si="126"/>
        <v>1</v>
      </c>
      <c r="AN93">
        <f t="shared" si="126"/>
        <v>0</v>
      </c>
      <c r="AO93">
        <f t="shared" si="126"/>
        <v>1</v>
      </c>
      <c r="AP93">
        <f t="shared" si="126"/>
        <v>0</v>
      </c>
      <c r="AQ93">
        <f t="shared" si="126"/>
        <v>1</v>
      </c>
      <c r="AR93">
        <f t="shared" si="126"/>
        <v>0</v>
      </c>
      <c r="AS93">
        <f t="shared" si="126"/>
        <v>0</v>
      </c>
      <c r="AU93" s="1" t="s">
        <v>47</v>
      </c>
      <c r="AV93" s="1">
        <f t="shared" si="108"/>
        <v>0</v>
      </c>
      <c r="AW93" s="1">
        <f t="shared" si="109"/>
        <v>0</v>
      </c>
      <c r="AX93" s="1">
        <f t="shared" si="110"/>
        <v>1</v>
      </c>
      <c r="AY93" s="1" t="s">
        <v>46</v>
      </c>
      <c r="BA93" s="1" t="s">
        <v>250</v>
      </c>
      <c r="BB93">
        <f t="shared" si="127"/>
        <v>1</v>
      </c>
      <c r="BC93">
        <f t="shared" si="127"/>
        <v>1</v>
      </c>
      <c r="BD93">
        <f t="shared" si="127"/>
        <v>1</v>
      </c>
      <c r="BE93">
        <f t="shared" si="127"/>
        <v>1</v>
      </c>
      <c r="BF93">
        <f t="shared" si="127"/>
        <v>1</v>
      </c>
      <c r="BG93">
        <f t="shared" si="127"/>
        <v>0</v>
      </c>
      <c r="BH93">
        <f t="shared" si="127"/>
        <v>0</v>
      </c>
      <c r="BI93">
        <f t="shared" si="127"/>
        <v>0</v>
      </c>
      <c r="BJ93">
        <f t="shared" si="127"/>
        <v>1</v>
      </c>
      <c r="BK93">
        <f t="shared" si="103"/>
        <v>6</v>
      </c>
      <c r="BM93" s="1" t="s">
        <v>163</v>
      </c>
      <c r="BN93" s="1" t="s">
        <v>216</v>
      </c>
      <c r="BO93">
        <f t="shared" si="128"/>
        <v>1</v>
      </c>
      <c r="BP93">
        <f t="shared" si="128"/>
        <v>0</v>
      </c>
      <c r="BQ93">
        <f t="shared" si="128"/>
        <v>0</v>
      </c>
      <c r="BR93">
        <f t="shared" si="128"/>
        <v>0</v>
      </c>
      <c r="BS93">
        <f t="shared" si="128"/>
        <v>0</v>
      </c>
      <c r="BT93">
        <f t="shared" si="128"/>
        <v>1</v>
      </c>
      <c r="BU93">
        <f t="shared" si="128"/>
        <v>0</v>
      </c>
      <c r="CH93" s="1" t="s">
        <v>637</v>
      </c>
      <c r="CI93" s="1" t="s">
        <v>638</v>
      </c>
      <c r="CJ93" s="1" t="s">
        <v>639</v>
      </c>
      <c r="CL93" s="1" t="s">
        <v>174</v>
      </c>
      <c r="CX93" s="1" t="s">
        <v>640</v>
      </c>
      <c r="CZ93" s="1" t="s">
        <v>641</v>
      </c>
      <c r="DB93" s="1" t="s">
        <v>642</v>
      </c>
    </row>
    <row r="94" spans="1:107" x14ac:dyDescent="0.25">
      <c r="A94" s="1" t="b">
        <v>1</v>
      </c>
      <c r="B94" s="2">
        <v>46166.580659722225</v>
      </c>
      <c r="C94" s="1" t="s">
        <v>643</v>
      </c>
      <c r="D94" s="1" t="s">
        <v>4</v>
      </c>
      <c r="E94">
        <f t="shared" si="123"/>
        <v>1</v>
      </c>
      <c r="F94">
        <f t="shared" si="123"/>
        <v>0</v>
      </c>
      <c r="G94">
        <f t="shared" si="123"/>
        <v>0</v>
      </c>
      <c r="H94">
        <f t="shared" si="123"/>
        <v>0</v>
      </c>
      <c r="I94">
        <f t="shared" si="123"/>
        <v>0</v>
      </c>
      <c r="J94">
        <f t="shared" si="123"/>
        <v>0</v>
      </c>
      <c r="K94">
        <f t="shared" si="123"/>
        <v>0</v>
      </c>
      <c r="L94">
        <f t="shared" si="97"/>
        <v>1</v>
      </c>
      <c r="N94" s="1" t="s">
        <v>205</v>
      </c>
      <c r="O94" s="1"/>
      <c r="P94" s="1"/>
      <c r="Q94" s="1"/>
      <c r="R94" s="1"/>
      <c r="S94" s="1"/>
      <c r="T94" s="1"/>
      <c r="V94" s="1" t="s">
        <v>22</v>
      </c>
      <c r="W94" s="1" t="str">
        <f t="shared" ref="W94:AA94" si="138">IF(W$1=$V94, "True", "False")</f>
        <v>False</v>
      </c>
      <c r="X94" s="1" t="str">
        <f t="shared" si="138"/>
        <v>True</v>
      </c>
      <c r="Y94" s="1" t="str">
        <f t="shared" si="138"/>
        <v>False</v>
      </c>
      <c r="Z94" s="1" t="str">
        <f t="shared" si="138"/>
        <v>False</v>
      </c>
      <c r="AA94" s="1" t="str">
        <f t="shared" si="138"/>
        <v>False</v>
      </c>
      <c r="AB94" s="1" t="s">
        <v>354</v>
      </c>
      <c r="AC94">
        <f t="shared" si="125"/>
        <v>1</v>
      </c>
      <c r="AD94">
        <f t="shared" si="125"/>
        <v>0</v>
      </c>
      <c r="AE94">
        <f t="shared" si="125"/>
        <v>0</v>
      </c>
      <c r="AF94">
        <f t="shared" si="125"/>
        <v>0</v>
      </c>
      <c r="AG94">
        <f t="shared" si="125"/>
        <v>0</v>
      </c>
      <c r="AH94">
        <f t="shared" si="125"/>
        <v>1</v>
      </c>
      <c r="AI94" s="1">
        <f t="shared" si="100"/>
        <v>2</v>
      </c>
      <c r="AK94" s="1" t="s">
        <v>478</v>
      </c>
      <c r="AL94">
        <f t="shared" si="126"/>
        <v>0</v>
      </c>
      <c r="AM94">
        <f t="shared" si="126"/>
        <v>0</v>
      </c>
      <c r="AN94">
        <f t="shared" si="126"/>
        <v>0</v>
      </c>
      <c r="AO94">
        <f t="shared" si="126"/>
        <v>1</v>
      </c>
      <c r="AP94">
        <f t="shared" si="126"/>
        <v>0</v>
      </c>
      <c r="AQ94">
        <f t="shared" si="126"/>
        <v>1</v>
      </c>
      <c r="AR94">
        <f t="shared" si="126"/>
        <v>0</v>
      </c>
      <c r="AS94">
        <f t="shared" si="126"/>
        <v>0</v>
      </c>
      <c r="AU94" s="1" t="s">
        <v>46</v>
      </c>
      <c r="AV94" s="1">
        <f t="shared" si="108"/>
        <v>0</v>
      </c>
      <c r="AW94" s="1">
        <f t="shared" si="109"/>
        <v>1</v>
      </c>
      <c r="AX94" s="1">
        <f t="shared" si="110"/>
        <v>0</v>
      </c>
      <c r="AY94" s="1" t="s">
        <v>46</v>
      </c>
      <c r="BA94" s="1" t="s">
        <v>59</v>
      </c>
      <c r="BB94">
        <f t="shared" si="127"/>
        <v>0</v>
      </c>
      <c r="BC94">
        <f t="shared" si="127"/>
        <v>0</v>
      </c>
      <c r="BD94">
        <f t="shared" si="127"/>
        <v>0</v>
      </c>
      <c r="BE94">
        <f t="shared" si="127"/>
        <v>0</v>
      </c>
      <c r="BF94">
        <f t="shared" si="127"/>
        <v>0</v>
      </c>
      <c r="BG94">
        <f t="shared" si="127"/>
        <v>0</v>
      </c>
      <c r="BH94">
        <f t="shared" si="127"/>
        <v>0</v>
      </c>
      <c r="BI94">
        <f t="shared" si="127"/>
        <v>0</v>
      </c>
      <c r="BJ94">
        <f t="shared" si="127"/>
        <v>1</v>
      </c>
      <c r="BK94">
        <f t="shared" si="103"/>
        <v>1</v>
      </c>
      <c r="BM94" s="1" t="s">
        <v>163</v>
      </c>
      <c r="BN94" s="1" t="s">
        <v>69</v>
      </c>
      <c r="BO94">
        <f t="shared" si="128"/>
        <v>0</v>
      </c>
      <c r="BP94">
        <f t="shared" si="128"/>
        <v>0</v>
      </c>
      <c r="BQ94">
        <f t="shared" si="128"/>
        <v>0</v>
      </c>
      <c r="BR94">
        <f t="shared" si="128"/>
        <v>0</v>
      </c>
      <c r="BS94">
        <f t="shared" si="128"/>
        <v>0</v>
      </c>
      <c r="BT94">
        <f t="shared" si="128"/>
        <v>0</v>
      </c>
      <c r="BU94">
        <f t="shared" si="128"/>
        <v>1</v>
      </c>
      <c r="BW94" s="1" t="s">
        <v>252</v>
      </c>
      <c r="DC94" s="1" t="s">
        <v>177</v>
      </c>
    </row>
    <row r="95" spans="1:107" x14ac:dyDescent="0.25">
      <c r="A95" s="1" t="b">
        <v>1</v>
      </c>
      <c r="B95" s="2">
        <v>46166.618159722224</v>
      </c>
      <c r="C95" s="1" t="s">
        <v>644</v>
      </c>
      <c r="D95" s="1" t="s">
        <v>9</v>
      </c>
      <c r="E95">
        <f t="shared" si="123"/>
        <v>0</v>
      </c>
      <c r="F95">
        <f t="shared" si="123"/>
        <v>0</v>
      </c>
      <c r="G95">
        <f t="shared" si="123"/>
        <v>0</v>
      </c>
      <c r="H95">
        <f t="shared" si="123"/>
        <v>0</v>
      </c>
      <c r="I95">
        <f t="shared" si="123"/>
        <v>0</v>
      </c>
      <c r="J95">
        <f t="shared" si="123"/>
        <v>1</v>
      </c>
      <c r="K95">
        <f t="shared" si="123"/>
        <v>0</v>
      </c>
      <c r="L95">
        <f t="shared" si="97"/>
        <v>1</v>
      </c>
      <c r="N95" s="1" t="s">
        <v>17</v>
      </c>
      <c r="O95" s="1"/>
      <c r="P95" s="1"/>
      <c r="Q95" s="1"/>
      <c r="R95" s="1"/>
      <c r="S95" s="1"/>
      <c r="T95" s="1"/>
      <c r="W95" s="1" t="str">
        <f t="shared" ref="W95:AA95" si="139">IF(W$1=$V95, "True", "False")</f>
        <v>False</v>
      </c>
      <c r="X95" s="1" t="str">
        <f t="shared" si="139"/>
        <v>False</v>
      </c>
      <c r="Y95" s="1" t="str">
        <f t="shared" si="139"/>
        <v>False</v>
      </c>
      <c r="Z95" s="1" t="str">
        <f t="shared" si="139"/>
        <v>False</v>
      </c>
      <c r="AA95" s="1" t="str">
        <f t="shared" si="139"/>
        <v>False</v>
      </c>
      <c r="AB95" s="1" t="s">
        <v>30</v>
      </c>
      <c r="AC95">
        <f t="shared" si="125"/>
        <v>0</v>
      </c>
      <c r="AD95">
        <f t="shared" si="125"/>
        <v>0</v>
      </c>
      <c r="AE95">
        <f t="shared" si="125"/>
        <v>0</v>
      </c>
      <c r="AF95">
        <f t="shared" si="125"/>
        <v>1</v>
      </c>
      <c r="AG95">
        <f t="shared" si="125"/>
        <v>0</v>
      </c>
      <c r="AH95">
        <f t="shared" si="125"/>
        <v>0</v>
      </c>
      <c r="AI95" s="1">
        <f t="shared" si="100"/>
        <v>1</v>
      </c>
      <c r="AK95" s="1" t="s">
        <v>42</v>
      </c>
      <c r="AL95">
        <f t="shared" si="126"/>
        <v>0</v>
      </c>
      <c r="AM95">
        <f t="shared" si="126"/>
        <v>0</v>
      </c>
      <c r="AN95">
        <f t="shared" si="126"/>
        <v>0</v>
      </c>
      <c r="AO95">
        <f t="shared" si="126"/>
        <v>0</v>
      </c>
      <c r="AP95">
        <f t="shared" si="126"/>
        <v>0</v>
      </c>
      <c r="AQ95">
        <f t="shared" si="126"/>
        <v>0</v>
      </c>
      <c r="AR95">
        <f t="shared" si="126"/>
        <v>0</v>
      </c>
      <c r="AS95">
        <f t="shared" si="126"/>
        <v>1</v>
      </c>
      <c r="AU95" s="1" t="s">
        <v>45</v>
      </c>
      <c r="AV95" s="1">
        <f t="shared" si="108"/>
        <v>1</v>
      </c>
      <c r="AW95" s="1">
        <f t="shared" si="109"/>
        <v>0</v>
      </c>
      <c r="AX95" s="1">
        <f t="shared" si="110"/>
        <v>0</v>
      </c>
      <c r="AY95" s="1" t="s">
        <v>45</v>
      </c>
      <c r="AZ95" s="1" t="s">
        <v>46</v>
      </c>
      <c r="BA95" s="1" t="s">
        <v>59</v>
      </c>
      <c r="BB95">
        <f t="shared" si="127"/>
        <v>0</v>
      </c>
      <c r="BC95">
        <f t="shared" si="127"/>
        <v>0</v>
      </c>
      <c r="BD95">
        <f t="shared" si="127"/>
        <v>0</v>
      </c>
      <c r="BE95">
        <f t="shared" si="127"/>
        <v>0</v>
      </c>
      <c r="BF95">
        <f t="shared" si="127"/>
        <v>0</v>
      </c>
      <c r="BG95">
        <f t="shared" si="127"/>
        <v>0</v>
      </c>
      <c r="BH95">
        <f t="shared" si="127"/>
        <v>0</v>
      </c>
      <c r="BI95">
        <f t="shared" si="127"/>
        <v>0</v>
      </c>
      <c r="BJ95">
        <f t="shared" si="127"/>
        <v>1</v>
      </c>
      <c r="BK95">
        <f t="shared" si="103"/>
        <v>1</v>
      </c>
      <c r="BO95">
        <f t="shared" si="128"/>
        <v>0</v>
      </c>
      <c r="BP95">
        <f t="shared" si="128"/>
        <v>0</v>
      </c>
      <c r="BQ95">
        <f t="shared" si="128"/>
        <v>0</v>
      </c>
      <c r="BR95">
        <f t="shared" si="128"/>
        <v>0</v>
      </c>
      <c r="BS95">
        <f t="shared" si="128"/>
        <v>0</v>
      </c>
      <c r="BT95">
        <f t="shared" si="128"/>
        <v>0</v>
      </c>
      <c r="BU95">
        <f t="shared" si="128"/>
        <v>0</v>
      </c>
      <c r="CR95" s="1" t="s">
        <v>645</v>
      </c>
      <c r="CT95" s="1" t="s">
        <v>646</v>
      </c>
      <c r="DC95" s="1" t="s">
        <v>177</v>
      </c>
    </row>
    <row r="96" spans="1:107" x14ac:dyDescent="0.25">
      <c r="A96" s="1" t="b">
        <v>1</v>
      </c>
      <c r="B96" s="2">
        <v>46166.708773148152</v>
      </c>
      <c r="C96" s="1" t="s">
        <v>647</v>
      </c>
      <c r="D96" s="1" t="s">
        <v>204</v>
      </c>
      <c r="E96">
        <f t="shared" si="123"/>
        <v>1</v>
      </c>
      <c r="F96">
        <f t="shared" si="123"/>
        <v>30</v>
      </c>
      <c r="G96">
        <f t="shared" si="123"/>
        <v>0</v>
      </c>
      <c r="H96">
        <f t="shared" si="123"/>
        <v>0</v>
      </c>
      <c r="I96">
        <f t="shared" si="123"/>
        <v>0</v>
      </c>
      <c r="J96">
        <f t="shared" si="123"/>
        <v>0</v>
      </c>
      <c r="K96">
        <f t="shared" si="123"/>
        <v>0</v>
      </c>
      <c r="L96">
        <f t="shared" si="97"/>
        <v>30</v>
      </c>
      <c r="N96" s="1" t="s">
        <v>237</v>
      </c>
      <c r="O96" s="1"/>
      <c r="P96" s="1"/>
      <c r="Q96" s="1"/>
      <c r="R96" s="1"/>
      <c r="S96" s="1"/>
      <c r="T96" s="1"/>
      <c r="V96" s="1" t="s">
        <v>22</v>
      </c>
      <c r="W96" s="1" t="str">
        <f t="shared" ref="W96:AA96" si="140">IF(W$1=$V96, "True", "False")</f>
        <v>False</v>
      </c>
      <c r="X96" s="1" t="str">
        <f t="shared" si="140"/>
        <v>True</v>
      </c>
      <c r="Y96" s="1" t="str">
        <f t="shared" si="140"/>
        <v>False</v>
      </c>
      <c r="Z96" s="1" t="str">
        <f t="shared" si="140"/>
        <v>False</v>
      </c>
      <c r="AA96" s="1" t="str">
        <f t="shared" si="140"/>
        <v>False</v>
      </c>
      <c r="AC96">
        <f t="shared" si="125"/>
        <v>0</v>
      </c>
      <c r="AD96">
        <f t="shared" si="125"/>
        <v>0</v>
      </c>
      <c r="AE96">
        <f t="shared" si="125"/>
        <v>0</v>
      </c>
      <c r="AF96">
        <f t="shared" si="125"/>
        <v>0</v>
      </c>
      <c r="AG96">
        <f t="shared" si="125"/>
        <v>0</v>
      </c>
      <c r="AH96">
        <f t="shared" si="125"/>
        <v>0</v>
      </c>
      <c r="AI96" s="1">
        <f t="shared" si="100"/>
        <v>0</v>
      </c>
      <c r="AK96" s="1" t="s">
        <v>285</v>
      </c>
      <c r="AL96">
        <f t="shared" si="126"/>
        <v>0</v>
      </c>
      <c r="AM96">
        <f t="shared" si="126"/>
        <v>1</v>
      </c>
      <c r="AN96">
        <f t="shared" si="126"/>
        <v>0</v>
      </c>
      <c r="AO96">
        <f t="shared" si="126"/>
        <v>1</v>
      </c>
      <c r="AP96">
        <f t="shared" si="126"/>
        <v>0</v>
      </c>
      <c r="AQ96">
        <f t="shared" si="126"/>
        <v>0</v>
      </c>
      <c r="AR96">
        <f t="shared" si="126"/>
        <v>0</v>
      </c>
      <c r="AS96">
        <f t="shared" si="126"/>
        <v>0</v>
      </c>
      <c r="AU96" s="1" t="s">
        <v>45</v>
      </c>
      <c r="AV96" s="1">
        <f t="shared" si="108"/>
        <v>1</v>
      </c>
      <c r="AW96" s="1">
        <f t="shared" si="109"/>
        <v>0</v>
      </c>
      <c r="AX96" s="1">
        <f t="shared" si="110"/>
        <v>0</v>
      </c>
      <c r="AY96" s="1" t="s">
        <v>46</v>
      </c>
      <c r="BA96" s="1" t="s">
        <v>408</v>
      </c>
      <c r="BB96">
        <f t="shared" si="127"/>
        <v>0</v>
      </c>
      <c r="BC96">
        <f t="shared" si="127"/>
        <v>1</v>
      </c>
      <c r="BD96">
        <f t="shared" si="127"/>
        <v>0</v>
      </c>
      <c r="BE96">
        <f t="shared" si="127"/>
        <v>0</v>
      </c>
      <c r="BF96">
        <f t="shared" si="127"/>
        <v>1</v>
      </c>
      <c r="BG96">
        <f t="shared" si="127"/>
        <v>0</v>
      </c>
      <c r="BH96">
        <f t="shared" si="127"/>
        <v>0</v>
      </c>
      <c r="BI96">
        <f t="shared" si="127"/>
        <v>0</v>
      </c>
      <c r="BJ96">
        <f t="shared" si="127"/>
        <v>1</v>
      </c>
      <c r="BK96">
        <f t="shared" si="103"/>
        <v>3</v>
      </c>
      <c r="BM96" s="1" t="s">
        <v>229</v>
      </c>
      <c r="BN96" s="1" t="s">
        <v>337</v>
      </c>
      <c r="BO96">
        <f t="shared" si="128"/>
        <v>1</v>
      </c>
      <c r="BP96">
        <f t="shared" si="128"/>
        <v>1</v>
      </c>
      <c r="BQ96">
        <f t="shared" si="128"/>
        <v>0</v>
      </c>
      <c r="BR96">
        <f t="shared" si="128"/>
        <v>0</v>
      </c>
      <c r="BS96">
        <f t="shared" si="128"/>
        <v>0</v>
      </c>
      <c r="BT96">
        <f t="shared" si="128"/>
        <v>0</v>
      </c>
      <c r="BU96">
        <f t="shared" si="128"/>
        <v>0</v>
      </c>
      <c r="CX96" s="1" t="s">
        <v>640</v>
      </c>
      <c r="CZ96" s="1" t="s">
        <v>648</v>
      </c>
      <c r="DA96" s="1" t="s">
        <v>649</v>
      </c>
      <c r="DB96" s="1" t="s">
        <v>650</v>
      </c>
      <c r="DC96" s="1" t="s">
        <v>177</v>
      </c>
    </row>
    <row r="97" spans="1:107" x14ac:dyDescent="0.25">
      <c r="A97" s="1" t="b">
        <v>1</v>
      </c>
      <c r="B97" s="2">
        <v>46166.881261574075</v>
      </c>
      <c r="C97" s="1" t="s">
        <v>651</v>
      </c>
      <c r="D97" s="1" t="s">
        <v>4</v>
      </c>
      <c r="E97">
        <f t="shared" si="123"/>
        <v>1</v>
      </c>
      <c r="F97">
        <f t="shared" si="123"/>
        <v>0</v>
      </c>
      <c r="G97">
        <f t="shared" si="123"/>
        <v>0</v>
      </c>
      <c r="H97">
        <f t="shared" si="123"/>
        <v>0</v>
      </c>
      <c r="I97">
        <f t="shared" si="123"/>
        <v>0</v>
      </c>
      <c r="J97">
        <f t="shared" si="123"/>
        <v>0</v>
      </c>
      <c r="K97">
        <f t="shared" si="123"/>
        <v>0</v>
      </c>
      <c r="L97">
        <f t="shared" si="97"/>
        <v>1</v>
      </c>
      <c r="N97" s="1" t="s">
        <v>325</v>
      </c>
      <c r="O97" s="1"/>
      <c r="P97" s="1"/>
      <c r="Q97" s="1"/>
      <c r="R97" s="1"/>
      <c r="S97" s="1"/>
      <c r="T97" s="1"/>
      <c r="V97" s="1" t="s">
        <v>21</v>
      </c>
      <c r="W97" s="1" t="str">
        <f t="shared" ref="W97:AA97" si="141">IF(W$1=$V97, "True", "False")</f>
        <v>True</v>
      </c>
      <c r="X97" s="1" t="str">
        <f t="shared" si="141"/>
        <v>False</v>
      </c>
      <c r="Y97" s="1" t="str">
        <f t="shared" si="141"/>
        <v>False</v>
      </c>
      <c r="Z97" s="1" t="str">
        <f t="shared" si="141"/>
        <v>False</v>
      </c>
      <c r="AA97" s="1" t="str">
        <f t="shared" si="141"/>
        <v>False</v>
      </c>
      <c r="AB97" s="1" t="s">
        <v>27</v>
      </c>
      <c r="AC97">
        <f t="shared" si="125"/>
        <v>1</v>
      </c>
      <c r="AD97">
        <f t="shared" si="125"/>
        <v>0</v>
      </c>
      <c r="AE97">
        <f t="shared" si="125"/>
        <v>0</v>
      </c>
      <c r="AF97">
        <f t="shared" si="125"/>
        <v>0</v>
      </c>
      <c r="AG97">
        <f t="shared" si="125"/>
        <v>0</v>
      </c>
      <c r="AH97">
        <f t="shared" si="125"/>
        <v>0</v>
      </c>
      <c r="AI97" s="1">
        <f t="shared" si="100"/>
        <v>1</v>
      </c>
      <c r="AK97" s="1" t="s">
        <v>652</v>
      </c>
      <c r="AL97">
        <f t="shared" si="126"/>
        <v>0</v>
      </c>
      <c r="AM97">
        <f t="shared" si="126"/>
        <v>1</v>
      </c>
      <c r="AN97">
        <f t="shared" si="126"/>
        <v>1</v>
      </c>
      <c r="AO97">
        <f t="shared" si="126"/>
        <v>0</v>
      </c>
      <c r="AP97">
        <f t="shared" si="126"/>
        <v>0</v>
      </c>
      <c r="AQ97">
        <f t="shared" si="126"/>
        <v>0</v>
      </c>
      <c r="AR97">
        <f t="shared" si="126"/>
        <v>1</v>
      </c>
      <c r="AS97">
        <f t="shared" si="126"/>
        <v>0</v>
      </c>
      <c r="AU97" s="1" t="s">
        <v>45</v>
      </c>
      <c r="AV97" s="1">
        <f t="shared" si="108"/>
        <v>1</v>
      </c>
      <c r="AW97" s="1">
        <f t="shared" si="109"/>
        <v>0</v>
      </c>
      <c r="AX97" s="1">
        <f t="shared" si="110"/>
        <v>0</v>
      </c>
      <c r="AY97" s="1" t="s">
        <v>46</v>
      </c>
      <c r="BA97" s="1" t="s">
        <v>653</v>
      </c>
      <c r="BB97">
        <f t="shared" si="127"/>
        <v>0</v>
      </c>
      <c r="BC97">
        <f t="shared" si="127"/>
        <v>1</v>
      </c>
      <c r="BD97">
        <f t="shared" si="127"/>
        <v>0</v>
      </c>
      <c r="BE97">
        <f t="shared" si="127"/>
        <v>0</v>
      </c>
      <c r="BF97">
        <f t="shared" si="127"/>
        <v>1</v>
      </c>
      <c r="BG97">
        <f t="shared" si="127"/>
        <v>1</v>
      </c>
      <c r="BH97">
        <f t="shared" si="127"/>
        <v>0</v>
      </c>
      <c r="BI97">
        <f t="shared" si="127"/>
        <v>0</v>
      </c>
      <c r="BJ97">
        <f t="shared" si="127"/>
        <v>1</v>
      </c>
      <c r="BK97">
        <f t="shared" si="103"/>
        <v>4</v>
      </c>
      <c r="BM97" s="1" t="s">
        <v>163</v>
      </c>
      <c r="BN97" s="1" t="s">
        <v>654</v>
      </c>
      <c r="BO97">
        <f t="shared" si="128"/>
        <v>1</v>
      </c>
      <c r="BP97">
        <f t="shared" si="128"/>
        <v>1</v>
      </c>
      <c r="BQ97">
        <f t="shared" si="128"/>
        <v>1</v>
      </c>
      <c r="BR97">
        <f t="shared" si="128"/>
        <v>1</v>
      </c>
      <c r="BS97">
        <f t="shared" si="128"/>
        <v>0</v>
      </c>
      <c r="BT97">
        <f t="shared" si="128"/>
        <v>0</v>
      </c>
      <c r="BU97">
        <f t="shared" si="128"/>
        <v>0</v>
      </c>
      <c r="DC97" s="1" t="s">
        <v>177</v>
      </c>
    </row>
    <row r="98" spans="1:107" x14ac:dyDescent="0.25">
      <c r="A98" s="1" t="b">
        <v>1</v>
      </c>
      <c r="B98" s="2">
        <v>46166.92827546296</v>
      </c>
      <c r="C98" s="1" t="s">
        <v>655</v>
      </c>
      <c r="D98" s="1" t="s">
        <v>4</v>
      </c>
      <c r="E98">
        <f t="shared" si="123"/>
        <v>1</v>
      </c>
      <c r="F98">
        <f t="shared" si="123"/>
        <v>0</v>
      </c>
      <c r="G98">
        <f t="shared" si="123"/>
        <v>0</v>
      </c>
      <c r="H98">
        <f t="shared" si="123"/>
        <v>0</v>
      </c>
      <c r="I98">
        <f t="shared" si="123"/>
        <v>0</v>
      </c>
      <c r="J98">
        <f t="shared" si="123"/>
        <v>0</v>
      </c>
      <c r="K98">
        <f t="shared" si="123"/>
        <v>0</v>
      </c>
      <c r="L98">
        <f t="shared" si="97"/>
        <v>1</v>
      </c>
      <c r="N98" s="1" t="s">
        <v>656</v>
      </c>
      <c r="O98" s="1"/>
      <c r="P98" s="1"/>
      <c r="Q98" s="1"/>
      <c r="R98" s="1"/>
      <c r="S98" s="1"/>
      <c r="T98" s="1"/>
      <c r="V98" s="1" t="s">
        <v>21</v>
      </c>
      <c r="W98" s="1" t="str">
        <f t="shared" ref="W98:AA98" si="142">IF(W$1=$V98, "True", "False")</f>
        <v>True</v>
      </c>
      <c r="X98" s="1" t="str">
        <f t="shared" si="142"/>
        <v>False</v>
      </c>
      <c r="Y98" s="1" t="str">
        <f t="shared" si="142"/>
        <v>False</v>
      </c>
      <c r="Z98" s="1" t="str">
        <f t="shared" si="142"/>
        <v>False</v>
      </c>
      <c r="AA98" s="1" t="str">
        <f t="shared" si="142"/>
        <v>False</v>
      </c>
      <c r="AB98" s="1" t="s">
        <v>32</v>
      </c>
      <c r="AC98">
        <f t="shared" si="125"/>
        <v>0</v>
      </c>
      <c r="AD98">
        <f t="shared" si="125"/>
        <v>0</v>
      </c>
      <c r="AE98">
        <f t="shared" si="125"/>
        <v>0</v>
      </c>
      <c r="AF98">
        <f t="shared" si="125"/>
        <v>0</v>
      </c>
      <c r="AG98">
        <f t="shared" si="125"/>
        <v>0</v>
      </c>
      <c r="AH98">
        <f t="shared" si="125"/>
        <v>1</v>
      </c>
      <c r="AI98" s="1">
        <f t="shared" si="100"/>
        <v>1</v>
      </c>
      <c r="AK98" s="1" t="s">
        <v>420</v>
      </c>
      <c r="AL98">
        <f t="shared" si="126"/>
        <v>0</v>
      </c>
      <c r="AM98">
        <f t="shared" si="126"/>
        <v>1</v>
      </c>
      <c r="AN98">
        <f t="shared" si="126"/>
        <v>1</v>
      </c>
      <c r="AO98">
        <f t="shared" si="126"/>
        <v>1</v>
      </c>
      <c r="AP98">
        <f t="shared" si="126"/>
        <v>0</v>
      </c>
      <c r="AQ98">
        <f t="shared" si="126"/>
        <v>1</v>
      </c>
      <c r="AR98">
        <f t="shared" si="126"/>
        <v>0</v>
      </c>
      <c r="AS98">
        <f t="shared" si="126"/>
        <v>0</v>
      </c>
      <c r="AU98" s="1" t="s">
        <v>47</v>
      </c>
      <c r="AV98" s="1">
        <f t="shared" si="108"/>
        <v>0</v>
      </c>
      <c r="AW98" s="1">
        <f t="shared" si="109"/>
        <v>0</v>
      </c>
      <c r="AX98" s="1">
        <f t="shared" si="110"/>
        <v>1</v>
      </c>
      <c r="AY98" s="1" t="s">
        <v>46</v>
      </c>
      <c r="BA98" s="1" t="s">
        <v>653</v>
      </c>
      <c r="BB98">
        <f t="shared" si="127"/>
        <v>0</v>
      </c>
      <c r="BC98">
        <f t="shared" si="127"/>
        <v>1</v>
      </c>
      <c r="BD98">
        <f t="shared" si="127"/>
        <v>0</v>
      </c>
      <c r="BE98">
        <f t="shared" si="127"/>
        <v>0</v>
      </c>
      <c r="BF98">
        <f t="shared" si="127"/>
        <v>1</v>
      </c>
      <c r="BG98">
        <f t="shared" si="127"/>
        <v>1</v>
      </c>
      <c r="BH98">
        <f t="shared" si="127"/>
        <v>0</v>
      </c>
      <c r="BI98">
        <f t="shared" si="127"/>
        <v>0</v>
      </c>
      <c r="BJ98">
        <f t="shared" si="127"/>
        <v>1</v>
      </c>
      <c r="BK98">
        <f t="shared" si="103"/>
        <v>4</v>
      </c>
      <c r="BM98" s="1" t="s">
        <v>187</v>
      </c>
      <c r="BN98" s="1" t="s">
        <v>287</v>
      </c>
      <c r="BO98">
        <f t="shared" si="128"/>
        <v>0</v>
      </c>
      <c r="BP98">
        <f t="shared" si="128"/>
        <v>0</v>
      </c>
      <c r="BQ98">
        <f t="shared" si="128"/>
        <v>0</v>
      </c>
      <c r="BR98">
        <f t="shared" si="128"/>
        <v>1</v>
      </c>
      <c r="BS98">
        <f t="shared" si="128"/>
        <v>0</v>
      </c>
      <c r="BT98">
        <f t="shared" si="128"/>
        <v>1</v>
      </c>
      <c r="BU98">
        <f t="shared" si="128"/>
        <v>0</v>
      </c>
      <c r="DC98" s="1" t="s">
        <v>235</v>
      </c>
    </row>
    <row r="99" spans="1:107" x14ac:dyDescent="0.25">
      <c r="A99" s="1" t="b">
        <v>1</v>
      </c>
      <c r="B99" s="2">
        <v>46167.011469907404</v>
      </c>
      <c r="C99" s="1" t="s">
        <v>657</v>
      </c>
      <c r="D99" s="1" t="s">
        <v>4</v>
      </c>
      <c r="E99">
        <f t="shared" si="123"/>
        <v>1</v>
      </c>
      <c r="F99">
        <f t="shared" si="123"/>
        <v>0</v>
      </c>
      <c r="G99">
        <f t="shared" si="123"/>
        <v>0</v>
      </c>
      <c r="H99">
        <f t="shared" si="123"/>
        <v>0</v>
      </c>
      <c r="I99">
        <f t="shared" si="123"/>
        <v>0</v>
      </c>
      <c r="J99">
        <f t="shared" si="123"/>
        <v>0</v>
      </c>
      <c r="K99">
        <f t="shared" si="123"/>
        <v>0</v>
      </c>
      <c r="L99">
        <f t="shared" si="97"/>
        <v>1</v>
      </c>
      <c r="N99" s="1" t="s">
        <v>631</v>
      </c>
      <c r="O99" s="1"/>
      <c r="P99" s="1"/>
      <c r="Q99" s="1"/>
      <c r="R99" s="1"/>
      <c r="S99" s="1"/>
      <c r="T99" s="1"/>
      <c r="V99" s="1" t="s">
        <v>24</v>
      </c>
      <c r="W99" s="1" t="str">
        <f t="shared" ref="W99:AA99" si="143">IF(W$1=$V99, "True", "False")</f>
        <v>False</v>
      </c>
      <c r="X99" s="1" t="str">
        <f t="shared" si="143"/>
        <v>False</v>
      </c>
      <c r="Y99" s="1" t="str">
        <f t="shared" si="143"/>
        <v>False</v>
      </c>
      <c r="Z99" s="1" t="str">
        <f t="shared" si="143"/>
        <v>True</v>
      </c>
      <c r="AA99" s="1" t="str">
        <f t="shared" si="143"/>
        <v>False</v>
      </c>
      <c r="AB99" s="1" t="s">
        <v>658</v>
      </c>
      <c r="AC99">
        <f t="shared" si="125"/>
        <v>1</v>
      </c>
      <c r="AD99">
        <f t="shared" si="125"/>
        <v>0</v>
      </c>
      <c r="AE99">
        <f t="shared" si="125"/>
        <v>0</v>
      </c>
      <c r="AF99">
        <f t="shared" si="125"/>
        <v>0</v>
      </c>
      <c r="AG99">
        <f t="shared" si="125"/>
        <v>0</v>
      </c>
      <c r="AH99">
        <f t="shared" si="125"/>
        <v>1</v>
      </c>
      <c r="AI99" s="1">
        <f t="shared" si="100"/>
        <v>2</v>
      </c>
      <c r="AJ99" s="1" t="s">
        <v>659</v>
      </c>
      <c r="AK99" s="1" t="s">
        <v>660</v>
      </c>
      <c r="AL99">
        <f t="shared" si="126"/>
        <v>1</v>
      </c>
      <c r="AM99">
        <f t="shared" si="126"/>
        <v>1</v>
      </c>
      <c r="AN99">
        <f t="shared" si="126"/>
        <v>0</v>
      </c>
      <c r="AO99">
        <f t="shared" si="126"/>
        <v>0</v>
      </c>
      <c r="AP99">
        <f t="shared" si="126"/>
        <v>0</v>
      </c>
      <c r="AQ99">
        <f t="shared" si="126"/>
        <v>1</v>
      </c>
      <c r="AR99">
        <f t="shared" si="126"/>
        <v>0</v>
      </c>
      <c r="AS99">
        <f t="shared" si="126"/>
        <v>0</v>
      </c>
      <c r="AU99" s="1" t="s">
        <v>46</v>
      </c>
      <c r="AV99" s="1">
        <f t="shared" si="108"/>
        <v>0</v>
      </c>
      <c r="AW99" s="1">
        <f t="shared" si="109"/>
        <v>1</v>
      </c>
      <c r="AX99" s="1">
        <f t="shared" si="110"/>
        <v>0</v>
      </c>
      <c r="AY99" s="1" t="s">
        <v>45</v>
      </c>
      <c r="AZ99" s="1" t="s">
        <v>45</v>
      </c>
      <c r="BA99" s="1" t="s">
        <v>59</v>
      </c>
      <c r="BB99">
        <f t="shared" si="127"/>
        <v>0</v>
      </c>
      <c r="BC99">
        <f t="shared" si="127"/>
        <v>0</v>
      </c>
      <c r="BD99">
        <f t="shared" si="127"/>
        <v>0</v>
      </c>
      <c r="BE99">
        <f t="shared" si="127"/>
        <v>0</v>
      </c>
      <c r="BF99">
        <f t="shared" si="127"/>
        <v>0</v>
      </c>
      <c r="BG99">
        <f t="shared" si="127"/>
        <v>0</v>
      </c>
      <c r="BH99">
        <f t="shared" si="127"/>
        <v>0</v>
      </c>
      <c r="BI99">
        <f t="shared" si="127"/>
        <v>0</v>
      </c>
      <c r="BJ99">
        <f t="shared" si="127"/>
        <v>1</v>
      </c>
      <c r="BK99">
        <f t="shared" si="103"/>
        <v>1</v>
      </c>
      <c r="BO99">
        <f t="shared" si="128"/>
        <v>0</v>
      </c>
      <c r="BP99">
        <f t="shared" si="128"/>
        <v>0</v>
      </c>
      <c r="BQ99">
        <f t="shared" si="128"/>
        <v>0</v>
      </c>
      <c r="BR99">
        <f t="shared" si="128"/>
        <v>0</v>
      </c>
      <c r="BS99">
        <f t="shared" si="128"/>
        <v>0</v>
      </c>
      <c r="BT99">
        <f t="shared" si="128"/>
        <v>0</v>
      </c>
      <c r="BU99">
        <f t="shared" si="128"/>
        <v>0</v>
      </c>
      <c r="BW99" s="1" t="s">
        <v>513</v>
      </c>
      <c r="BZ99" s="1" t="s">
        <v>513</v>
      </c>
      <c r="DC99" s="1" t="s">
        <v>235</v>
      </c>
    </row>
    <row r="100" spans="1:107" x14ac:dyDescent="0.25">
      <c r="A100" s="1" t="b">
        <v>1</v>
      </c>
      <c r="B100" s="2">
        <v>46167.016828703701</v>
      </c>
      <c r="C100" s="1" t="s">
        <v>661</v>
      </c>
      <c r="D100" s="1" t="s">
        <v>156</v>
      </c>
      <c r="E100">
        <f t="shared" ref="E100:K115" si="144">IF(ISNUMBER(SEARCH(E$1,$D100)), SEARCH(E$1,$D100), 0)</f>
        <v>1</v>
      </c>
      <c r="F100">
        <f t="shared" si="144"/>
        <v>0</v>
      </c>
      <c r="G100">
        <f t="shared" si="144"/>
        <v>0</v>
      </c>
      <c r="H100">
        <f t="shared" si="144"/>
        <v>0</v>
      </c>
      <c r="I100">
        <f t="shared" si="144"/>
        <v>30</v>
      </c>
      <c r="J100">
        <f t="shared" si="144"/>
        <v>62</v>
      </c>
      <c r="K100">
        <f t="shared" si="144"/>
        <v>0</v>
      </c>
      <c r="L100">
        <f t="shared" si="97"/>
        <v>62</v>
      </c>
      <c r="N100" s="1" t="s">
        <v>325</v>
      </c>
      <c r="O100" s="1"/>
      <c r="P100" s="1"/>
      <c r="Q100" s="1"/>
      <c r="R100" s="1"/>
      <c r="S100" s="1"/>
      <c r="T100" s="1"/>
      <c r="W100" s="1" t="str">
        <f t="shared" ref="W100:AA100" si="145">IF(W$1=$V100, "True", "False")</f>
        <v>False</v>
      </c>
      <c r="X100" s="1" t="str">
        <f t="shared" si="145"/>
        <v>False</v>
      </c>
      <c r="Y100" s="1" t="str">
        <f t="shared" si="145"/>
        <v>False</v>
      </c>
      <c r="Z100" s="1" t="str">
        <f t="shared" si="145"/>
        <v>False</v>
      </c>
      <c r="AA100" s="1" t="str">
        <f t="shared" si="145"/>
        <v>False</v>
      </c>
      <c r="AB100" s="1" t="s">
        <v>30</v>
      </c>
      <c r="AC100">
        <f t="shared" ref="AC100:AH115" si="146">IF(ISNUMBER(SEARCH(AC$1,$AB100)), 1, 0)</f>
        <v>0</v>
      </c>
      <c r="AD100">
        <f t="shared" si="146"/>
        <v>0</v>
      </c>
      <c r="AE100">
        <f t="shared" si="146"/>
        <v>0</v>
      </c>
      <c r="AF100">
        <f t="shared" si="146"/>
        <v>1</v>
      </c>
      <c r="AG100">
        <f t="shared" si="146"/>
        <v>0</v>
      </c>
      <c r="AH100">
        <f t="shared" si="146"/>
        <v>0</v>
      </c>
      <c r="AI100" s="1">
        <f t="shared" si="100"/>
        <v>1</v>
      </c>
      <c r="AK100" s="1" t="s">
        <v>285</v>
      </c>
      <c r="AL100">
        <f t="shared" ref="AL100:AS115" si="147">IF(ISNUMBER(SEARCH(AL$1,$AK100)), 1, 0)</f>
        <v>0</v>
      </c>
      <c r="AM100">
        <f t="shared" si="147"/>
        <v>1</v>
      </c>
      <c r="AN100">
        <f t="shared" si="147"/>
        <v>0</v>
      </c>
      <c r="AO100">
        <f t="shared" si="147"/>
        <v>1</v>
      </c>
      <c r="AP100">
        <f t="shared" si="147"/>
        <v>0</v>
      </c>
      <c r="AQ100">
        <f t="shared" si="147"/>
        <v>0</v>
      </c>
      <c r="AR100">
        <f t="shared" si="147"/>
        <v>0</v>
      </c>
      <c r="AS100">
        <f t="shared" si="147"/>
        <v>0</v>
      </c>
      <c r="AU100" s="1" t="s">
        <v>45</v>
      </c>
      <c r="AV100" s="1">
        <f t="shared" si="108"/>
        <v>1</v>
      </c>
      <c r="AW100" s="1">
        <f t="shared" si="109"/>
        <v>0</v>
      </c>
      <c r="AX100" s="1">
        <f t="shared" si="110"/>
        <v>0</v>
      </c>
      <c r="AY100" s="1" t="s">
        <v>46</v>
      </c>
      <c r="BA100" s="1" t="s">
        <v>662</v>
      </c>
      <c r="BB100">
        <f t="shared" ref="BB100:BJ115" si="148">IF(ISNUMBER(SEARCH(BB$1,$BA100)), 1, 0)</f>
        <v>0</v>
      </c>
      <c r="BC100">
        <f t="shared" si="148"/>
        <v>0</v>
      </c>
      <c r="BD100">
        <f t="shared" si="148"/>
        <v>0</v>
      </c>
      <c r="BE100">
        <f t="shared" si="148"/>
        <v>1</v>
      </c>
      <c r="BF100">
        <f t="shared" si="148"/>
        <v>0</v>
      </c>
      <c r="BG100">
        <f t="shared" si="148"/>
        <v>0</v>
      </c>
      <c r="BH100">
        <f t="shared" si="148"/>
        <v>0</v>
      </c>
      <c r="BI100">
        <f t="shared" si="148"/>
        <v>1</v>
      </c>
      <c r="BJ100">
        <f t="shared" si="148"/>
        <v>1</v>
      </c>
      <c r="BK100">
        <f t="shared" si="103"/>
        <v>3</v>
      </c>
      <c r="BM100" s="1" t="s">
        <v>229</v>
      </c>
      <c r="BN100" s="1" t="s">
        <v>663</v>
      </c>
      <c r="BO100">
        <f t="shared" ref="BO100:BU115" si="149">IF(ISNUMBER(SEARCH(BO$1,$BN100)), 1, 0)</f>
        <v>0</v>
      </c>
      <c r="BP100">
        <f t="shared" si="149"/>
        <v>0</v>
      </c>
      <c r="BQ100">
        <f t="shared" si="149"/>
        <v>0</v>
      </c>
      <c r="BR100">
        <f t="shared" si="149"/>
        <v>1</v>
      </c>
      <c r="BS100">
        <f t="shared" si="149"/>
        <v>1</v>
      </c>
      <c r="BT100">
        <f t="shared" si="149"/>
        <v>0</v>
      </c>
      <c r="BU100">
        <f t="shared" si="149"/>
        <v>1</v>
      </c>
      <c r="CH100" s="1" t="s">
        <v>664</v>
      </c>
      <c r="CJ100" s="1" t="s">
        <v>665</v>
      </c>
      <c r="CL100" s="1" t="s">
        <v>349</v>
      </c>
      <c r="CR100" s="1" t="s">
        <v>247</v>
      </c>
      <c r="DC100" s="1" t="s">
        <v>235</v>
      </c>
    </row>
    <row r="101" spans="1:107" x14ac:dyDescent="0.25">
      <c r="A101" s="1" t="b">
        <v>1</v>
      </c>
      <c r="B101" s="2">
        <v>46167.020335648151</v>
      </c>
      <c r="C101" s="1" t="s">
        <v>666</v>
      </c>
      <c r="D101" s="1" t="s">
        <v>5</v>
      </c>
      <c r="E101">
        <f t="shared" si="144"/>
        <v>0</v>
      </c>
      <c r="F101">
        <f t="shared" si="144"/>
        <v>1</v>
      </c>
      <c r="G101">
        <f t="shared" si="144"/>
        <v>0</v>
      </c>
      <c r="H101">
        <f t="shared" si="144"/>
        <v>0</v>
      </c>
      <c r="I101">
        <f t="shared" si="144"/>
        <v>0</v>
      </c>
      <c r="J101">
        <f t="shared" si="144"/>
        <v>0</v>
      </c>
      <c r="K101">
        <f t="shared" si="144"/>
        <v>0</v>
      </c>
      <c r="L101">
        <f t="shared" si="97"/>
        <v>1</v>
      </c>
      <c r="N101" s="1" t="s">
        <v>184</v>
      </c>
      <c r="O101" s="1"/>
      <c r="P101" s="1"/>
      <c r="Q101" s="1"/>
      <c r="R101" s="1"/>
      <c r="S101" s="1"/>
      <c r="T101" s="1"/>
      <c r="V101" s="1" t="s">
        <v>24</v>
      </c>
      <c r="W101" s="1" t="str">
        <f t="shared" ref="W101:AA101" si="150">IF(W$1=$V101, "True", "False")</f>
        <v>False</v>
      </c>
      <c r="X101" s="1" t="str">
        <f t="shared" si="150"/>
        <v>False</v>
      </c>
      <c r="Y101" s="1" t="str">
        <f t="shared" si="150"/>
        <v>False</v>
      </c>
      <c r="Z101" s="1" t="str">
        <f t="shared" si="150"/>
        <v>True</v>
      </c>
      <c r="AA101" s="1" t="str">
        <f t="shared" si="150"/>
        <v>False</v>
      </c>
      <c r="AB101" s="1" t="s">
        <v>557</v>
      </c>
      <c r="AC101">
        <f t="shared" si="146"/>
        <v>1</v>
      </c>
      <c r="AD101">
        <f t="shared" si="146"/>
        <v>0</v>
      </c>
      <c r="AE101">
        <f t="shared" si="146"/>
        <v>1</v>
      </c>
      <c r="AF101">
        <f t="shared" si="146"/>
        <v>0</v>
      </c>
      <c r="AG101">
        <f t="shared" si="146"/>
        <v>0</v>
      </c>
      <c r="AH101">
        <f t="shared" si="146"/>
        <v>1</v>
      </c>
      <c r="AI101" s="1">
        <f t="shared" si="100"/>
        <v>3</v>
      </c>
      <c r="AK101" s="1" t="s">
        <v>285</v>
      </c>
      <c r="AL101">
        <f t="shared" si="147"/>
        <v>0</v>
      </c>
      <c r="AM101">
        <f t="shared" si="147"/>
        <v>1</v>
      </c>
      <c r="AN101">
        <f t="shared" si="147"/>
        <v>0</v>
      </c>
      <c r="AO101">
        <f t="shared" si="147"/>
        <v>1</v>
      </c>
      <c r="AP101">
        <f t="shared" si="147"/>
        <v>0</v>
      </c>
      <c r="AQ101">
        <f t="shared" si="147"/>
        <v>0</v>
      </c>
      <c r="AR101">
        <f t="shared" si="147"/>
        <v>0</v>
      </c>
      <c r="AS101">
        <f t="shared" si="147"/>
        <v>0</v>
      </c>
      <c r="AU101" s="1" t="s">
        <v>46</v>
      </c>
      <c r="AV101" s="1">
        <f t="shared" si="108"/>
        <v>0</v>
      </c>
      <c r="AW101" s="1">
        <f t="shared" si="109"/>
        <v>1</v>
      </c>
      <c r="AX101" s="1">
        <f t="shared" si="110"/>
        <v>0</v>
      </c>
      <c r="AY101" s="1" t="s">
        <v>46</v>
      </c>
      <c r="BA101" s="1" t="s">
        <v>228</v>
      </c>
      <c r="BB101">
        <f t="shared" si="148"/>
        <v>1</v>
      </c>
      <c r="BC101">
        <f t="shared" si="148"/>
        <v>1</v>
      </c>
      <c r="BD101">
        <f t="shared" si="148"/>
        <v>1</v>
      </c>
      <c r="BE101">
        <f t="shared" si="148"/>
        <v>1</v>
      </c>
      <c r="BF101">
        <f t="shared" si="148"/>
        <v>1</v>
      </c>
      <c r="BG101">
        <f t="shared" si="148"/>
        <v>1</v>
      </c>
      <c r="BH101">
        <f t="shared" si="148"/>
        <v>0</v>
      </c>
      <c r="BI101">
        <f t="shared" si="148"/>
        <v>0</v>
      </c>
      <c r="BJ101">
        <f t="shared" si="148"/>
        <v>1</v>
      </c>
      <c r="BK101">
        <f t="shared" si="103"/>
        <v>7</v>
      </c>
      <c r="BM101" s="1" t="s">
        <v>163</v>
      </c>
      <c r="BN101" s="1" t="s">
        <v>401</v>
      </c>
      <c r="BO101">
        <f t="shared" si="149"/>
        <v>0</v>
      </c>
      <c r="BP101">
        <f t="shared" si="149"/>
        <v>0</v>
      </c>
      <c r="BQ101">
        <f t="shared" si="149"/>
        <v>0</v>
      </c>
      <c r="BR101">
        <f t="shared" si="149"/>
        <v>0</v>
      </c>
      <c r="BS101">
        <f t="shared" si="149"/>
        <v>0</v>
      </c>
      <c r="BT101">
        <f t="shared" si="149"/>
        <v>0</v>
      </c>
      <c r="BU101">
        <f t="shared" si="149"/>
        <v>0</v>
      </c>
      <c r="BV101" s="1" t="s">
        <v>667</v>
      </c>
      <c r="BW101" s="1" t="s">
        <v>209</v>
      </c>
      <c r="CX101" s="1" t="s">
        <v>668</v>
      </c>
      <c r="CY101" s="1" t="s">
        <v>669</v>
      </c>
      <c r="CZ101" s="1" t="s">
        <v>247</v>
      </c>
      <c r="DB101" s="1" t="s">
        <v>670</v>
      </c>
      <c r="DC101" s="1" t="s">
        <v>177</v>
      </c>
    </row>
    <row r="102" spans="1:107" x14ac:dyDescent="0.25">
      <c r="A102" s="1" t="b">
        <v>1</v>
      </c>
      <c r="B102" s="2">
        <v>46167.119490740741</v>
      </c>
      <c r="C102" s="1" t="s">
        <v>671</v>
      </c>
      <c r="D102" s="1" t="s">
        <v>4</v>
      </c>
      <c r="E102">
        <f t="shared" si="144"/>
        <v>1</v>
      </c>
      <c r="F102">
        <f t="shared" si="144"/>
        <v>0</v>
      </c>
      <c r="G102">
        <f t="shared" si="144"/>
        <v>0</v>
      </c>
      <c r="H102">
        <f t="shared" si="144"/>
        <v>0</v>
      </c>
      <c r="I102">
        <f t="shared" si="144"/>
        <v>0</v>
      </c>
      <c r="J102">
        <f t="shared" si="144"/>
        <v>0</v>
      </c>
      <c r="K102">
        <f t="shared" si="144"/>
        <v>0</v>
      </c>
      <c r="L102">
        <f t="shared" si="97"/>
        <v>1</v>
      </c>
      <c r="N102" s="1" t="s">
        <v>13</v>
      </c>
      <c r="O102" s="1"/>
      <c r="P102" s="1"/>
      <c r="Q102" s="1"/>
      <c r="R102" s="1"/>
      <c r="S102" s="1"/>
      <c r="T102" s="1"/>
      <c r="W102" s="1" t="str">
        <f t="shared" ref="W102:AA102" si="151">IF(W$1=$V102, "True", "False")</f>
        <v>False</v>
      </c>
      <c r="X102" s="1" t="str">
        <f t="shared" si="151"/>
        <v>False</v>
      </c>
      <c r="Y102" s="1" t="str">
        <f t="shared" si="151"/>
        <v>False</v>
      </c>
      <c r="Z102" s="1" t="str">
        <f t="shared" si="151"/>
        <v>False</v>
      </c>
      <c r="AA102" s="1" t="str">
        <f t="shared" si="151"/>
        <v>False</v>
      </c>
      <c r="AB102" s="1" t="s">
        <v>30</v>
      </c>
      <c r="AC102">
        <f t="shared" si="146"/>
        <v>0</v>
      </c>
      <c r="AD102">
        <f t="shared" si="146"/>
        <v>0</v>
      </c>
      <c r="AE102">
        <f t="shared" si="146"/>
        <v>0</v>
      </c>
      <c r="AF102">
        <f t="shared" si="146"/>
        <v>1</v>
      </c>
      <c r="AG102">
        <f t="shared" si="146"/>
        <v>0</v>
      </c>
      <c r="AH102">
        <f t="shared" si="146"/>
        <v>0</v>
      </c>
      <c r="AI102" s="1">
        <f t="shared" si="100"/>
        <v>1</v>
      </c>
      <c r="AK102" s="1" t="s">
        <v>36</v>
      </c>
      <c r="AL102">
        <f t="shared" si="147"/>
        <v>0</v>
      </c>
      <c r="AM102">
        <f t="shared" si="147"/>
        <v>1</v>
      </c>
      <c r="AN102">
        <f t="shared" si="147"/>
        <v>0</v>
      </c>
      <c r="AO102">
        <f t="shared" si="147"/>
        <v>0</v>
      </c>
      <c r="AP102">
        <f t="shared" si="147"/>
        <v>0</v>
      </c>
      <c r="AQ102">
        <f t="shared" si="147"/>
        <v>0</v>
      </c>
      <c r="AR102">
        <f t="shared" si="147"/>
        <v>0</v>
      </c>
      <c r="AS102">
        <f t="shared" si="147"/>
        <v>0</v>
      </c>
      <c r="AU102" s="1" t="s">
        <v>45</v>
      </c>
      <c r="AV102" s="1">
        <f t="shared" si="108"/>
        <v>1</v>
      </c>
      <c r="AW102" s="1">
        <f t="shared" si="109"/>
        <v>0</v>
      </c>
      <c r="AX102" s="1">
        <f t="shared" si="110"/>
        <v>0</v>
      </c>
      <c r="AY102" s="1" t="s">
        <v>46</v>
      </c>
      <c r="BA102" s="1" t="s">
        <v>59</v>
      </c>
      <c r="BB102">
        <f t="shared" si="148"/>
        <v>0</v>
      </c>
      <c r="BC102">
        <f t="shared" si="148"/>
        <v>0</v>
      </c>
      <c r="BD102">
        <f t="shared" si="148"/>
        <v>0</v>
      </c>
      <c r="BE102">
        <f t="shared" si="148"/>
        <v>0</v>
      </c>
      <c r="BF102">
        <f t="shared" si="148"/>
        <v>0</v>
      </c>
      <c r="BG102">
        <f t="shared" si="148"/>
        <v>0</v>
      </c>
      <c r="BH102">
        <f t="shared" si="148"/>
        <v>0</v>
      </c>
      <c r="BI102">
        <f t="shared" si="148"/>
        <v>0</v>
      </c>
      <c r="BJ102">
        <f t="shared" si="148"/>
        <v>1</v>
      </c>
      <c r="BK102">
        <f t="shared" si="103"/>
        <v>1</v>
      </c>
      <c r="BM102" s="1" t="s">
        <v>229</v>
      </c>
      <c r="BN102" s="1" t="s">
        <v>69</v>
      </c>
      <c r="BO102">
        <f t="shared" si="149"/>
        <v>0</v>
      </c>
      <c r="BP102">
        <f t="shared" si="149"/>
        <v>0</v>
      </c>
      <c r="BQ102">
        <f t="shared" si="149"/>
        <v>0</v>
      </c>
      <c r="BR102">
        <f t="shared" si="149"/>
        <v>0</v>
      </c>
      <c r="BS102">
        <f t="shared" si="149"/>
        <v>0</v>
      </c>
      <c r="BT102">
        <f t="shared" si="149"/>
        <v>0</v>
      </c>
      <c r="BU102">
        <f t="shared" si="149"/>
        <v>1</v>
      </c>
      <c r="DC102" s="1" t="s">
        <v>177</v>
      </c>
    </row>
    <row r="103" spans="1:107" x14ac:dyDescent="0.25">
      <c r="A103" s="1" t="b">
        <v>1</v>
      </c>
      <c r="B103" s="2">
        <v>46167.296018518522</v>
      </c>
      <c r="C103" s="1" t="s">
        <v>672</v>
      </c>
      <c r="D103" s="1" t="s">
        <v>204</v>
      </c>
      <c r="E103">
        <f t="shared" si="144"/>
        <v>1</v>
      </c>
      <c r="F103">
        <f t="shared" si="144"/>
        <v>30</v>
      </c>
      <c r="G103">
        <f t="shared" si="144"/>
        <v>0</v>
      </c>
      <c r="H103">
        <f t="shared" si="144"/>
        <v>0</v>
      </c>
      <c r="I103">
        <f t="shared" si="144"/>
        <v>0</v>
      </c>
      <c r="J103">
        <f t="shared" si="144"/>
        <v>0</v>
      </c>
      <c r="K103">
        <f t="shared" si="144"/>
        <v>0</v>
      </c>
      <c r="L103">
        <f t="shared" si="97"/>
        <v>30</v>
      </c>
      <c r="N103" s="1" t="s">
        <v>237</v>
      </c>
      <c r="O103" s="1"/>
      <c r="P103" s="1"/>
      <c r="Q103" s="1"/>
      <c r="R103" s="1"/>
      <c r="S103" s="1"/>
      <c r="T103" s="1"/>
      <c r="W103" s="1" t="str">
        <f t="shared" ref="W103:AA103" si="152">IF(W$1=$V103, "True", "False")</f>
        <v>False</v>
      </c>
      <c r="X103" s="1" t="str">
        <f t="shared" si="152"/>
        <v>False</v>
      </c>
      <c r="Y103" s="1" t="str">
        <f t="shared" si="152"/>
        <v>False</v>
      </c>
      <c r="Z103" s="1" t="str">
        <f t="shared" si="152"/>
        <v>False</v>
      </c>
      <c r="AA103" s="1" t="str">
        <f t="shared" si="152"/>
        <v>False</v>
      </c>
      <c r="AB103" s="1" t="s">
        <v>30</v>
      </c>
      <c r="AC103">
        <f t="shared" si="146"/>
        <v>0</v>
      </c>
      <c r="AD103">
        <f t="shared" si="146"/>
        <v>0</v>
      </c>
      <c r="AE103">
        <f t="shared" si="146"/>
        <v>0</v>
      </c>
      <c r="AF103">
        <f t="shared" si="146"/>
        <v>1</v>
      </c>
      <c r="AG103">
        <f t="shared" si="146"/>
        <v>0</v>
      </c>
      <c r="AH103">
        <f t="shared" si="146"/>
        <v>0</v>
      </c>
      <c r="AI103" s="1">
        <f t="shared" si="100"/>
        <v>1</v>
      </c>
      <c r="AK103" s="1" t="s">
        <v>608</v>
      </c>
      <c r="AL103">
        <f t="shared" si="147"/>
        <v>0</v>
      </c>
      <c r="AM103">
        <f t="shared" si="147"/>
        <v>1</v>
      </c>
      <c r="AN103">
        <f t="shared" si="147"/>
        <v>1</v>
      </c>
      <c r="AO103">
        <f t="shared" si="147"/>
        <v>1</v>
      </c>
      <c r="AP103">
        <f t="shared" si="147"/>
        <v>1</v>
      </c>
      <c r="AQ103">
        <f t="shared" si="147"/>
        <v>1</v>
      </c>
      <c r="AR103">
        <f t="shared" si="147"/>
        <v>1</v>
      </c>
      <c r="AS103">
        <f t="shared" si="147"/>
        <v>0</v>
      </c>
      <c r="AU103" s="1" t="s">
        <v>45</v>
      </c>
      <c r="AV103" s="1">
        <f t="shared" si="108"/>
        <v>1</v>
      </c>
      <c r="AW103" s="1">
        <f t="shared" si="109"/>
        <v>0</v>
      </c>
      <c r="AX103" s="1">
        <f t="shared" si="110"/>
        <v>0</v>
      </c>
      <c r="AY103" s="1" t="s">
        <v>46</v>
      </c>
      <c r="BA103" s="1" t="s">
        <v>673</v>
      </c>
      <c r="BB103">
        <f t="shared" si="148"/>
        <v>0</v>
      </c>
      <c r="BC103">
        <f t="shared" si="148"/>
        <v>0</v>
      </c>
      <c r="BD103">
        <f t="shared" si="148"/>
        <v>1</v>
      </c>
      <c r="BE103">
        <f t="shared" si="148"/>
        <v>1</v>
      </c>
      <c r="BF103">
        <f t="shared" si="148"/>
        <v>0</v>
      </c>
      <c r="BG103">
        <f t="shared" si="148"/>
        <v>0</v>
      </c>
      <c r="BH103">
        <f t="shared" si="148"/>
        <v>0</v>
      </c>
      <c r="BI103">
        <f t="shared" si="148"/>
        <v>0</v>
      </c>
      <c r="BJ103">
        <f t="shared" si="148"/>
        <v>0</v>
      </c>
      <c r="BK103">
        <f t="shared" si="103"/>
        <v>2</v>
      </c>
      <c r="BM103" s="1" t="s">
        <v>187</v>
      </c>
      <c r="BN103" s="1" t="s">
        <v>674</v>
      </c>
      <c r="BO103">
        <f t="shared" si="149"/>
        <v>0</v>
      </c>
      <c r="BP103">
        <f t="shared" si="149"/>
        <v>1</v>
      </c>
      <c r="BQ103">
        <f t="shared" si="149"/>
        <v>1</v>
      </c>
      <c r="BR103">
        <f t="shared" si="149"/>
        <v>0</v>
      </c>
      <c r="BS103">
        <f t="shared" si="149"/>
        <v>0</v>
      </c>
      <c r="BT103">
        <f t="shared" si="149"/>
        <v>1</v>
      </c>
      <c r="BU103">
        <f t="shared" si="149"/>
        <v>0</v>
      </c>
      <c r="CX103" s="1" t="s">
        <v>675</v>
      </c>
      <c r="CZ103" s="1" t="s">
        <v>676</v>
      </c>
      <c r="DC103" s="1" t="s">
        <v>177</v>
      </c>
    </row>
    <row r="104" spans="1:107" x14ac:dyDescent="0.25">
      <c r="A104" s="1" t="b">
        <v>0</v>
      </c>
      <c r="B104" s="2">
        <v>46167.317615740743</v>
      </c>
      <c r="C104" s="1" t="s">
        <v>677</v>
      </c>
      <c r="D104" s="1" t="s">
        <v>204</v>
      </c>
      <c r="E104">
        <f t="shared" si="144"/>
        <v>1</v>
      </c>
      <c r="F104">
        <f t="shared" si="144"/>
        <v>30</v>
      </c>
      <c r="G104">
        <f t="shared" si="144"/>
        <v>0</v>
      </c>
      <c r="H104">
        <f t="shared" si="144"/>
        <v>0</v>
      </c>
      <c r="I104">
        <f t="shared" si="144"/>
        <v>0</v>
      </c>
      <c r="J104">
        <f t="shared" si="144"/>
        <v>0</v>
      </c>
      <c r="K104">
        <f t="shared" si="144"/>
        <v>0</v>
      </c>
      <c r="L104">
        <f t="shared" si="97"/>
        <v>30</v>
      </c>
      <c r="N104" s="1" t="s">
        <v>205</v>
      </c>
      <c r="O104" s="1"/>
      <c r="P104" s="1"/>
      <c r="Q104" s="1"/>
      <c r="R104" s="1"/>
      <c r="S104" s="1"/>
      <c r="T104" s="1"/>
      <c r="V104" s="1" t="s">
        <v>23</v>
      </c>
      <c r="W104" s="1" t="str">
        <f t="shared" ref="W104:AA104" si="153">IF(W$1=$V104, "True", "False")</f>
        <v>False</v>
      </c>
      <c r="X104" s="1" t="str">
        <f t="shared" si="153"/>
        <v>False</v>
      </c>
      <c r="Y104" s="1" t="str">
        <f t="shared" si="153"/>
        <v>True</v>
      </c>
      <c r="Z104" s="1" t="str">
        <f t="shared" si="153"/>
        <v>False</v>
      </c>
      <c r="AA104" s="1" t="str">
        <f t="shared" si="153"/>
        <v>False</v>
      </c>
      <c r="AB104" s="1" t="s">
        <v>484</v>
      </c>
      <c r="AC104">
        <f t="shared" si="146"/>
        <v>0</v>
      </c>
      <c r="AD104">
        <f t="shared" si="146"/>
        <v>0</v>
      </c>
      <c r="AE104">
        <f t="shared" si="146"/>
        <v>0</v>
      </c>
      <c r="AF104">
        <f t="shared" si="146"/>
        <v>1</v>
      </c>
      <c r="AG104">
        <f t="shared" si="146"/>
        <v>0</v>
      </c>
      <c r="AH104">
        <f t="shared" si="146"/>
        <v>1</v>
      </c>
      <c r="AI104" s="1">
        <f t="shared" si="100"/>
        <v>2</v>
      </c>
      <c r="AK104" s="1" t="s">
        <v>314</v>
      </c>
      <c r="AL104">
        <f t="shared" si="147"/>
        <v>0</v>
      </c>
      <c r="AM104">
        <f t="shared" si="147"/>
        <v>1</v>
      </c>
      <c r="AN104">
        <f t="shared" si="147"/>
        <v>0</v>
      </c>
      <c r="AO104">
        <f t="shared" si="147"/>
        <v>1</v>
      </c>
      <c r="AP104">
        <f t="shared" si="147"/>
        <v>1</v>
      </c>
      <c r="AQ104">
        <f t="shared" si="147"/>
        <v>1</v>
      </c>
      <c r="AR104">
        <f t="shared" si="147"/>
        <v>0</v>
      </c>
      <c r="AS104">
        <f t="shared" si="147"/>
        <v>0</v>
      </c>
      <c r="AU104" s="1" t="s">
        <v>45</v>
      </c>
      <c r="AV104" s="1">
        <f t="shared" si="108"/>
        <v>1</v>
      </c>
      <c r="AW104" s="1">
        <f t="shared" si="109"/>
        <v>0</v>
      </c>
      <c r="AX104" s="1">
        <f t="shared" si="110"/>
        <v>0</v>
      </c>
      <c r="AY104" s="1" t="s">
        <v>46</v>
      </c>
      <c r="BA104" s="1" t="s">
        <v>228</v>
      </c>
      <c r="BB104">
        <f t="shared" si="148"/>
        <v>1</v>
      </c>
      <c r="BC104">
        <f t="shared" si="148"/>
        <v>1</v>
      </c>
      <c r="BD104">
        <f t="shared" si="148"/>
        <v>1</v>
      </c>
      <c r="BE104">
        <f t="shared" si="148"/>
        <v>1</v>
      </c>
      <c r="BF104">
        <f t="shared" si="148"/>
        <v>1</v>
      </c>
      <c r="BG104">
        <f t="shared" si="148"/>
        <v>1</v>
      </c>
      <c r="BH104">
        <f t="shared" si="148"/>
        <v>0</v>
      </c>
      <c r="BI104">
        <f t="shared" si="148"/>
        <v>0</v>
      </c>
      <c r="BJ104">
        <f t="shared" si="148"/>
        <v>1</v>
      </c>
      <c r="BK104">
        <f t="shared" si="103"/>
        <v>7</v>
      </c>
      <c r="BM104" s="1" t="s">
        <v>187</v>
      </c>
      <c r="BN104" s="1" t="s">
        <v>674</v>
      </c>
      <c r="BO104">
        <f t="shared" si="149"/>
        <v>0</v>
      </c>
      <c r="BP104">
        <f t="shared" si="149"/>
        <v>1</v>
      </c>
      <c r="BQ104">
        <f t="shared" si="149"/>
        <v>1</v>
      </c>
      <c r="BR104">
        <f t="shared" si="149"/>
        <v>0</v>
      </c>
      <c r="BS104">
        <f t="shared" si="149"/>
        <v>0</v>
      </c>
      <c r="BT104">
        <f t="shared" si="149"/>
        <v>1</v>
      </c>
      <c r="BU104">
        <f t="shared" si="149"/>
        <v>0</v>
      </c>
    </row>
    <row r="105" spans="1:107" x14ac:dyDescent="0.25">
      <c r="A105" s="1" t="b">
        <v>1</v>
      </c>
      <c r="B105" s="2">
        <v>46167.369560185187</v>
      </c>
      <c r="C105" s="1" t="s">
        <v>678</v>
      </c>
      <c r="D105" s="1" t="s">
        <v>8</v>
      </c>
      <c r="E105">
        <f t="shared" si="144"/>
        <v>0</v>
      </c>
      <c r="F105">
        <f t="shared" si="144"/>
        <v>0</v>
      </c>
      <c r="G105">
        <f t="shared" si="144"/>
        <v>0</v>
      </c>
      <c r="H105">
        <f t="shared" si="144"/>
        <v>0</v>
      </c>
      <c r="I105">
        <f t="shared" si="144"/>
        <v>1</v>
      </c>
      <c r="J105">
        <f t="shared" si="144"/>
        <v>0</v>
      </c>
      <c r="K105">
        <f t="shared" si="144"/>
        <v>0</v>
      </c>
      <c r="L105">
        <f t="shared" si="97"/>
        <v>1</v>
      </c>
      <c r="N105" s="1" t="s">
        <v>325</v>
      </c>
      <c r="O105" s="1"/>
      <c r="P105" s="1"/>
      <c r="Q105" s="1"/>
      <c r="R105" s="1"/>
      <c r="S105" s="1"/>
      <c r="T105" s="1"/>
      <c r="V105" s="1" t="s">
        <v>23</v>
      </c>
      <c r="W105" s="1" t="str">
        <f t="shared" ref="W105:AA105" si="154">IF(W$1=$V105, "True", "False")</f>
        <v>False</v>
      </c>
      <c r="X105" s="1" t="str">
        <f t="shared" si="154"/>
        <v>False</v>
      </c>
      <c r="Y105" s="1" t="str">
        <f t="shared" si="154"/>
        <v>True</v>
      </c>
      <c r="Z105" s="1" t="str">
        <f t="shared" si="154"/>
        <v>False</v>
      </c>
      <c r="AA105" s="1" t="str">
        <f t="shared" si="154"/>
        <v>False</v>
      </c>
      <c r="AB105" s="1" t="s">
        <v>354</v>
      </c>
      <c r="AC105">
        <f t="shared" si="146"/>
        <v>1</v>
      </c>
      <c r="AD105">
        <f t="shared" si="146"/>
        <v>0</v>
      </c>
      <c r="AE105">
        <f t="shared" si="146"/>
        <v>0</v>
      </c>
      <c r="AF105">
        <f t="shared" si="146"/>
        <v>0</v>
      </c>
      <c r="AG105">
        <f t="shared" si="146"/>
        <v>0</v>
      </c>
      <c r="AH105">
        <f t="shared" si="146"/>
        <v>1</v>
      </c>
      <c r="AI105" s="1">
        <f t="shared" si="100"/>
        <v>2</v>
      </c>
      <c r="AK105" s="1" t="s">
        <v>285</v>
      </c>
      <c r="AL105">
        <f t="shared" si="147"/>
        <v>0</v>
      </c>
      <c r="AM105">
        <f t="shared" si="147"/>
        <v>1</v>
      </c>
      <c r="AN105">
        <f t="shared" si="147"/>
        <v>0</v>
      </c>
      <c r="AO105">
        <f t="shared" si="147"/>
        <v>1</v>
      </c>
      <c r="AP105">
        <f t="shared" si="147"/>
        <v>0</v>
      </c>
      <c r="AQ105">
        <f t="shared" si="147"/>
        <v>0</v>
      </c>
      <c r="AR105">
        <f t="shared" si="147"/>
        <v>0</v>
      </c>
      <c r="AS105">
        <f t="shared" si="147"/>
        <v>0</v>
      </c>
      <c r="AU105" s="1" t="s">
        <v>47</v>
      </c>
      <c r="AV105" s="1">
        <f t="shared" si="108"/>
        <v>0</v>
      </c>
      <c r="AW105" s="1">
        <f t="shared" si="109"/>
        <v>0</v>
      </c>
      <c r="AX105" s="1">
        <f t="shared" si="110"/>
        <v>1</v>
      </c>
      <c r="AY105" s="1" t="s">
        <v>46</v>
      </c>
      <c r="BA105" s="1" t="s">
        <v>368</v>
      </c>
      <c r="BB105">
        <f t="shared" si="148"/>
        <v>1</v>
      </c>
      <c r="BC105">
        <f t="shared" si="148"/>
        <v>1</v>
      </c>
      <c r="BD105">
        <f t="shared" si="148"/>
        <v>1</v>
      </c>
      <c r="BE105">
        <f t="shared" si="148"/>
        <v>0</v>
      </c>
      <c r="BF105">
        <f t="shared" si="148"/>
        <v>1</v>
      </c>
      <c r="BG105">
        <f t="shared" si="148"/>
        <v>1</v>
      </c>
      <c r="BH105">
        <f t="shared" si="148"/>
        <v>0</v>
      </c>
      <c r="BI105">
        <f t="shared" si="148"/>
        <v>0</v>
      </c>
      <c r="BJ105">
        <f t="shared" si="148"/>
        <v>1</v>
      </c>
      <c r="BK105">
        <f t="shared" si="103"/>
        <v>6</v>
      </c>
      <c r="BM105" s="1" t="s">
        <v>229</v>
      </c>
      <c r="BN105" s="1" t="s">
        <v>554</v>
      </c>
      <c r="BO105">
        <f t="shared" si="149"/>
        <v>0</v>
      </c>
      <c r="BP105">
        <f t="shared" si="149"/>
        <v>0</v>
      </c>
      <c r="BQ105">
        <f t="shared" si="149"/>
        <v>0</v>
      </c>
      <c r="BR105">
        <f t="shared" si="149"/>
        <v>1</v>
      </c>
      <c r="BS105">
        <f t="shared" si="149"/>
        <v>1</v>
      </c>
      <c r="BT105">
        <f t="shared" si="149"/>
        <v>0</v>
      </c>
      <c r="BU105">
        <f t="shared" si="149"/>
        <v>0</v>
      </c>
      <c r="CH105" s="1" t="s">
        <v>170</v>
      </c>
      <c r="CI105" s="1" t="s">
        <v>679</v>
      </c>
      <c r="CJ105" s="1" t="s">
        <v>680</v>
      </c>
      <c r="CL105" s="1" t="s">
        <v>174</v>
      </c>
      <c r="DC105" s="1" t="s">
        <v>235</v>
      </c>
    </row>
    <row r="106" spans="1:107" x14ac:dyDescent="0.25">
      <c r="A106" s="1" t="b">
        <v>1</v>
      </c>
      <c r="B106" s="2">
        <v>46167.40320601852</v>
      </c>
      <c r="C106" s="1" t="s">
        <v>681</v>
      </c>
      <c r="D106" s="1" t="s">
        <v>5</v>
      </c>
      <c r="E106">
        <f t="shared" si="144"/>
        <v>0</v>
      </c>
      <c r="F106">
        <f t="shared" si="144"/>
        <v>1</v>
      </c>
      <c r="G106">
        <f t="shared" si="144"/>
        <v>0</v>
      </c>
      <c r="H106">
        <f t="shared" si="144"/>
        <v>0</v>
      </c>
      <c r="I106">
        <f t="shared" si="144"/>
        <v>0</v>
      </c>
      <c r="J106">
        <f t="shared" si="144"/>
        <v>0</v>
      </c>
      <c r="K106">
        <f t="shared" si="144"/>
        <v>0</v>
      </c>
      <c r="L106">
        <f t="shared" si="97"/>
        <v>1</v>
      </c>
      <c r="N106" s="1" t="s">
        <v>320</v>
      </c>
      <c r="O106" s="1"/>
      <c r="P106" s="1"/>
      <c r="Q106" s="1"/>
      <c r="R106" s="1"/>
      <c r="S106" s="1"/>
      <c r="T106" s="1"/>
      <c r="V106" s="1" t="s">
        <v>23</v>
      </c>
      <c r="W106" s="1" t="str">
        <f t="shared" ref="W106:AA106" si="155">IF(W$1=$V106, "True", "False")</f>
        <v>False</v>
      </c>
      <c r="X106" s="1" t="str">
        <f t="shared" si="155"/>
        <v>False</v>
      </c>
      <c r="Y106" s="1" t="str">
        <f t="shared" si="155"/>
        <v>True</v>
      </c>
      <c r="Z106" s="1" t="str">
        <f t="shared" si="155"/>
        <v>False</v>
      </c>
      <c r="AA106" s="1" t="str">
        <f t="shared" si="155"/>
        <v>False</v>
      </c>
      <c r="AB106" s="1" t="s">
        <v>682</v>
      </c>
      <c r="AC106">
        <f t="shared" si="146"/>
        <v>0</v>
      </c>
      <c r="AD106">
        <f t="shared" si="146"/>
        <v>0</v>
      </c>
      <c r="AE106">
        <f t="shared" si="146"/>
        <v>0</v>
      </c>
      <c r="AF106">
        <f t="shared" si="146"/>
        <v>1</v>
      </c>
      <c r="AG106">
        <f t="shared" si="146"/>
        <v>1</v>
      </c>
      <c r="AH106">
        <f t="shared" si="146"/>
        <v>1</v>
      </c>
      <c r="AI106" s="1">
        <f t="shared" si="100"/>
        <v>3</v>
      </c>
      <c r="AK106" s="1" t="s">
        <v>314</v>
      </c>
      <c r="AL106">
        <f t="shared" si="147"/>
        <v>0</v>
      </c>
      <c r="AM106">
        <f t="shared" si="147"/>
        <v>1</v>
      </c>
      <c r="AN106">
        <f t="shared" si="147"/>
        <v>0</v>
      </c>
      <c r="AO106">
        <f t="shared" si="147"/>
        <v>1</v>
      </c>
      <c r="AP106">
        <f t="shared" si="147"/>
        <v>1</v>
      </c>
      <c r="AQ106">
        <f t="shared" si="147"/>
        <v>1</v>
      </c>
      <c r="AR106">
        <f t="shared" si="147"/>
        <v>0</v>
      </c>
      <c r="AS106">
        <f t="shared" si="147"/>
        <v>0</v>
      </c>
      <c r="AU106" s="1" t="s">
        <v>46</v>
      </c>
      <c r="AV106" s="1">
        <f t="shared" si="108"/>
        <v>0</v>
      </c>
      <c r="AW106" s="1">
        <f t="shared" si="109"/>
        <v>1</v>
      </c>
      <c r="AX106" s="1">
        <f t="shared" si="110"/>
        <v>0</v>
      </c>
      <c r="AY106" s="1" t="s">
        <v>46</v>
      </c>
      <c r="BA106" s="1" t="s">
        <v>222</v>
      </c>
      <c r="BB106">
        <f t="shared" si="148"/>
        <v>0</v>
      </c>
      <c r="BC106">
        <f t="shared" si="148"/>
        <v>0</v>
      </c>
      <c r="BD106">
        <f t="shared" si="148"/>
        <v>0</v>
      </c>
      <c r="BE106">
        <f t="shared" si="148"/>
        <v>1</v>
      </c>
      <c r="BF106">
        <f t="shared" si="148"/>
        <v>0</v>
      </c>
      <c r="BG106">
        <f t="shared" si="148"/>
        <v>0</v>
      </c>
      <c r="BH106">
        <f t="shared" si="148"/>
        <v>0</v>
      </c>
      <c r="BI106">
        <f t="shared" si="148"/>
        <v>0</v>
      </c>
      <c r="BJ106">
        <f t="shared" si="148"/>
        <v>1</v>
      </c>
      <c r="BK106">
        <f t="shared" si="103"/>
        <v>2</v>
      </c>
      <c r="BM106" s="1" t="s">
        <v>187</v>
      </c>
      <c r="BN106" s="1" t="s">
        <v>69</v>
      </c>
      <c r="BO106">
        <f t="shared" si="149"/>
        <v>0</v>
      </c>
      <c r="BP106">
        <f t="shared" si="149"/>
        <v>0</v>
      </c>
      <c r="BQ106">
        <f t="shared" si="149"/>
        <v>0</v>
      </c>
      <c r="BR106">
        <f t="shared" si="149"/>
        <v>0</v>
      </c>
      <c r="BS106">
        <f t="shared" si="149"/>
        <v>0</v>
      </c>
      <c r="BT106">
        <f t="shared" si="149"/>
        <v>0</v>
      </c>
      <c r="BU106">
        <f t="shared" si="149"/>
        <v>1</v>
      </c>
      <c r="BW106" s="1" t="s">
        <v>217</v>
      </c>
      <c r="BZ106" s="1" t="s">
        <v>275</v>
      </c>
      <c r="CX106" s="1" t="s">
        <v>683</v>
      </c>
      <c r="CZ106" s="1" t="s">
        <v>330</v>
      </c>
      <c r="DA106" s="1" t="s">
        <v>684</v>
      </c>
      <c r="DB106" s="1" t="s">
        <v>685</v>
      </c>
      <c r="DC106" s="1" t="s">
        <v>177</v>
      </c>
    </row>
    <row r="107" spans="1:107" x14ac:dyDescent="0.25">
      <c r="A107" s="1" t="b">
        <v>1</v>
      </c>
      <c r="B107" s="2">
        <v>46167.497002314813</v>
      </c>
      <c r="C107" s="1" t="s">
        <v>686</v>
      </c>
      <c r="D107" s="1" t="s">
        <v>204</v>
      </c>
      <c r="E107">
        <f t="shared" si="144"/>
        <v>1</v>
      </c>
      <c r="F107">
        <f t="shared" si="144"/>
        <v>30</v>
      </c>
      <c r="G107">
        <f t="shared" si="144"/>
        <v>0</v>
      </c>
      <c r="H107">
        <f t="shared" si="144"/>
        <v>0</v>
      </c>
      <c r="I107">
        <f t="shared" si="144"/>
        <v>0</v>
      </c>
      <c r="J107">
        <f t="shared" si="144"/>
        <v>0</v>
      </c>
      <c r="K107">
        <f t="shared" si="144"/>
        <v>0</v>
      </c>
      <c r="L107">
        <f t="shared" si="97"/>
        <v>30</v>
      </c>
      <c r="N107" s="1" t="s">
        <v>157</v>
      </c>
      <c r="O107" s="1"/>
      <c r="P107" s="1"/>
      <c r="Q107" s="1"/>
      <c r="R107" s="1"/>
      <c r="S107" s="1"/>
      <c r="T107" s="1"/>
      <c r="U107" s="1" t="s">
        <v>687</v>
      </c>
      <c r="V107" s="1" t="s">
        <v>22</v>
      </c>
      <c r="W107" s="1" t="str">
        <f t="shared" ref="W107:AA107" si="156">IF(W$1=$V107, "True", "False")</f>
        <v>False</v>
      </c>
      <c r="X107" s="1" t="str">
        <f t="shared" si="156"/>
        <v>True</v>
      </c>
      <c r="Y107" s="1" t="str">
        <f t="shared" si="156"/>
        <v>False</v>
      </c>
      <c r="Z107" s="1" t="str">
        <f t="shared" si="156"/>
        <v>False</v>
      </c>
      <c r="AA107" s="1" t="str">
        <f t="shared" si="156"/>
        <v>False</v>
      </c>
      <c r="AB107" s="1" t="s">
        <v>688</v>
      </c>
      <c r="AC107">
        <f t="shared" si="146"/>
        <v>1</v>
      </c>
      <c r="AD107">
        <f t="shared" si="146"/>
        <v>1</v>
      </c>
      <c r="AE107">
        <f t="shared" si="146"/>
        <v>1</v>
      </c>
      <c r="AF107">
        <f t="shared" si="146"/>
        <v>1</v>
      </c>
      <c r="AG107">
        <f t="shared" si="146"/>
        <v>1</v>
      </c>
      <c r="AH107">
        <f t="shared" si="146"/>
        <v>1</v>
      </c>
      <c r="AI107" s="1">
        <f t="shared" si="100"/>
        <v>6</v>
      </c>
      <c r="AJ107" s="1" t="s">
        <v>687</v>
      </c>
      <c r="AK107" s="1" t="s">
        <v>601</v>
      </c>
      <c r="AL107">
        <f t="shared" si="147"/>
        <v>1</v>
      </c>
      <c r="AM107">
        <f t="shared" si="147"/>
        <v>1</v>
      </c>
      <c r="AN107">
        <f t="shared" si="147"/>
        <v>1</v>
      </c>
      <c r="AO107">
        <f t="shared" si="147"/>
        <v>1</v>
      </c>
      <c r="AP107">
        <f t="shared" si="147"/>
        <v>1</v>
      </c>
      <c r="AQ107">
        <f t="shared" si="147"/>
        <v>1</v>
      </c>
      <c r="AR107">
        <f t="shared" si="147"/>
        <v>1</v>
      </c>
      <c r="AS107">
        <f t="shared" si="147"/>
        <v>1</v>
      </c>
      <c r="AT107" s="1" t="s">
        <v>687</v>
      </c>
      <c r="AU107" s="1" t="s">
        <v>45</v>
      </c>
      <c r="AV107" s="1">
        <f t="shared" si="108"/>
        <v>1</v>
      </c>
      <c r="AW107" s="1">
        <f t="shared" si="109"/>
        <v>0</v>
      </c>
      <c r="AX107" s="1">
        <f t="shared" si="110"/>
        <v>0</v>
      </c>
      <c r="AY107" s="1" t="s">
        <v>46</v>
      </c>
      <c r="BA107" s="1" t="s">
        <v>689</v>
      </c>
      <c r="BB107">
        <f t="shared" si="148"/>
        <v>1</v>
      </c>
      <c r="BC107">
        <f t="shared" si="148"/>
        <v>1</v>
      </c>
      <c r="BD107">
        <f t="shared" si="148"/>
        <v>0</v>
      </c>
      <c r="BE107">
        <f t="shared" si="148"/>
        <v>1</v>
      </c>
      <c r="BF107">
        <f t="shared" si="148"/>
        <v>1</v>
      </c>
      <c r="BG107">
        <f t="shared" si="148"/>
        <v>1</v>
      </c>
      <c r="BH107">
        <f t="shared" si="148"/>
        <v>1</v>
      </c>
      <c r="BI107">
        <f t="shared" si="148"/>
        <v>1</v>
      </c>
      <c r="BJ107">
        <f t="shared" si="148"/>
        <v>1</v>
      </c>
      <c r="BK107">
        <f t="shared" si="103"/>
        <v>8</v>
      </c>
      <c r="BM107" s="1" t="s">
        <v>187</v>
      </c>
      <c r="BN107" s="1" t="s">
        <v>690</v>
      </c>
      <c r="BO107">
        <f t="shared" si="149"/>
        <v>1</v>
      </c>
      <c r="BP107">
        <f t="shared" si="149"/>
        <v>1</v>
      </c>
      <c r="BQ107">
        <f t="shared" si="149"/>
        <v>1</v>
      </c>
      <c r="BR107">
        <f t="shared" si="149"/>
        <v>1</v>
      </c>
      <c r="BS107">
        <f t="shared" si="149"/>
        <v>1</v>
      </c>
      <c r="BT107">
        <f t="shared" si="149"/>
        <v>1</v>
      </c>
      <c r="BU107">
        <f t="shared" si="149"/>
        <v>1</v>
      </c>
      <c r="CX107" s="1" t="s">
        <v>691</v>
      </c>
      <c r="CZ107" s="1" t="s">
        <v>175</v>
      </c>
      <c r="DC107" s="1" t="s">
        <v>177</v>
      </c>
    </row>
    <row r="108" spans="1:107" x14ac:dyDescent="0.25">
      <c r="A108" s="1" t="b">
        <v>1</v>
      </c>
      <c r="B108" s="2">
        <v>46167.564583333333</v>
      </c>
      <c r="C108" s="1" t="s">
        <v>692</v>
      </c>
      <c r="D108" s="1" t="s">
        <v>204</v>
      </c>
      <c r="E108">
        <f t="shared" si="144"/>
        <v>1</v>
      </c>
      <c r="F108">
        <f t="shared" si="144"/>
        <v>30</v>
      </c>
      <c r="G108">
        <f t="shared" si="144"/>
        <v>0</v>
      </c>
      <c r="H108">
        <f t="shared" si="144"/>
        <v>0</v>
      </c>
      <c r="I108">
        <f t="shared" si="144"/>
        <v>0</v>
      </c>
      <c r="J108">
        <f t="shared" si="144"/>
        <v>0</v>
      </c>
      <c r="K108">
        <f t="shared" si="144"/>
        <v>0</v>
      </c>
      <c r="L108">
        <f t="shared" si="97"/>
        <v>30</v>
      </c>
      <c r="N108" s="1" t="s">
        <v>237</v>
      </c>
      <c r="O108" s="1"/>
      <c r="P108" s="1"/>
      <c r="Q108" s="1"/>
      <c r="R108" s="1"/>
      <c r="S108" s="1"/>
      <c r="T108" s="1"/>
      <c r="V108" s="1" t="s">
        <v>25</v>
      </c>
      <c r="W108" s="1" t="str">
        <f t="shared" ref="W108:AA108" si="157">IF(W$1=$V108, "True", "False")</f>
        <v>False</v>
      </c>
      <c r="X108" s="1" t="str">
        <f t="shared" si="157"/>
        <v>False</v>
      </c>
      <c r="Y108" s="1" t="str">
        <f t="shared" si="157"/>
        <v>False</v>
      </c>
      <c r="Z108" s="1" t="str">
        <f t="shared" si="157"/>
        <v>False</v>
      </c>
      <c r="AA108" s="1" t="str">
        <f t="shared" si="157"/>
        <v>True</v>
      </c>
      <c r="AB108" s="1" t="s">
        <v>693</v>
      </c>
      <c r="AC108">
        <f t="shared" si="146"/>
        <v>0</v>
      </c>
      <c r="AD108">
        <f t="shared" si="146"/>
        <v>1</v>
      </c>
      <c r="AE108">
        <f t="shared" si="146"/>
        <v>0</v>
      </c>
      <c r="AF108">
        <f t="shared" si="146"/>
        <v>0</v>
      </c>
      <c r="AG108">
        <f t="shared" si="146"/>
        <v>0</v>
      </c>
      <c r="AH108">
        <f t="shared" si="146"/>
        <v>1</v>
      </c>
      <c r="AI108" s="1">
        <f t="shared" si="100"/>
        <v>2</v>
      </c>
      <c r="AK108" s="1" t="s">
        <v>467</v>
      </c>
      <c r="AL108">
        <f t="shared" si="147"/>
        <v>0</v>
      </c>
      <c r="AM108">
        <f t="shared" si="147"/>
        <v>1</v>
      </c>
      <c r="AN108">
        <f t="shared" si="147"/>
        <v>0</v>
      </c>
      <c r="AO108">
        <f t="shared" si="147"/>
        <v>1</v>
      </c>
      <c r="AP108">
        <f t="shared" si="147"/>
        <v>0</v>
      </c>
      <c r="AQ108">
        <f t="shared" si="147"/>
        <v>1</v>
      </c>
      <c r="AR108">
        <f t="shared" si="147"/>
        <v>0</v>
      </c>
      <c r="AS108">
        <f t="shared" si="147"/>
        <v>0</v>
      </c>
      <c r="AU108" s="1" t="s">
        <v>45</v>
      </c>
      <c r="AV108" s="1">
        <f t="shared" si="108"/>
        <v>1</v>
      </c>
      <c r="AW108" s="1">
        <f t="shared" si="109"/>
        <v>0</v>
      </c>
      <c r="AX108" s="1">
        <f t="shared" si="110"/>
        <v>0</v>
      </c>
      <c r="AY108" s="1" t="s">
        <v>46</v>
      </c>
      <c r="BA108" s="1" t="s">
        <v>315</v>
      </c>
      <c r="BB108">
        <f t="shared" si="148"/>
        <v>0</v>
      </c>
      <c r="BC108">
        <f t="shared" si="148"/>
        <v>0</v>
      </c>
      <c r="BD108">
        <f t="shared" si="148"/>
        <v>1</v>
      </c>
      <c r="BE108">
        <f t="shared" si="148"/>
        <v>1</v>
      </c>
      <c r="BF108">
        <f t="shared" si="148"/>
        <v>1</v>
      </c>
      <c r="BG108">
        <f t="shared" si="148"/>
        <v>1</v>
      </c>
      <c r="BH108">
        <f t="shared" si="148"/>
        <v>0</v>
      </c>
      <c r="BI108">
        <f t="shared" si="148"/>
        <v>0</v>
      </c>
      <c r="BJ108">
        <f t="shared" si="148"/>
        <v>1</v>
      </c>
      <c r="BK108">
        <f t="shared" si="103"/>
        <v>5</v>
      </c>
      <c r="BM108" s="1" t="s">
        <v>163</v>
      </c>
      <c r="BN108" s="1" t="s">
        <v>694</v>
      </c>
      <c r="BO108">
        <f t="shared" si="149"/>
        <v>1</v>
      </c>
      <c r="BP108">
        <f t="shared" si="149"/>
        <v>0</v>
      </c>
      <c r="BQ108">
        <f t="shared" si="149"/>
        <v>0</v>
      </c>
      <c r="BR108">
        <f t="shared" si="149"/>
        <v>1</v>
      </c>
      <c r="BS108">
        <f t="shared" si="149"/>
        <v>0</v>
      </c>
      <c r="BT108">
        <f t="shared" si="149"/>
        <v>0</v>
      </c>
      <c r="BU108">
        <f t="shared" si="149"/>
        <v>0</v>
      </c>
      <c r="BV108" s="1" t="s">
        <v>695</v>
      </c>
      <c r="CX108" s="1" t="s">
        <v>640</v>
      </c>
      <c r="CZ108" s="1" t="s">
        <v>175</v>
      </c>
      <c r="DB108" s="1" t="s">
        <v>696</v>
      </c>
      <c r="DC108" s="1" t="s">
        <v>177</v>
      </c>
    </row>
    <row r="109" spans="1:107" x14ac:dyDescent="0.25">
      <c r="A109" s="1" t="b">
        <v>0</v>
      </c>
      <c r="B109" s="2">
        <v>46167.585266203707</v>
      </c>
      <c r="C109" s="1" t="s">
        <v>697</v>
      </c>
      <c r="D109" s="1" t="s">
        <v>9</v>
      </c>
      <c r="E109">
        <f t="shared" si="144"/>
        <v>0</v>
      </c>
      <c r="F109">
        <f t="shared" si="144"/>
        <v>0</v>
      </c>
      <c r="G109">
        <f t="shared" si="144"/>
        <v>0</v>
      </c>
      <c r="H109">
        <f t="shared" si="144"/>
        <v>0</v>
      </c>
      <c r="I109">
        <f t="shared" si="144"/>
        <v>0</v>
      </c>
      <c r="J109">
        <f t="shared" si="144"/>
        <v>1</v>
      </c>
      <c r="K109">
        <f t="shared" si="144"/>
        <v>0</v>
      </c>
      <c r="L109">
        <f t="shared" si="97"/>
        <v>1</v>
      </c>
      <c r="N109" s="1" t="s">
        <v>291</v>
      </c>
      <c r="O109" s="1"/>
      <c r="P109" s="1"/>
      <c r="Q109" s="1"/>
      <c r="R109" s="1"/>
      <c r="S109" s="1"/>
      <c r="T109" s="1"/>
      <c r="W109" s="1" t="str">
        <f t="shared" ref="W109:AA109" si="158">IF(W$1=$V109, "True", "False")</f>
        <v>False</v>
      </c>
      <c r="X109" s="1" t="str">
        <f t="shared" si="158"/>
        <v>False</v>
      </c>
      <c r="Y109" s="1" t="str">
        <f t="shared" si="158"/>
        <v>False</v>
      </c>
      <c r="Z109" s="1" t="str">
        <f t="shared" si="158"/>
        <v>False</v>
      </c>
      <c r="AA109" s="1" t="str">
        <f t="shared" si="158"/>
        <v>False</v>
      </c>
      <c r="AC109">
        <f t="shared" si="146"/>
        <v>0</v>
      </c>
      <c r="AD109">
        <f t="shared" si="146"/>
        <v>0</v>
      </c>
      <c r="AE109">
        <f t="shared" si="146"/>
        <v>0</v>
      </c>
      <c r="AF109">
        <f t="shared" si="146"/>
        <v>0</v>
      </c>
      <c r="AG109">
        <f t="shared" si="146"/>
        <v>0</v>
      </c>
      <c r="AH109">
        <f t="shared" si="146"/>
        <v>0</v>
      </c>
      <c r="AI109" s="1">
        <f t="shared" si="100"/>
        <v>0</v>
      </c>
      <c r="AL109">
        <f t="shared" si="147"/>
        <v>0</v>
      </c>
      <c r="AM109">
        <f t="shared" si="147"/>
        <v>0</v>
      </c>
      <c r="AN109">
        <f t="shared" si="147"/>
        <v>0</v>
      </c>
      <c r="AO109">
        <f t="shared" si="147"/>
        <v>0</v>
      </c>
      <c r="AP109">
        <f t="shared" si="147"/>
        <v>0</v>
      </c>
      <c r="AQ109">
        <f t="shared" si="147"/>
        <v>0</v>
      </c>
      <c r="AR109">
        <f t="shared" si="147"/>
        <v>0</v>
      </c>
      <c r="AS109">
        <f t="shared" si="147"/>
        <v>0</v>
      </c>
      <c r="AV109" s="1">
        <f t="shared" si="108"/>
        <v>0</v>
      </c>
      <c r="AW109" s="1">
        <f t="shared" si="109"/>
        <v>0</v>
      </c>
      <c r="AX109" s="1">
        <f t="shared" si="110"/>
        <v>0</v>
      </c>
      <c r="BB109">
        <f t="shared" si="148"/>
        <v>0</v>
      </c>
      <c r="BC109">
        <f t="shared" si="148"/>
        <v>0</v>
      </c>
      <c r="BD109">
        <f t="shared" si="148"/>
        <v>0</v>
      </c>
      <c r="BE109">
        <f t="shared" si="148"/>
        <v>0</v>
      </c>
      <c r="BF109">
        <f t="shared" si="148"/>
        <v>0</v>
      </c>
      <c r="BG109">
        <f t="shared" si="148"/>
        <v>0</v>
      </c>
      <c r="BH109">
        <f t="shared" si="148"/>
        <v>0</v>
      </c>
      <c r="BI109">
        <f t="shared" si="148"/>
        <v>0</v>
      </c>
      <c r="BJ109">
        <f t="shared" si="148"/>
        <v>0</v>
      </c>
      <c r="BK109">
        <f t="shared" si="103"/>
        <v>0</v>
      </c>
      <c r="BO109">
        <f t="shared" si="149"/>
        <v>0</v>
      </c>
      <c r="BP109">
        <f t="shared" si="149"/>
        <v>0</v>
      </c>
      <c r="BQ109">
        <f t="shared" si="149"/>
        <v>0</v>
      </c>
      <c r="BR109">
        <f t="shared" si="149"/>
        <v>0</v>
      </c>
      <c r="BS109">
        <f t="shared" si="149"/>
        <v>0</v>
      </c>
      <c r="BT109">
        <f t="shared" si="149"/>
        <v>0</v>
      </c>
      <c r="BU109">
        <f t="shared" si="149"/>
        <v>0</v>
      </c>
    </row>
    <row r="110" spans="1:107" x14ac:dyDescent="0.25">
      <c r="A110" s="1" t="b">
        <v>0</v>
      </c>
      <c r="B110" s="2">
        <v>46167.593252314815</v>
      </c>
      <c r="C110" s="1" t="s">
        <v>698</v>
      </c>
      <c r="D110" s="1" t="s">
        <v>699</v>
      </c>
      <c r="E110">
        <f t="shared" si="144"/>
        <v>1</v>
      </c>
      <c r="F110">
        <f t="shared" si="144"/>
        <v>0</v>
      </c>
      <c r="G110">
        <f t="shared" si="144"/>
        <v>30</v>
      </c>
      <c r="H110">
        <f t="shared" si="144"/>
        <v>0</v>
      </c>
      <c r="I110">
        <f t="shared" si="144"/>
        <v>0</v>
      </c>
      <c r="J110">
        <f t="shared" si="144"/>
        <v>86</v>
      </c>
      <c r="K110">
        <f t="shared" si="144"/>
        <v>0</v>
      </c>
      <c r="L110">
        <f t="shared" si="97"/>
        <v>86</v>
      </c>
      <c r="N110" s="1" t="s">
        <v>313</v>
      </c>
      <c r="O110" s="1"/>
      <c r="P110" s="1"/>
      <c r="Q110" s="1"/>
      <c r="R110" s="1"/>
      <c r="S110" s="1"/>
      <c r="T110" s="1"/>
      <c r="W110" s="1" t="str">
        <f t="shared" ref="W110:AA110" si="159">IF(W$1=$V110, "True", "False")</f>
        <v>False</v>
      </c>
      <c r="X110" s="1" t="str">
        <f t="shared" si="159"/>
        <v>False</v>
      </c>
      <c r="Y110" s="1" t="str">
        <f t="shared" si="159"/>
        <v>False</v>
      </c>
      <c r="Z110" s="1" t="str">
        <f t="shared" si="159"/>
        <v>False</v>
      </c>
      <c r="AA110" s="1" t="str">
        <f t="shared" si="159"/>
        <v>False</v>
      </c>
      <c r="AC110">
        <f t="shared" si="146"/>
        <v>0</v>
      </c>
      <c r="AD110">
        <f t="shared" si="146"/>
        <v>0</v>
      </c>
      <c r="AE110">
        <f t="shared" si="146"/>
        <v>0</v>
      </c>
      <c r="AF110">
        <f t="shared" si="146"/>
        <v>0</v>
      </c>
      <c r="AG110">
        <f t="shared" si="146"/>
        <v>0</v>
      </c>
      <c r="AH110">
        <f t="shared" si="146"/>
        <v>0</v>
      </c>
      <c r="AI110" s="1">
        <f t="shared" si="100"/>
        <v>0</v>
      </c>
      <c r="AL110">
        <f t="shared" si="147"/>
        <v>0</v>
      </c>
      <c r="AM110">
        <f t="shared" si="147"/>
        <v>0</v>
      </c>
      <c r="AN110">
        <f t="shared" si="147"/>
        <v>0</v>
      </c>
      <c r="AO110">
        <f t="shared" si="147"/>
        <v>0</v>
      </c>
      <c r="AP110">
        <f t="shared" si="147"/>
        <v>0</v>
      </c>
      <c r="AQ110">
        <f t="shared" si="147"/>
        <v>0</v>
      </c>
      <c r="AR110">
        <f t="shared" si="147"/>
        <v>0</v>
      </c>
      <c r="AS110">
        <f t="shared" si="147"/>
        <v>0</v>
      </c>
      <c r="AV110" s="1">
        <f t="shared" si="108"/>
        <v>0</v>
      </c>
      <c r="AW110" s="1">
        <f t="shared" si="109"/>
        <v>0</v>
      </c>
      <c r="AX110" s="1">
        <f t="shared" si="110"/>
        <v>0</v>
      </c>
      <c r="BB110">
        <f t="shared" si="148"/>
        <v>0</v>
      </c>
      <c r="BC110">
        <f t="shared" si="148"/>
        <v>0</v>
      </c>
      <c r="BD110">
        <f t="shared" si="148"/>
        <v>0</v>
      </c>
      <c r="BE110">
        <f t="shared" si="148"/>
        <v>0</v>
      </c>
      <c r="BF110">
        <f t="shared" si="148"/>
        <v>0</v>
      </c>
      <c r="BG110">
        <f t="shared" si="148"/>
        <v>0</v>
      </c>
      <c r="BH110">
        <f t="shared" si="148"/>
        <v>0</v>
      </c>
      <c r="BI110">
        <f t="shared" si="148"/>
        <v>0</v>
      </c>
      <c r="BJ110">
        <f t="shared" si="148"/>
        <v>0</v>
      </c>
      <c r="BK110">
        <f t="shared" si="103"/>
        <v>0</v>
      </c>
      <c r="BO110">
        <f t="shared" si="149"/>
        <v>0</v>
      </c>
      <c r="BP110">
        <f t="shared" si="149"/>
        <v>0</v>
      </c>
      <c r="BQ110">
        <f t="shared" si="149"/>
        <v>0</v>
      </c>
      <c r="BR110">
        <f t="shared" si="149"/>
        <v>0</v>
      </c>
      <c r="BS110">
        <f t="shared" si="149"/>
        <v>0</v>
      </c>
      <c r="BT110">
        <f t="shared" si="149"/>
        <v>0</v>
      </c>
      <c r="BU110">
        <f t="shared" si="149"/>
        <v>0</v>
      </c>
    </row>
    <row r="111" spans="1:107" x14ac:dyDescent="0.25">
      <c r="A111" s="1" t="b">
        <v>0</v>
      </c>
      <c r="B111" s="2">
        <v>46167.59337962963</v>
      </c>
      <c r="C111" s="1" t="s">
        <v>700</v>
      </c>
      <c r="D111" s="1" t="s">
        <v>189</v>
      </c>
      <c r="E111">
        <f t="shared" si="144"/>
        <v>1</v>
      </c>
      <c r="F111">
        <f t="shared" si="144"/>
        <v>30</v>
      </c>
      <c r="G111">
        <f t="shared" si="144"/>
        <v>0</v>
      </c>
      <c r="H111">
        <f t="shared" si="144"/>
        <v>0</v>
      </c>
      <c r="I111">
        <f t="shared" si="144"/>
        <v>0</v>
      </c>
      <c r="J111">
        <f t="shared" si="144"/>
        <v>0</v>
      </c>
      <c r="K111">
        <f t="shared" si="144"/>
        <v>105</v>
      </c>
      <c r="L111">
        <f t="shared" si="97"/>
        <v>105</v>
      </c>
      <c r="N111" s="1" t="s">
        <v>237</v>
      </c>
      <c r="O111" s="1"/>
      <c r="P111" s="1"/>
      <c r="Q111" s="1"/>
      <c r="R111" s="1"/>
      <c r="S111" s="1"/>
      <c r="T111" s="1"/>
      <c r="W111" s="1" t="str">
        <f t="shared" ref="W111:AA111" si="160">IF(W$1=$V111, "True", "False")</f>
        <v>False</v>
      </c>
      <c r="X111" s="1" t="str">
        <f t="shared" si="160"/>
        <v>False</v>
      </c>
      <c r="Y111" s="1" t="str">
        <f t="shared" si="160"/>
        <v>False</v>
      </c>
      <c r="Z111" s="1" t="str">
        <f t="shared" si="160"/>
        <v>False</v>
      </c>
      <c r="AA111" s="1" t="str">
        <f t="shared" si="160"/>
        <v>False</v>
      </c>
      <c r="AB111" s="1" t="s">
        <v>30</v>
      </c>
      <c r="AC111">
        <f t="shared" si="146"/>
        <v>0</v>
      </c>
      <c r="AD111">
        <f t="shared" si="146"/>
        <v>0</v>
      </c>
      <c r="AE111">
        <f t="shared" si="146"/>
        <v>0</v>
      </c>
      <c r="AF111">
        <f t="shared" si="146"/>
        <v>1</v>
      </c>
      <c r="AG111">
        <f t="shared" si="146"/>
        <v>0</v>
      </c>
      <c r="AH111">
        <f t="shared" si="146"/>
        <v>0</v>
      </c>
      <c r="AI111" s="1">
        <f t="shared" si="100"/>
        <v>1</v>
      </c>
      <c r="AK111" s="1" t="s">
        <v>180</v>
      </c>
      <c r="AL111">
        <f t="shared" si="147"/>
        <v>0</v>
      </c>
      <c r="AM111">
        <f t="shared" si="147"/>
        <v>0</v>
      </c>
      <c r="AN111">
        <f t="shared" si="147"/>
        <v>0</v>
      </c>
      <c r="AO111">
        <f t="shared" si="147"/>
        <v>0</v>
      </c>
      <c r="AP111">
        <f t="shared" si="147"/>
        <v>0</v>
      </c>
      <c r="AQ111">
        <f t="shared" si="147"/>
        <v>0</v>
      </c>
      <c r="AR111">
        <f t="shared" si="147"/>
        <v>0</v>
      </c>
      <c r="AS111">
        <f t="shared" si="147"/>
        <v>0</v>
      </c>
      <c r="AT111" s="1" t="s">
        <v>701</v>
      </c>
      <c r="AU111" s="1" t="s">
        <v>45</v>
      </c>
      <c r="AV111" s="1">
        <f t="shared" si="108"/>
        <v>1</v>
      </c>
      <c r="AW111" s="1">
        <f t="shared" si="109"/>
        <v>0</v>
      </c>
      <c r="AX111" s="1">
        <f t="shared" si="110"/>
        <v>0</v>
      </c>
      <c r="AY111" s="1" t="s">
        <v>46</v>
      </c>
      <c r="BA111" s="1" t="s">
        <v>702</v>
      </c>
      <c r="BB111">
        <f t="shared" si="148"/>
        <v>0</v>
      </c>
      <c r="BC111">
        <f t="shared" si="148"/>
        <v>1</v>
      </c>
      <c r="BD111">
        <f t="shared" si="148"/>
        <v>1</v>
      </c>
      <c r="BE111">
        <f t="shared" si="148"/>
        <v>0</v>
      </c>
      <c r="BF111">
        <f t="shared" si="148"/>
        <v>1</v>
      </c>
      <c r="BG111">
        <f t="shared" si="148"/>
        <v>1</v>
      </c>
      <c r="BH111">
        <f t="shared" si="148"/>
        <v>0</v>
      </c>
      <c r="BI111">
        <f t="shared" si="148"/>
        <v>0</v>
      </c>
      <c r="BJ111">
        <f t="shared" si="148"/>
        <v>1</v>
      </c>
      <c r="BK111">
        <f t="shared" si="103"/>
        <v>5</v>
      </c>
      <c r="BL111" s="1" t="s">
        <v>703</v>
      </c>
      <c r="BM111" s="1" t="s">
        <v>163</v>
      </c>
      <c r="BN111" s="1" t="s">
        <v>401</v>
      </c>
      <c r="BO111">
        <f t="shared" si="149"/>
        <v>0</v>
      </c>
      <c r="BP111">
        <f t="shared" si="149"/>
        <v>0</v>
      </c>
      <c r="BQ111">
        <f t="shared" si="149"/>
        <v>0</v>
      </c>
      <c r="BR111">
        <f t="shared" si="149"/>
        <v>0</v>
      </c>
      <c r="BS111">
        <f t="shared" si="149"/>
        <v>0</v>
      </c>
      <c r="BT111">
        <f t="shared" si="149"/>
        <v>0</v>
      </c>
      <c r="BU111">
        <f t="shared" si="149"/>
        <v>0</v>
      </c>
      <c r="BV111" s="1" t="s">
        <v>704</v>
      </c>
    </row>
    <row r="112" spans="1:107" x14ac:dyDescent="0.25">
      <c r="A112" s="1" t="b">
        <v>0</v>
      </c>
      <c r="B112" s="2">
        <v>46167.783055555556</v>
      </c>
      <c r="C112" s="1" t="s">
        <v>705</v>
      </c>
      <c r="D112" s="1" t="s">
        <v>204</v>
      </c>
      <c r="E112">
        <f t="shared" si="144"/>
        <v>1</v>
      </c>
      <c r="F112">
        <f t="shared" si="144"/>
        <v>30</v>
      </c>
      <c r="G112">
        <f t="shared" si="144"/>
        <v>0</v>
      </c>
      <c r="H112">
        <f t="shared" si="144"/>
        <v>0</v>
      </c>
      <c r="I112">
        <f t="shared" si="144"/>
        <v>0</v>
      </c>
      <c r="J112">
        <f t="shared" si="144"/>
        <v>0</v>
      </c>
      <c r="K112">
        <f t="shared" si="144"/>
        <v>0</v>
      </c>
      <c r="L112">
        <f t="shared" si="97"/>
        <v>30</v>
      </c>
      <c r="N112" s="1" t="s">
        <v>13</v>
      </c>
      <c r="O112" s="1"/>
      <c r="P112" s="1"/>
      <c r="Q112" s="1"/>
      <c r="R112" s="1"/>
      <c r="S112" s="1"/>
      <c r="T112" s="1"/>
      <c r="V112" s="1" t="s">
        <v>24</v>
      </c>
      <c r="W112" s="1" t="str">
        <f t="shared" ref="W112:AA112" si="161">IF(W$1=$V112, "True", "False")</f>
        <v>False</v>
      </c>
      <c r="X112" s="1" t="str">
        <f t="shared" si="161"/>
        <v>False</v>
      </c>
      <c r="Y112" s="1" t="str">
        <f t="shared" si="161"/>
        <v>False</v>
      </c>
      <c r="Z112" s="1" t="str">
        <f t="shared" si="161"/>
        <v>True</v>
      </c>
      <c r="AA112" s="1" t="str">
        <f t="shared" si="161"/>
        <v>False</v>
      </c>
      <c r="AB112" s="1" t="s">
        <v>27</v>
      </c>
      <c r="AC112">
        <f t="shared" si="146"/>
        <v>1</v>
      </c>
      <c r="AD112">
        <f t="shared" si="146"/>
        <v>0</v>
      </c>
      <c r="AE112">
        <f t="shared" si="146"/>
        <v>0</v>
      </c>
      <c r="AF112">
        <f t="shared" si="146"/>
        <v>0</v>
      </c>
      <c r="AG112">
        <f t="shared" si="146"/>
        <v>0</v>
      </c>
      <c r="AH112">
        <f t="shared" si="146"/>
        <v>0</v>
      </c>
      <c r="AI112" s="1">
        <f t="shared" si="100"/>
        <v>1</v>
      </c>
      <c r="AK112" s="1" t="s">
        <v>467</v>
      </c>
      <c r="AL112">
        <f t="shared" si="147"/>
        <v>0</v>
      </c>
      <c r="AM112">
        <f t="shared" si="147"/>
        <v>1</v>
      </c>
      <c r="AN112">
        <f t="shared" si="147"/>
        <v>0</v>
      </c>
      <c r="AO112">
        <f t="shared" si="147"/>
        <v>1</v>
      </c>
      <c r="AP112">
        <f t="shared" si="147"/>
        <v>0</v>
      </c>
      <c r="AQ112">
        <f t="shared" si="147"/>
        <v>1</v>
      </c>
      <c r="AR112">
        <f t="shared" si="147"/>
        <v>0</v>
      </c>
      <c r="AS112">
        <f t="shared" si="147"/>
        <v>0</v>
      </c>
      <c r="AU112" s="1" t="s">
        <v>47</v>
      </c>
      <c r="AV112" s="1">
        <f t="shared" si="108"/>
        <v>0</v>
      </c>
      <c r="AW112" s="1">
        <f t="shared" si="109"/>
        <v>0</v>
      </c>
      <c r="AX112" s="1">
        <f t="shared" si="110"/>
        <v>1</v>
      </c>
      <c r="AY112" s="1" t="s">
        <v>46</v>
      </c>
      <c r="BA112" s="1" t="s">
        <v>578</v>
      </c>
      <c r="BB112">
        <f t="shared" si="148"/>
        <v>0</v>
      </c>
      <c r="BC112">
        <f t="shared" si="148"/>
        <v>0</v>
      </c>
      <c r="BD112">
        <f t="shared" si="148"/>
        <v>0</v>
      </c>
      <c r="BE112">
        <f t="shared" si="148"/>
        <v>0</v>
      </c>
      <c r="BF112">
        <f t="shared" si="148"/>
        <v>0</v>
      </c>
      <c r="BG112">
        <f t="shared" si="148"/>
        <v>1</v>
      </c>
      <c r="BH112">
        <f t="shared" si="148"/>
        <v>0</v>
      </c>
      <c r="BI112">
        <f t="shared" si="148"/>
        <v>1</v>
      </c>
      <c r="BJ112">
        <f t="shared" si="148"/>
        <v>1</v>
      </c>
      <c r="BK112">
        <f t="shared" si="103"/>
        <v>3</v>
      </c>
      <c r="BM112" s="1" t="s">
        <v>215</v>
      </c>
      <c r="BN112" s="1" t="s">
        <v>69</v>
      </c>
      <c r="BO112">
        <f t="shared" si="149"/>
        <v>0</v>
      </c>
      <c r="BP112">
        <f t="shared" si="149"/>
        <v>0</v>
      </c>
      <c r="BQ112">
        <f t="shared" si="149"/>
        <v>0</v>
      </c>
      <c r="BR112">
        <f t="shared" si="149"/>
        <v>0</v>
      </c>
      <c r="BS112">
        <f t="shared" si="149"/>
        <v>0</v>
      </c>
      <c r="BT112">
        <f t="shared" si="149"/>
        <v>0</v>
      </c>
      <c r="BU112">
        <f t="shared" si="149"/>
        <v>1</v>
      </c>
    </row>
    <row r="113" spans="1:107" x14ac:dyDescent="0.25">
      <c r="A113" s="1" t="b">
        <v>1</v>
      </c>
      <c r="B113" s="2">
        <v>46168.539039351854</v>
      </c>
      <c r="C113" s="1" t="s">
        <v>706</v>
      </c>
      <c r="D113" s="1" t="s">
        <v>4</v>
      </c>
      <c r="E113">
        <f t="shared" si="144"/>
        <v>1</v>
      </c>
      <c r="F113">
        <f t="shared" si="144"/>
        <v>0</v>
      </c>
      <c r="G113">
        <f t="shared" si="144"/>
        <v>0</v>
      </c>
      <c r="H113">
        <f t="shared" si="144"/>
        <v>0</v>
      </c>
      <c r="I113">
        <f t="shared" si="144"/>
        <v>0</v>
      </c>
      <c r="J113">
        <f t="shared" si="144"/>
        <v>0</v>
      </c>
      <c r="K113">
        <f t="shared" si="144"/>
        <v>0</v>
      </c>
      <c r="L113">
        <f t="shared" si="97"/>
        <v>1</v>
      </c>
      <c r="N113" s="1" t="s">
        <v>291</v>
      </c>
      <c r="O113" s="1"/>
      <c r="P113" s="1"/>
      <c r="Q113" s="1"/>
      <c r="R113" s="1"/>
      <c r="S113" s="1"/>
      <c r="T113" s="1"/>
      <c r="W113" s="1" t="str">
        <f t="shared" ref="W113:AA113" si="162">IF(W$1=$V113, "True", "False")</f>
        <v>False</v>
      </c>
      <c r="X113" s="1" t="str">
        <f t="shared" si="162"/>
        <v>False</v>
      </c>
      <c r="Y113" s="1" t="str">
        <f t="shared" si="162"/>
        <v>False</v>
      </c>
      <c r="Z113" s="1" t="str">
        <f t="shared" si="162"/>
        <v>False</v>
      </c>
      <c r="AA113" s="1" t="str">
        <f t="shared" si="162"/>
        <v>False</v>
      </c>
      <c r="AB113" s="1" t="s">
        <v>707</v>
      </c>
      <c r="AC113">
        <f t="shared" si="146"/>
        <v>0</v>
      </c>
      <c r="AD113">
        <f t="shared" si="146"/>
        <v>1</v>
      </c>
      <c r="AE113">
        <f t="shared" si="146"/>
        <v>0</v>
      </c>
      <c r="AF113">
        <f t="shared" si="146"/>
        <v>0</v>
      </c>
      <c r="AG113">
        <f t="shared" si="146"/>
        <v>0</v>
      </c>
      <c r="AH113">
        <f t="shared" si="146"/>
        <v>0</v>
      </c>
      <c r="AI113" s="1">
        <f t="shared" si="100"/>
        <v>1</v>
      </c>
      <c r="AJ113" s="1" t="s">
        <v>708</v>
      </c>
      <c r="AK113" s="1" t="s">
        <v>285</v>
      </c>
      <c r="AL113">
        <f t="shared" si="147"/>
        <v>0</v>
      </c>
      <c r="AM113">
        <f t="shared" si="147"/>
        <v>1</v>
      </c>
      <c r="AN113">
        <f t="shared" si="147"/>
        <v>0</v>
      </c>
      <c r="AO113">
        <f t="shared" si="147"/>
        <v>1</v>
      </c>
      <c r="AP113">
        <f t="shared" si="147"/>
        <v>0</v>
      </c>
      <c r="AQ113">
        <f t="shared" si="147"/>
        <v>0</v>
      </c>
      <c r="AR113">
        <f t="shared" si="147"/>
        <v>0</v>
      </c>
      <c r="AS113">
        <f t="shared" si="147"/>
        <v>0</v>
      </c>
      <c r="AU113" s="1" t="s">
        <v>45</v>
      </c>
      <c r="AV113" s="1">
        <f t="shared" si="108"/>
        <v>1</v>
      </c>
      <c r="AW113" s="1">
        <f t="shared" si="109"/>
        <v>0</v>
      </c>
      <c r="AX113" s="1">
        <f t="shared" si="110"/>
        <v>0</v>
      </c>
      <c r="AY113" s="1" t="s">
        <v>46</v>
      </c>
      <c r="BA113" s="1" t="s">
        <v>621</v>
      </c>
      <c r="BB113">
        <f t="shared" si="148"/>
        <v>0</v>
      </c>
      <c r="BC113">
        <f t="shared" si="148"/>
        <v>0</v>
      </c>
      <c r="BD113">
        <f t="shared" si="148"/>
        <v>0</v>
      </c>
      <c r="BE113">
        <f t="shared" si="148"/>
        <v>1</v>
      </c>
      <c r="BF113">
        <f t="shared" si="148"/>
        <v>0</v>
      </c>
      <c r="BG113">
        <f t="shared" si="148"/>
        <v>1</v>
      </c>
      <c r="BH113">
        <f t="shared" si="148"/>
        <v>0</v>
      </c>
      <c r="BI113">
        <f t="shared" si="148"/>
        <v>0</v>
      </c>
      <c r="BJ113">
        <f t="shared" si="148"/>
        <v>1</v>
      </c>
      <c r="BK113">
        <f t="shared" si="103"/>
        <v>3</v>
      </c>
      <c r="BM113" s="1" t="s">
        <v>229</v>
      </c>
      <c r="BN113" s="1" t="s">
        <v>709</v>
      </c>
      <c r="BO113">
        <f t="shared" si="149"/>
        <v>0</v>
      </c>
      <c r="BP113">
        <f t="shared" si="149"/>
        <v>1</v>
      </c>
      <c r="BQ113">
        <f t="shared" si="149"/>
        <v>0</v>
      </c>
      <c r="BR113">
        <f t="shared" si="149"/>
        <v>0</v>
      </c>
      <c r="BS113">
        <f t="shared" si="149"/>
        <v>0</v>
      </c>
      <c r="BT113">
        <f t="shared" si="149"/>
        <v>0</v>
      </c>
      <c r="BU113">
        <f t="shared" si="149"/>
        <v>0</v>
      </c>
      <c r="BV113" s="1" t="s">
        <v>710</v>
      </c>
      <c r="DC113" s="1" t="s">
        <v>235</v>
      </c>
    </row>
    <row r="114" spans="1:107" x14ac:dyDescent="0.25">
      <c r="A114" s="1" t="b">
        <v>0</v>
      </c>
      <c r="B114" s="2">
        <v>46168.581724537034</v>
      </c>
      <c r="C114" s="1" t="s">
        <v>711</v>
      </c>
      <c r="D114" s="1" t="s">
        <v>240</v>
      </c>
      <c r="E114">
        <f t="shared" si="144"/>
        <v>1</v>
      </c>
      <c r="F114">
        <f t="shared" si="144"/>
        <v>30</v>
      </c>
      <c r="G114">
        <f t="shared" si="144"/>
        <v>105</v>
      </c>
      <c r="H114">
        <f t="shared" si="144"/>
        <v>0</v>
      </c>
      <c r="I114">
        <f t="shared" si="144"/>
        <v>0</v>
      </c>
      <c r="J114">
        <f t="shared" si="144"/>
        <v>0</v>
      </c>
      <c r="K114">
        <f t="shared" si="144"/>
        <v>0</v>
      </c>
      <c r="L114">
        <f t="shared" si="97"/>
        <v>105</v>
      </c>
      <c r="N114" s="1" t="s">
        <v>205</v>
      </c>
      <c r="O114" s="1"/>
      <c r="P114" s="1"/>
      <c r="Q114" s="1"/>
      <c r="R114" s="1"/>
      <c r="S114" s="1"/>
      <c r="T114" s="1"/>
      <c r="W114" s="1" t="str">
        <f t="shared" ref="W114:AA114" si="163">IF(W$1=$V114, "True", "False")</f>
        <v>False</v>
      </c>
      <c r="X114" s="1" t="str">
        <f t="shared" si="163"/>
        <v>False</v>
      </c>
      <c r="Y114" s="1" t="str">
        <f t="shared" si="163"/>
        <v>False</v>
      </c>
      <c r="Z114" s="1" t="str">
        <f t="shared" si="163"/>
        <v>False</v>
      </c>
      <c r="AA114" s="1" t="str">
        <f t="shared" si="163"/>
        <v>False</v>
      </c>
      <c r="AB114" s="1" t="s">
        <v>707</v>
      </c>
      <c r="AC114">
        <f t="shared" si="146"/>
        <v>0</v>
      </c>
      <c r="AD114">
        <f t="shared" si="146"/>
        <v>1</v>
      </c>
      <c r="AE114">
        <f t="shared" si="146"/>
        <v>0</v>
      </c>
      <c r="AF114">
        <f t="shared" si="146"/>
        <v>0</v>
      </c>
      <c r="AG114">
        <f t="shared" si="146"/>
        <v>0</v>
      </c>
      <c r="AH114">
        <f t="shared" si="146"/>
        <v>0</v>
      </c>
      <c r="AI114" s="1">
        <f t="shared" si="100"/>
        <v>1</v>
      </c>
      <c r="AJ114" s="1" t="s">
        <v>712</v>
      </c>
      <c r="AK114" s="1" t="s">
        <v>36</v>
      </c>
      <c r="AL114">
        <f t="shared" si="147"/>
        <v>0</v>
      </c>
      <c r="AM114">
        <f t="shared" si="147"/>
        <v>1</v>
      </c>
      <c r="AN114">
        <f t="shared" si="147"/>
        <v>0</v>
      </c>
      <c r="AO114">
        <f t="shared" si="147"/>
        <v>0</v>
      </c>
      <c r="AP114">
        <f t="shared" si="147"/>
        <v>0</v>
      </c>
      <c r="AQ114">
        <f t="shared" si="147"/>
        <v>0</v>
      </c>
      <c r="AR114">
        <f t="shared" si="147"/>
        <v>0</v>
      </c>
      <c r="AS114">
        <f t="shared" si="147"/>
        <v>0</v>
      </c>
      <c r="AU114" s="1" t="s">
        <v>45</v>
      </c>
      <c r="AV114" s="1">
        <f t="shared" si="108"/>
        <v>1</v>
      </c>
      <c r="AW114" s="1">
        <f t="shared" si="109"/>
        <v>0</v>
      </c>
      <c r="AX114" s="1">
        <f t="shared" si="110"/>
        <v>0</v>
      </c>
      <c r="AY114" s="1" t="s">
        <v>46</v>
      </c>
      <c r="BA114" s="1" t="s">
        <v>713</v>
      </c>
      <c r="BB114">
        <f t="shared" si="148"/>
        <v>1</v>
      </c>
      <c r="BC114">
        <f t="shared" si="148"/>
        <v>0</v>
      </c>
      <c r="BD114">
        <f t="shared" si="148"/>
        <v>1</v>
      </c>
      <c r="BE114">
        <f t="shared" si="148"/>
        <v>1</v>
      </c>
      <c r="BF114">
        <f t="shared" si="148"/>
        <v>0</v>
      </c>
      <c r="BG114">
        <f t="shared" si="148"/>
        <v>0</v>
      </c>
      <c r="BH114">
        <f t="shared" si="148"/>
        <v>0</v>
      </c>
      <c r="BI114">
        <f t="shared" si="148"/>
        <v>0</v>
      </c>
      <c r="BJ114">
        <f t="shared" si="148"/>
        <v>0</v>
      </c>
      <c r="BK114">
        <f t="shared" si="103"/>
        <v>3</v>
      </c>
      <c r="BL114" s="1" t="s">
        <v>714</v>
      </c>
      <c r="BM114" s="1" t="s">
        <v>215</v>
      </c>
      <c r="BN114" s="1" t="s">
        <v>715</v>
      </c>
      <c r="BO114">
        <f t="shared" si="149"/>
        <v>1</v>
      </c>
      <c r="BP114">
        <f t="shared" si="149"/>
        <v>0</v>
      </c>
      <c r="BQ114">
        <f t="shared" si="149"/>
        <v>1</v>
      </c>
      <c r="BR114">
        <f t="shared" si="149"/>
        <v>0</v>
      </c>
      <c r="BS114">
        <f t="shared" si="149"/>
        <v>0</v>
      </c>
      <c r="BT114">
        <f t="shared" si="149"/>
        <v>1</v>
      </c>
      <c r="BU114">
        <f t="shared" si="149"/>
        <v>0</v>
      </c>
      <c r="BV114" s="1" t="s">
        <v>716</v>
      </c>
    </row>
    <row r="115" spans="1:107" x14ac:dyDescent="0.25">
      <c r="A115" s="1" t="b">
        <v>1</v>
      </c>
      <c r="B115" s="2">
        <v>46168.635625000003</v>
      </c>
      <c r="C115" s="1" t="s">
        <v>717</v>
      </c>
      <c r="D115" s="1" t="s">
        <v>4</v>
      </c>
      <c r="E115">
        <f t="shared" si="144"/>
        <v>1</v>
      </c>
      <c r="F115">
        <f t="shared" si="144"/>
        <v>0</v>
      </c>
      <c r="G115">
        <f t="shared" si="144"/>
        <v>0</v>
      </c>
      <c r="H115">
        <f t="shared" si="144"/>
        <v>0</v>
      </c>
      <c r="I115">
        <f t="shared" si="144"/>
        <v>0</v>
      </c>
      <c r="J115">
        <f t="shared" si="144"/>
        <v>0</v>
      </c>
      <c r="K115">
        <f t="shared" si="144"/>
        <v>0</v>
      </c>
      <c r="L115">
        <f t="shared" si="97"/>
        <v>1</v>
      </c>
      <c r="N115" s="1" t="s">
        <v>325</v>
      </c>
      <c r="O115" s="1"/>
      <c r="P115" s="1"/>
      <c r="Q115" s="1"/>
      <c r="R115" s="1"/>
      <c r="S115" s="1"/>
      <c r="T115" s="1"/>
      <c r="V115" s="1" t="s">
        <v>23</v>
      </c>
      <c r="W115" s="1" t="str">
        <f t="shared" ref="W115:AA115" si="164">IF(W$1=$V115, "True", "False")</f>
        <v>False</v>
      </c>
      <c r="X115" s="1" t="str">
        <f t="shared" si="164"/>
        <v>False</v>
      </c>
      <c r="Y115" s="1" t="str">
        <f t="shared" si="164"/>
        <v>True</v>
      </c>
      <c r="Z115" s="1" t="str">
        <f t="shared" si="164"/>
        <v>False</v>
      </c>
      <c r="AA115" s="1" t="str">
        <f t="shared" si="164"/>
        <v>False</v>
      </c>
      <c r="AB115" s="1" t="s">
        <v>32</v>
      </c>
      <c r="AC115">
        <f t="shared" si="146"/>
        <v>0</v>
      </c>
      <c r="AD115">
        <f t="shared" si="146"/>
        <v>0</v>
      </c>
      <c r="AE115">
        <f t="shared" si="146"/>
        <v>0</v>
      </c>
      <c r="AF115">
        <f t="shared" si="146"/>
        <v>0</v>
      </c>
      <c r="AG115">
        <f t="shared" si="146"/>
        <v>0</v>
      </c>
      <c r="AH115">
        <f t="shared" si="146"/>
        <v>1</v>
      </c>
      <c r="AI115" s="1">
        <f t="shared" si="100"/>
        <v>1</v>
      </c>
      <c r="AK115" s="1" t="s">
        <v>243</v>
      </c>
      <c r="AL115">
        <f t="shared" si="147"/>
        <v>1</v>
      </c>
      <c r="AM115">
        <f t="shared" si="147"/>
        <v>1</v>
      </c>
      <c r="AN115">
        <f t="shared" si="147"/>
        <v>0</v>
      </c>
      <c r="AO115">
        <f t="shared" si="147"/>
        <v>1</v>
      </c>
      <c r="AP115">
        <f t="shared" si="147"/>
        <v>0</v>
      </c>
      <c r="AQ115">
        <f t="shared" si="147"/>
        <v>1</v>
      </c>
      <c r="AR115">
        <f t="shared" si="147"/>
        <v>0</v>
      </c>
      <c r="AS115">
        <f t="shared" si="147"/>
        <v>0</v>
      </c>
      <c r="AU115" s="1" t="s">
        <v>45</v>
      </c>
      <c r="AV115" s="1">
        <f t="shared" si="108"/>
        <v>1</v>
      </c>
      <c r="AW115" s="1">
        <f t="shared" si="109"/>
        <v>0</v>
      </c>
      <c r="AX115" s="1">
        <f t="shared" si="110"/>
        <v>0</v>
      </c>
      <c r="AY115" s="1" t="s">
        <v>45</v>
      </c>
      <c r="BA115" s="1" t="s">
        <v>621</v>
      </c>
      <c r="BB115">
        <f t="shared" si="148"/>
        <v>0</v>
      </c>
      <c r="BC115">
        <f t="shared" si="148"/>
        <v>0</v>
      </c>
      <c r="BD115">
        <f t="shared" si="148"/>
        <v>0</v>
      </c>
      <c r="BE115">
        <f t="shared" si="148"/>
        <v>1</v>
      </c>
      <c r="BF115">
        <f t="shared" si="148"/>
        <v>0</v>
      </c>
      <c r="BG115">
        <f t="shared" si="148"/>
        <v>1</v>
      </c>
      <c r="BH115">
        <f t="shared" si="148"/>
        <v>0</v>
      </c>
      <c r="BI115">
        <f t="shared" si="148"/>
        <v>0</v>
      </c>
      <c r="BJ115">
        <f t="shared" si="148"/>
        <v>1</v>
      </c>
      <c r="BK115">
        <f t="shared" si="103"/>
        <v>3</v>
      </c>
      <c r="BO115">
        <f t="shared" si="149"/>
        <v>0</v>
      </c>
      <c r="BP115">
        <f t="shared" si="149"/>
        <v>0</v>
      </c>
      <c r="BQ115">
        <f t="shared" si="149"/>
        <v>0</v>
      </c>
      <c r="BR115">
        <f t="shared" si="149"/>
        <v>0</v>
      </c>
      <c r="BS115">
        <f t="shared" si="149"/>
        <v>0</v>
      </c>
      <c r="BT115">
        <f t="shared" si="149"/>
        <v>0</v>
      </c>
      <c r="BU115">
        <f t="shared" si="149"/>
        <v>0</v>
      </c>
      <c r="DC115" s="1" t="s">
        <v>235</v>
      </c>
    </row>
    <row r="116" spans="1:107" x14ac:dyDescent="0.25">
      <c r="A116" s="1" t="b">
        <v>1</v>
      </c>
      <c r="B116" s="2">
        <v>46168.681400462963</v>
      </c>
      <c r="C116" s="1" t="s">
        <v>718</v>
      </c>
      <c r="D116" s="1" t="s">
        <v>4</v>
      </c>
      <c r="E116">
        <f t="shared" ref="E116:K131" si="165">IF(ISNUMBER(SEARCH(E$1,$D116)), SEARCH(E$1,$D116), 0)</f>
        <v>1</v>
      </c>
      <c r="F116">
        <f t="shared" si="165"/>
        <v>0</v>
      </c>
      <c r="G116">
        <f t="shared" si="165"/>
        <v>0</v>
      </c>
      <c r="H116">
        <f t="shared" si="165"/>
        <v>0</v>
      </c>
      <c r="I116">
        <f t="shared" si="165"/>
        <v>0</v>
      </c>
      <c r="J116">
        <f t="shared" si="165"/>
        <v>0</v>
      </c>
      <c r="K116">
        <f t="shared" si="165"/>
        <v>0</v>
      </c>
      <c r="L116">
        <f t="shared" si="97"/>
        <v>1</v>
      </c>
      <c r="N116" s="1" t="s">
        <v>291</v>
      </c>
      <c r="O116" s="1"/>
      <c r="P116" s="1"/>
      <c r="Q116" s="1"/>
      <c r="R116" s="1"/>
      <c r="S116" s="1"/>
      <c r="T116" s="1"/>
      <c r="W116" s="1" t="str">
        <f t="shared" ref="W116:AA116" si="166">IF(W$1=$V116, "True", "False")</f>
        <v>False</v>
      </c>
      <c r="X116" s="1" t="str">
        <f t="shared" si="166"/>
        <v>False</v>
      </c>
      <c r="Y116" s="1" t="str">
        <f t="shared" si="166"/>
        <v>False</v>
      </c>
      <c r="Z116" s="1" t="str">
        <f t="shared" si="166"/>
        <v>False</v>
      </c>
      <c r="AA116" s="1" t="str">
        <f t="shared" si="166"/>
        <v>False</v>
      </c>
      <c r="AB116" s="1" t="s">
        <v>308</v>
      </c>
      <c r="AC116">
        <f t="shared" ref="AC116:AH131" si="167">IF(ISNUMBER(SEARCH(AC$1,$AB116)), 1, 0)</f>
        <v>1</v>
      </c>
      <c r="AD116">
        <f t="shared" si="167"/>
        <v>0</v>
      </c>
      <c r="AE116">
        <f t="shared" si="167"/>
        <v>0</v>
      </c>
      <c r="AF116">
        <f t="shared" si="167"/>
        <v>0</v>
      </c>
      <c r="AG116">
        <f t="shared" si="167"/>
        <v>0</v>
      </c>
      <c r="AH116">
        <f t="shared" si="167"/>
        <v>0</v>
      </c>
      <c r="AI116" s="1">
        <f t="shared" si="100"/>
        <v>1</v>
      </c>
      <c r="AJ116" s="1" t="s">
        <v>719</v>
      </c>
      <c r="AK116" s="1" t="s">
        <v>249</v>
      </c>
      <c r="AL116">
        <f t="shared" ref="AL116:AS131" si="168">IF(ISNUMBER(SEARCH(AL$1,$AK116)), 1, 0)</f>
        <v>0</v>
      </c>
      <c r="AM116">
        <f t="shared" si="168"/>
        <v>1</v>
      </c>
      <c r="AN116">
        <f t="shared" si="168"/>
        <v>1</v>
      </c>
      <c r="AO116">
        <f t="shared" si="168"/>
        <v>0</v>
      </c>
      <c r="AP116">
        <f t="shared" si="168"/>
        <v>0</v>
      </c>
      <c r="AQ116">
        <f t="shared" si="168"/>
        <v>1</v>
      </c>
      <c r="AR116">
        <f t="shared" si="168"/>
        <v>0</v>
      </c>
      <c r="AS116">
        <f t="shared" si="168"/>
        <v>0</v>
      </c>
      <c r="AU116" s="1" t="s">
        <v>45</v>
      </c>
      <c r="AV116" s="1">
        <f t="shared" si="108"/>
        <v>1</v>
      </c>
      <c r="AW116" s="1">
        <f t="shared" si="109"/>
        <v>0</v>
      </c>
      <c r="AX116" s="1">
        <f t="shared" si="110"/>
        <v>0</v>
      </c>
      <c r="AY116" s="1" t="s">
        <v>45</v>
      </c>
      <c r="AZ116" s="1" t="s">
        <v>46</v>
      </c>
      <c r="BA116" s="1" t="s">
        <v>720</v>
      </c>
      <c r="BB116">
        <f t="shared" ref="BB116:BJ131" si="169">IF(ISNUMBER(SEARCH(BB$1,$BA116)), 1, 0)</f>
        <v>0</v>
      </c>
      <c r="BC116">
        <f t="shared" si="169"/>
        <v>0</v>
      </c>
      <c r="BD116">
        <f t="shared" si="169"/>
        <v>0</v>
      </c>
      <c r="BE116">
        <f t="shared" si="169"/>
        <v>0</v>
      </c>
      <c r="BF116">
        <f t="shared" si="169"/>
        <v>1</v>
      </c>
      <c r="BG116">
        <f t="shared" si="169"/>
        <v>1</v>
      </c>
      <c r="BH116">
        <f t="shared" si="169"/>
        <v>0</v>
      </c>
      <c r="BI116">
        <f t="shared" si="169"/>
        <v>0</v>
      </c>
      <c r="BJ116">
        <f t="shared" si="169"/>
        <v>0</v>
      </c>
      <c r="BK116">
        <f t="shared" si="103"/>
        <v>2</v>
      </c>
      <c r="BO116">
        <f t="shared" ref="BO116:BU131" si="170">IF(ISNUMBER(SEARCH(BO$1,$BN116)), 1, 0)</f>
        <v>0</v>
      </c>
      <c r="BP116">
        <f t="shared" si="170"/>
        <v>0</v>
      </c>
      <c r="BQ116">
        <f t="shared" si="170"/>
        <v>0</v>
      </c>
      <c r="BR116">
        <f t="shared" si="170"/>
        <v>0</v>
      </c>
      <c r="BS116">
        <f t="shared" si="170"/>
        <v>0</v>
      </c>
      <c r="BT116">
        <f t="shared" si="170"/>
        <v>0</v>
      </c>
      <c r="BU116">
        <f t="shared" si="170"/>
        <v>0</v>
      </c>
      <c r="DC116" s="1" t="s">
        <v>235</v>
      </c>
    </row>
    <row r="117" spans="1:107" x14ac:dyDescent="0.25">
      <c r="A117" s="1" t="b">
        <v>1</v>
      </c>
      <c r="B117" s="2">
        <v>46168.725011574075</v>
      </c>
      <c r="C117" s="1" t="s">
        <v>721</v>
      </c>
      <c r="D117" s="1" t="s">
        <v>204</v>
      </c>
      <c r="E117">
        <f t="shared" si="165"/>
        <v>1</v>
      </c>
      <c r="F117">
        <f t="shared" si="165"/>
        <v>30</v>
      </c>
      <c r="G117">
        <f t="shared" si="165"/>
        <v>0</v>
      </c>
      <c r="H117">
        <f t="shared" si="165"/>
        <v>0</v>
      </c>
      <c r="I117">
        <f t="shared" si="165"/>
        <v>0</v>
      </c>
      <c r="J117">
        <f t="shared" si="165"/>
        <v>0</v>
      </c>
      <c r="K117">
        <f t="shared" si="165"/>
        <v>0</v>
      </c>
      <c r="L117">
        <f t="shared" si="97"/>
        <v>30</v>
      </c>
      <c r="N117" s="1" t="s">
        <v>205</v>
      </c>
      <c r="O117" s="1"/>
      <c r="P117" s="1"/>
      <c r="Q117" s="1"/>
      <c r="R117" s="1"/>
      <c r="S117" s="1"/>
      <c r="T117" s="1"/>
      <c r="V117" s="1" t="s">
        <v>23</v>
      </c>
      <c r="W117" s="1" t="str">
        <f t="shared" ref="W117:AA117" si="171">IF(W$1=$V117, "True", "False")</f>
        <v>False</v>
      </c>
      <c r="X117" s="1" t="str">
        <f t="shared" si="171"/>
        <v>False</v>
      </c>
      <c r="Y117" s="1" t="str">
        <f t="shared" si="171"/>
        <v>True</v>
      </c>
      <c r="Z117" s="1" t="str">
        <f t="shared" si="171"/>
        <v>False</v>
      </c>
      <c r="AA117" s="1" t="str">
        <f t="shared" si="171"/>
        <v>False</v>
      </c>
      <c r="AB117" s="1" t="s">
        <v>354</v>
      </c>
      <c r="AC117">
        <f t="shared" si="167"/>
        <v>1</v>
      </c>
      <c r="AD117">
        <f t="shared" si="167"/>
        <v>0</v>
      </c>
      <c r="AE117">
        <f t="shared" si="167"/>
        <v>0</v>
      </c>
      <c r="AF117">
        <f t="shared" si="167"/>
        <v>0</v>
      </c>
      <c r="AG117">
        <f t="shared" si="167"/>
        <v>0</v>
      </c>
      <c r="AH117">
        <f t="shared" si="167"/>
        <v>1</v>
      </c>
      <c r="AI117" s="1">
        <f t="shared" si="100"/>
        <v>2</v>
      </c>
      <c r="AK117" s="1" t="s">
        <v>503</v>
      </c>
      <c r="AL117">
        <f t="shared" si="168"/>
        <v>1</v>
      </c>
      <c r="AM117">
        <f t="shared" si="168"/>
        <v>1</v>
      </c>
      <c r="AN117">
        <f t="shared" si="168"/>
        <v>0</v>
      </c>
      <c r="AO117">
        <f t="shared" si="168"/>
        <v>0</v>
      </c>
      <c r="AP117">
        <f t="shared" si="168"/>
        <v>0</v>
      </c>
      <c r="AQ117">
        <f t="shared" si="168"/>
        <v>0</v>
      </c>
      <c r="AR117">
        <f t="shared" si="168"/>
        <v>0</v>
      </c>
      <c r="AS117">
        <f t="shared" si="168"/>
        <v>0</v>
      </c>
      <c r="AU117" s="1" t="s">
        <v>45</v>
      </c>
      <c r="AV117" s="1">
        <f t="shared" si="108"/>
        <v>1</v>
      </c>
      <c r="AW117" s="1">
        <f t="shared" si="109"/>
        <v>0</v>
      </c>
      <c r="AX117" s="1">
        <f t="shared" si="110"/>
        <v>0</v>
      </c>
      <c r="AY117" s="1" t="s">
        <v>46</v>
      </c>
      <c r="BA117" s="1" t="s">
        <v>722</v>
      </c>
      <c r="BB117">
        <f t="shared" si="169"/>
        <v>0</v>
      </c>
      <c r="BC117">
        <f t="shared" si="169"/>
        <v>1</v>
      </c>
      <c r="BD117">
        <f t="shared" si="169"/>
        <v>1</v>
      </c>
      <c r="BE117">
        <f t="shared" si="169"/>
        <v>0</v>
      </c>
      <c r="BF117">
        <f t="shared" si="169"/>
        <v>1</v>
      </c>
      <c r="BG117">
        <f t="shared" si="169"/>
        <v>1</v>
      </c>
      <c r="BH117">
        <f t="shared" si="169"/>
        <v>0</v>
      </c>
      <c r="BI117">
        <f t="shared" si="169"/>
        <v>0</v>
      </c>
      <c r="BJ117">
        <f t="shared" si="169"/>
        <v>1</v>
      </c>
      <c r="BK117">
        <f t="shared" si="103"/>
        <v>5</v>
      </c>
      <c r="BM117" s="1" t="s">
        <v>229</v>
      </c>
      <c r="BN117" s="1" t="s">
        <v>723</v>
      </c>
      <c r="BO117">
        <f t="shared" si="170"/>
        <v>0</v>
      </c>
      <c r="BP117">
        <f t="shared" si="170"/>
        <v>1</v>
      </c>
      <c r="BQ117">
        <f t="shared" si="170"/>
        <v>0</v>
      </c>
      <c r="BR117">
        <f t="shared" si="170"/>
        <v>1</v>
      </c>
      <c r="BS117">
        <f t="shared" si="170"/>
        <v>0</v>
      </c>
      <c r="BT117">
        <f t="shared" si="170"/>
        <v>0</v>
      </c>
      <c r="BU117">
        <f t="shared" si="170"/>
        <v>0</v>
      </c>
      <c r="CX117" s="1" t="s">
        <v>683</v>
      </c>
      <c r="CZ117" s="1" t="s">
        <v>247</v>
      </c>
      <c r="DB117" s="1" t="s">
        <v>724</v>
      </c>
      <c r="DC117" s="1" t="s">
        <v>177</v>
      </c>
    </row>
    <row r="118" spans="1:107" x14ac:dyDescent="0.25">
      <c r="A118" s="1" t="b">
        <v>1</v>
      </c>
      <c r="B118" s="2">
        <v>46168.735289351855</v>
      </c>
      <c r="C118" s="1" t="s">
        <v>725</v>
      </c>
      <c r="D118" s="1" t="s">
        <v>436</v>
      </c>
      <c r="E118">
        <f t="shared" si="165"/>
        <v>1</v>
      </c>
      <c r="F118">
        <f t="shared" si="165"/>
        <v>30</v>
      </c>
      <c r="G118">
        <f t="shared" si="165"/>
        <v>0</v>
      </c>
      <c r="H118">
        <f t="shared" si="165"/>
        <v>0</v>
      </c>
      <c r="I118">
        <f t="shared" si="165"/>
        <v>105</v>
      </c>
      <c r="J118">
        <f t="shared" si="165"/>
        <v>0</v>
      </c>
      <c r="K118">
        <f t="shared" si="165"/>
        <v>0</v>
      </c>
      <c r="L118">
        <f t="shared" si="97"/>
        <v>105</v>
      </c>
      <c r="N118" s="1" t="s">
        <v>325</v>
      </c>
      <c r="O118" s="1"/>
      <c r="P118" s="1"/>
      <c r="Q118" s="1"/>
      <c r="R118" s="1"/>
      <c r="S118" s="1"/>
      <c r="T118" s="1"/>
      <c r="V118" s="1" t="s">
        <v>23</v>
      </c>
      <c r="W118" s="1" t="str">
        <f t="shared" ref="W118:AA118" si="172">IF(W$1=$V118, "True", "False")</f>
        <v>False</v>
      </c>
      <c r="X118" s="1" t="str">
        <f t="shared" si="172"/>
        <v>False</v>
      </c>
      <c r="Y118" s="1" t="str">
        <f t="shared" si="172"/>
        <v>True</v>
      </c>
      <c r="Z118" s="1" t="str">
        <f t="shared" si="172"/>
        <v>False</v>
      </c>
      <c r="AA118" s="1" t="str">
        <f t="shared" si="172"/>
        <v>False</v>
      </c>
      <c r="AB118" s="1" t="s">
        <v>354</v>
      </c>
      <c r="AC118">
        <f t="shared" si="167"/>
        <v>1</v>
      </c>
      <c r="AD118">
        <f t="shared" si="167"/>
        <v>0</v>
      </c>
      <c r="AE118">
        <f t="shared" si="167"/>
        <v>0</v>
      </c>
      <c r="AF118">
        <f t="shared" si="167"/>
        <v>0</v>
      </c>
      <c r="AG118">
        <f t="shared" si="167"/>
        <v>0</v>
      </c>
      <c r="AH118">
        <f t="shared" si="167"/>
        <v>1</v>
      </c>
      <c r="AI118" s="1">
        <f t="shared" si="100"/>
        <v>2</v>
      </c>
      <c r="AK118" s="1" t="s">
        <v>243</v>
      </c>
      <c r="AL118">
        <f t="shared" si="168"/>
        <v>1</v>
      </c>
      <c r="AM118">
        <f t="shared" si="168"/>
        <v>1</v>
      </c>
      <c r="AN118">
        <f t="shared" si="168"/>
        <v>0</v>
      </c>
      <c r="AO118">
        <f t="shared" si="168"/>
        <v>1</v>
      </c>
      <c r="AP118">
        <f t="shared" si="168"/>
        <v>0</v>
      </c>
      <c r="AQ118">
        <f t="shared" si="168"/>
        <v>1</v>
      </c>
      <c r="AR118">
        <f t="shared" si="168"/>
        <v>0</v>
      </c>
      <c r="AS118">
        <f t="shared" si="168"/>
        <v>0</v>
      </c>
      <c r="AU118" s="1" t="s">
        <v>45</v>
      </c>
      <c r="AV118" s="1">
        <f t="shared" si="108"/>
        <v>1</v>
      </c>
      <c r="AW118" s="1">
        <f t="shared" si="109"/>
        <v>0</v>
      </c>
      <c r="AX118" s="1">
        <f t="shared" si="110"/>
        <v>0</v>
      </c>
      <c r="AY118" s="1" t="s">
        <v>46</v>
      </c>
      <c r="BA118" s="1" t="s">
        <v>726</v>
      </c>
      <c r="BB118">
        <f t="shared" si="169"/>
        <v>0</v>
      </c>
      <c r="BC118">
        <f t="shared" si="169"/>
        <v>1</v>
      </c>
      <c r="BD118">
        <f t="shared" si="169"/>
        <v>0</v>
      </c>
      <c r="BE118">
        <f t="shared" si="169"/>
        <v>0</v>
      </c>
      <c r="BF118">
        <f t="shared" si="169"/>
        <v>1</v>
      </c>
      <c r="BG118">
        <f t="shared" si="169"/>
        <v>0</v>
      </c>
      <c r="BH118">
        <f t="shared" si="169"/>
        <v>0</v>
      </c>
      <c r="BI118">
        <f t="shared" si="169"/>
        <v>0</v>
      </c>
      <c r="BJ118">
        <f t="shared" si="169"/>
        <v>0</v>
      </c>
      <c r="BK118">
        <f t="shared" si="103"/>
        <v>2</v>
      </c>
      <c r="BM118" s="1" t="s">
        <v>163</v>
      </c>
      <c r="BN118" s="1" t="s">
        <v>265</v>
      </c>
      <c r="BO118">
        <f t="shared" si="170"/>
        <v>1</v>
      </c>
      <c r="BP118">
        <f t="shared" si="170"/>
        <v>1</v>
      </c>
      <c r="BQ118">
        <f t="shared" si="170"/>
        <v>0</v>
      </c>
      <c r="BR118">
        <f t="shared" si="170"/>
        <v>0</v>
      </c>
      <c r="BS118">
        <f t="shared" si="170"/>
        <v>0</v>
      </c>
      <c r="BT118">
        <f t="shared" si="170"/>
        <v>0</v>
      </c>
      <c r="BU118">
        <f t="shared" si="170"/>
        <v>0</v>
      </c>
      <c r="BV118" s="1" t="s">
        <v>727</v>
      </c>
      <c r="CH118" s="1" t="s">
        <v>728</v>
      </c>
      <c r="CI118" s="1" t="s">
        <v>729</v>
      </c>
      <c r="CJ118" s="1" t="s">
        <v>730</v>
      </c>
      <c r="CK118" s="1" t="s">
        <v>731</v>
      </c>
      <c r="CL118" s="1" t="s">
        <v>174</v>
      </c>
      <c r="CX118" s="1" t="s">
        <v>732</v>
      </c>
      <c r="CZ118" s="1" t="s">
        <v>733</v>
      </c>
      <c r="DC118" s="1" t="s">
        <v>177</v>
      </c>
    </row>
    <row r="119" spans="1:107" x14ac:dyDescent="0.25">
      <c r="A119" s="1" t="b">
        <v>0</v>
      </c>
      <c r="B119" s="2">
        <v>46169.409421296295</v>
      </c>
      <c r="C119" s="1" t="s">
        <v>734</v>
      </c>
      <c r="D119" s="1" t="s">
        <v>735</v>
      </c>
      <c r="E119">
        <f t="shared" si="165"/>
        <v>1</v>
      </c>
      <c r="F119">
        <f t="shared" si="165"/>
        <v>0</v>
      </c>
      <c r="G119">
        <f t="shared" si="165"/>
        <v>0</v>
      </c>
      <c r="H119">
        <f t="shared" si="165"/>
        <v>30</v>
      </c>
      <c r="I119">
        <f t="shared" si="165"/>
        <v>68</v>
      </c>
      <c r="J119">
        <f t="shared" si="165"/>
        <v>0</v>
      </c>
      <c r="K119">
        <f t="shared" si="165"/>
        <v>0</v>
      </c>
      <c r="L119">
        <f t="shared" si="97"/>
        <v>68</v>
      </c>
      <c r="N119" s="1" t="s">
        <v>736</v>
      </c>
      <c r="O119" s="1"/>
      <c r="P119" s="1"/>
      <c r="Q119" s="1"/>
      <c r="R119" s="1"/>
      <c r="S119" s="1"/>
      <c r="T119" s="1"/>
      <c r="V119" s="1" t="s">
        <v>24</v>
      </c>
      <c r="W119" s="1" t="str">
        <f t="shared" ref="W119:AA119" si="173">IF(W$1=$V119, "True", "False")</f>
        <v>False</v>
      </c>
      <c r="X119" s="1" t="str">
        <f t="shared" si="173"/>
        <v>False</v>
      </c>
      <c r="Y119" s="1" t="str">
        <f t="shared" si="173"/>
        <v>False</v>
      </c>
      <c r="Z119" s="1" t="str">
        <f t="shared" si="173"/>
        <v>True</v>
      </c>
      <c r="AA119" s="1" t="str">
        <f t="shared" si="173"/>
        <v>False</v>
      </c>
      <c r="AB119" s="1" t="s">
        <v>354</v>
      </c>
      <c r="AC119">
        <f t="shared" si="167"/>
        <v>1</v>
      </c>
      <c r="AD119">
        <f t="shared" si="167"/>
        <v>0</v>
      </c>
      <c r="AE119">
        <f t="shared" si="167"/>
        <v>0</v>
      </c>
      <c r="AF119">
        <f t="shared" si="167"/>
        <v>0</v>
      </c>
      <c r="AG119">
        <f t="shared" si="167"/>
        <v>0</v>
      </c>
      <c r="AH119">
        <f t="shared" si="167"/>
        <v>1</v>
      </c>
      <c r="AI119" s="1">
        <f t="shared" si="100"/>
        <v>2</v>
      </c>
      <c r="AK119" s="1" t="s">
        <v>489</v>
      </c>
      <c r="AL119">
        <f t="shared" si="168"/>
        <v>1</v>
      </c>
      <c r="AM119">
        <f t="shared" si="168"/>
        <v>1</v>
      </c>
      <c r="AN119">
        <f t="shared" si="168"/>
        <v>1</v>
      </c>
      <c r="AO119">
        <f t="shared" si="168"/>
        <v>1</v>
      </c>
      <c r="AP119">
        <f t="shared" si="168"/>
        <v>1</v>
      </c>
      <c r="AQ119">
        <f t="shared" si="168"/>
        <v>1</v>
      </c>
      <c r="AR119">
        <f t="shared" si="168"/>
        <v>1</v>
      </c>
      <c r="AS119">
        <f t="shared" si="168"/>
        <v>0</v>
      </c>
      <c r="AU119" s="1" t="s">
        <v>45</v>
      </c>
      <c r="AV119" s="1">
        <f t="shared" si="108"/>
        <v>1</v>
      </c>
      <c r="AW119" s="1">
        <f t="shared" si="109"/>
        <v>0</v>
      </c>
      <c r="AX119" s="1">
        <f t="shared" si="110"/>
        <v>0</v>
      </c>
      <c r="AY119" s="1" t="s">
        <v>45</v>
      </c>
      <c r="AZ119" s="1" t="s">
        <v>46</v>
      </c>
      <c r="BA119" s="1" t="s">
        <v>228</v>
      </c>
      <c r="BB119">
        <f t="shared" si="169"/>
        <v>1</v>
      </c>
      <c r="BC119">
        <f t="shared" si="169"/>
        <v>1</v>
      </c>
      <c r="BD119">
        <f t="shared" si="169"/>
        <v>1</v>
      </c>
      <c r="BE119">
        <f t="shared" si="169"/>
        <v>1</v>
      </c>
      <c r="BF119">
        <f t="shared" si="169"/>
        <v>1</v>
      </c>
      <c r="BG119">
        <f t="shared" si="169"/>
        <v>1</v>
      </c>
      <c r="BH119">
        <f t="shared" si="169"/>
        <v>0</v>
      </c>
      <c r="BI119">
        <f t="shared" si="169"/>
        <v>0</v>
      </c>
      <c r="BJ119">
        <f t="shared" si="169"/>
        <v>1</v>
      </c>
      <c r="BK119">
        <f t="shared" si="103"/>
        <v>7</v>
      </c>
      <c r="BO119">
        <f t="shared" si="170"/>
        <v>0</v>
      </c>
      <c r="BP119">
        <f t="shared" si="170"/>
        <v>0</v>
      </c>
      <c r="BQ119">
        <f t="shared" si="170"/>
        <v>0</v>
      </c>
      <c r="BR119">
        <f t="shared" si="170"/>
        <v>0</v>
      </c>
      <c r="BS119">
        <f t="shared" si="170"/>
        <v>0</v>
      </c>
      <c r="BT119">
        <f t="shared" si="170"/>
        <v>0</v>
      </c>
      <c r="BU119">
        <f t="shared" si="170"/>
        <v>0</v>
      </c>
    </row>
    <row r="120" spans="1:107" x14ac:dyDescent="0.25">
      <c r="A120" s="1" t="b">
        <v>1</v>
      </c>
      <c r="B120" s="2">
        <v>46169.416261574072</v>
      </c>
      <c r="C120" s="1" t="s">
        <v>737</v>
      </c>
      <c r="D120" s="1" t="s">
        <v>204</v>
      </c>
      <c r="E120">
        <f t="shared" si="165"/>
        <v>1</v>
      </c>
      <c r="F120">
        <f t="shared" si="165"/>
        <v>30</v>
      </c>
      <c r="G120">
        <f t="shared" si="165"/>
        <v>0</v>
      </c>
      <c r="H120">
        <f t="shared" si="165"/>
        <v>0</v>
      </c>
      <c r="I120">
        <f t="shared" si="165"/>
        <v>0</v>
      </c>
      <c r="J120">
        <f t="shared" si="165"/>
        <v>0</v>
      </c>
      <c r="K120">
        <f t="shared" si="165"/>
        <v>0</v>
      </c>
      <c r="L120">
        <f t="shared" si="97"/>
        <v>30</v>
      </c>
      <c r="N120" s="1" t="s">
        <v>184</v>
      </c>
      <c r="O120" s="1"/>
      <c r="P120" s="1"/>
      <c r="Q120" s="1"/>
      <c r="R120" s="1"/>
      <c r="S120" s="1"/>
      <c r="T120" s="1"/>
      <c r="W120" s="1" t="str">
        <f t="shared" ref="W120:AA120" si="174">IF(W$1=$V120, "True", "False")</f>
        <v>False</v>
      </c>
      <c r="X120" s="1" t="str">
        <f t="shared" si="174"/>
        <v>False</v>
      </c>
      <c r="Y120" s="1" t="str">
        <f t="shared" si="174"/>
        <v>False</v>
      </c>
      <c r="Z120" s="1" t="str">
        <f t="shared" si="174"/>
        <v>False</v>
      </c>
      <c r="AA120" s="1" t="str">
        <f t="shared" si="174"/>
        <v>False</v>
      </c>
      <c r="AB120" s="1" t="s">
        <v>738</v>
      </c>
      <c r="AC120">
        <f t="shared" si="167"/>
        <v>1</v>
      </c>
      <c r="AD120">
        <f t="shared" si="167"/>
        <v>0</v>
      </c>
      <c r="AE120">
        <f t="shared" si="167"/>
        <v>1</v>
      </c>
      <c r="AF120">
        <f t="shared" si="167"/>
        <v>1</v>
      </c>
      <c r="AG120">
        <f t="shared" si="167"/>
        <v>0</v>
      </c>
      <c r="AH120">
        <f t="shared" si="167"/>
        <v>1</v>
      </c>
      <c r="AI120" s="1">
        <f t="shared" si="100"/>
        <v>4</v>
      </c>
      <c r="AK120" s="1" t="s">
        <v>467</v>
      </c>
      <c r="AL120">
        <f t="shared" si="168"/>
        <v>0</v>
      </c>
      <c r="AM120">
        <f t="shared" si="168"/>
        <v>1</v>
      </c>
      <c r="AN120">
        <f t="shared" si="168"/>
        <v>0</v>
      </c>
      <c r="AO120">
        <f t="shared" si="168"/>
        <v>1</v>
      </c>
      <c r="AP120">
        <f t="shared" si="168"/>
        <v>0</v>
      </c>
      <c r="AQ120">
        <f t="shared" si="168"/>
        <v>1</v>
      </c>
      <c r="AR120">
        <f t="shared" si="168"/>
        <v>0</v>
      </c>
      <c r="AS120">
        <f t="shared" si="168"/>
        <v>0</v>
      </c>
      <c r="AU120" s="1" t="s">
        <v>46</v>
      </c>
      <c r="AV120" s="1">
        <f t="shared" si="108"/>
        <v>0</v>
      </c>
      <c r="AW120" s="1">
        <f t="shared" si="109"/>
        <v>1</v>
      </c>
      <c r="AX120" s="1">
        <f t="shared" si="110"/>
        <v>0</v>
      </c>
      <c r="AY120" s="1" t="s">
        <v>46</v>
      </c>
      <c r="BA120" s="1" t="s">
        <v>244</v>
      </c>
      <c r="BB120">
        <f t="shared" si="169"/>
        <v>1</v>
      </c>
      <c r="BC120">
        <f t="shared" si="169"/>
        <v>1</v>
      </c>
      <c r="BD120">
        <f t="shared" si="169"/>
        <v>1</v>
      </c>
      <c r="BE120">
        <f t="shared" si="169"/>
        <v>1</v>
      </c>
      <c r="BF120">
        <f t="shared" si="169"/>
        <v>1</v>
      </c>
      <c r="BG120">
        <f t="shared" si="169"/>
        <v>0</v>
      </c>
      <c r="BH120">
        <f t="shared" si="169"/>
        <v>1</v>
      </c>
      <c r="BI120">
        <f t="shared" si="169"/>
        <v>0</v>
      </c>
      <c r="BJ120">
        <f t="shared" si="169"/>
        <v>1</v>
      </c>
      <c r="BK120">
        <f t="shared" si="103"/>
        <v>7</v>
      </c>
      <c r="BM120" s="1" t="s">
        <v>229</v>
      </c>
      <c r="BN120" s="1" t="s">
        <v>438</v>
      </c>
      <c r="BO120">
        <f t="shared" si="170"/>
        <v>0</v>
      </c>
      <c r="BP120">
        <f t="shared" si="170"/>
        <v>1</v>
      </c>
      <c r="BQ120">
        <f t="shared" si="170"/>
        <v>0</v>
      </c>
      <c r="BR120">
        <f t="shared" si="170"/>
        <v>1</v>
      </c>
      <c r="BS120">
        <f t="shared" si="170"/>
        <v>1</v>
      </c>
      <c r="BT120">
        <f t="shared" si="170"/>
        <v>0</v>
      </c>
      <c r="BU120">
        <f t="shared" si="170"/>
        <v>0</v>
      </c>
      <c r="BW120" s="1" t="s">
        <v>209</v>
      </c>
      <c r="CX120" s="1" t="s">
        <v>683</v>
      </c>
      <c r="CZ120" s="1" t="s">
        <v>739</v>
      </c>
      <c r="DC120" s="1" t="s">
        <v>177</v>
      </c>
    </row>
    <row r="121" spans="1:107" x14ac:dyDescent="0.25">
      <c r="A121" s="1" t="b">
        <v>1</v>
      </c>
      <c r="B121" s="2">
        <v>46169.466898148145</v>
      </c>
      <c r="C121" s="1" t="s">
        <v>740</v>
      </c>
      <c r="D121" s="1" t="s">
        <v>4</v>
      </c>
      <c r="E121">
        <f t="shared" si="165"/>
        <v>1</v>
      </c>
      <c r="F121">
        <f t="shared" si="165"/>
        <v>0</v>
      </c>
      <c r="G121">
        <f t="shared" si="165"/>
        <v>0</v>
      </c>
      <c r="H121">
        <f t="shared" si="165"/>
        <v>0</v>
      </c>
      <c r="I121">
        <f t="shared" si="165"/>
        <v>0</v>
      </c>
      <c r="J121">
        <f t="shared" si="165"/>
        <v>0</v>
      </c>
      <c r="K121">
        <f t="shared" si="165"/>
        <v>0</v>
      </c>
      <c r="L121">
        <f t="shared" si="97"/>
        <v>1</v>
      </c>
      <c r="N121" s="1" t="s">
        <v>466</v>
      </c>
      <c r="O121" s="1"/>
      <c r="P121" s="1"/>
      <c r="Q121" s="1"/>
      <c r="R121" s="1"/>
      <c r="S121" s="1"/>
      <c r="T121" s="1"/>
      <c r="V121" s="1" t="s">
        <v>23</v>
      </c>
      <c r="W121" s="1" t="str">
        <f t="shared" ref="W121:AA121" si="175">IF(W$1=$V121, "True", "False")</f>
        <v>False</v>
      </c>
      <c r="X121" s="1" t="str">
        <f t="shared" si="175"/>
        <v>False</v>
      </c>
      <c r="Y121" s="1" t="str">
        <f t="shared" si="175"/>
        <v>True</v>
      </c>
      <c r="Z121" s="1" t="str">
        <f t="shared" si="175"/>
        <v>False</v>
      </c>
      <c r="AA121" s="1" t="str">
        <f t="shared" si="175"/>
        <v>False</v>
      </c>
      <c r="AB121" s="1" t="s">
        <v>27</v>
      </c>
      <c r="AC121">
        <f t="shared" si="167"/>
        <v>1</v>
      </c>
      <c r="AD121">
        <f t="shared" si="167"/>
        <v>0</v>
      </c>
      <c r="AE121">
        <f t="shared" si="167"/>
        <v>0</v>
      </c>
      <c r="AF121">
        <f t="shared" si="167"/>
        <v>0</v>
      </c>
      <c r="AG121">
        <f t="shared" si="167"/>
        <v>0</v>
      </c>
      <c r="AH121">
        <f t="shared" si="167"/>
        <v>0</v>
      </c>
      <c r="AI121" s="1">
        <f t="shared" si="100"/>
        <v>1</v>
      </c>
      <c r="AK121" s="1" t="s">
        <v>343</v>
      </c>
      <c r="AL121">
        <f t="shared" si="168"/>
        <v>0</v>
      </c>
      <c r="AM121">
        <f t="shared" si="168"/>
        <v>1</v>
      </c>
      <c r="AN121">
        <f t="shared" si="168"/>
        <v>1</v>
      </c>
      <c r="AO121">
        <f t="shared" si="168"/>
        <v>1</v>
      </c>
      <c r="AP121">
        <f t="shared" si="168"/>
        <v>0</v>
      </c>
      <c r="AQ121">
        <f t="shared" si="168"/>
        <v>0</v>
      </c>
      <c r="AR121">
        <f t="shared" si="168"/>
        <v>0</v>
      </c>
      <c r="AS121">
        <f t="shared" si="168"/>
        <v>0</v>
      </c>
      <c r="AU121" s="1" t="s">
        <v>45</v>
      </c>
      <c r="AV121" s="1">
        <f t="shared" si="108"/>
        <v>1</v>
      </c>
      <c r="AW121" s="1">
        <f t="shared" si="109"/>
        <v>0</v>
      </c>
      <c r="AX121" s="1">
        <f t="shared" si="110"/>
        <v>0</v>
      </c>
      <c r="AY121" s="1" t="s">
        <v>46</v>
      </c>
      <c r="BA121" s="1" t="s">
        <v>454</v>
      </c>
      <c r="BB121">
        <f t="shared" si="169"/>
        <v>0</v>
      </c>
      <c r="BC121">
        <f t="shared" si="169"/>
        <v>0</v>
      </c>
      <c r="BD121">
        <f t="shared" si="169"/>
        <v>0</v>
      </c>
      <c r="BE121">
        <f t="shared" si="169"/>
        <v>0</v>
      </c>
      <c r="BF121">
        <f t="shared" si="169"/>
        <v>1</v>
      </c>
      <c r="BG121">
        <f t="shared" si="169"/>
        <v>1</v>
      </c>
      <c r="BH121">
        <f t="shared" si="169"/>
        <v>0</v>
      </c>
      <c r="BI121">
        <f t="shared" si="169"/>
        <v>0</v>
      </c>
      <c r="BJ121">
        <f t="shared" si="169"/>
        <v>1</v>
      </c>
      <c r="BK121">
        <f t="shared" si="103"/>
        <v>3</v>
      </c>
      <c r="BM121" s="1" t="s">
        <v>229</v>
      </c>
      <c r="BN121" s="1" t="s">
        <v>741</v>
      </c>
      <c r="BO121">
        <f t="shared" si="170"/>
        <v>0</v>
      </c>
      <c r="BP121">
        <f t="shared" si="170"/>
        <v>0</v>
      </c>
      <c r="BQ121">
        <f t="shared" si="170"/>
        <v>0</v>
      </c>
      <c r="BR121">
        <f t="shared" si="170"/>
        <v>1</v>
      </c>
      <c r="BS121">
        <f t="shared" si="170"/>
        <v>0</v>
      </c>
      <c r="BT121">
        <f t="shared" si="170"/>
        <v>0</v>
      </c>
      <c r="BU121">
        <f t="shared" si="170"/>
        <v>1</v>
      </c>
      <c r="DC121" s="1" t="s">
        <v>177</v>
      </c>
    </row>
    <row r="122" spans="1:107" x14ac:dyDescent="0.25">
      <c r="A122" s="1" t="b">
        <v>1</v>
      </c>
      <c r="B122" s="2">
        <v>46169.568993055553</v>
      </c>
      <c r="C122" s="1" t="s">
        <v>742</v>
      </c>
      <c r="D122" s="1" t="s">
        <v>436</v>
      </c>
      <c r="E122">
        <f t="shared" si="165"/>
        <v>1</v>
      </c>
      <c r="F122">
        <f t="shared" si="165"/>
        <v>30</v>
      </c>
      <c r="G122">
        <f t="shared" si="165"/>
        <v>0</v>
      </c>
      <c r="H122">
        <f t="shared" si="165"/>
        <v>0</v>
      </c>
      <c r="I122">
        <f t="shared" si="165"/>
        <v>105</v>
      </c>
      <c r="J122">
        <f t="shared" si="165"/>
        <v>0</v>
      </c>
      <c r="K122">
        <f t="shared" si="165"/>
        <v>0</v>
      </c>
      <c r="L122">
        <f t="shared" si="97"/>
        <v>105</v>
      </c>
      <c r="N122" s="1" t="s">
        <v>205</v>
      </c>
      <c r="O122" s="1"/>
      <c r="P122" s="1"/>
      <c r="Q122" s="1"/>
      <c r="R122" s="1"/>
      <c r="S122" s="1"/>
      <c r="T122" s="1"/>
      <c r="W122" s="1" t="str">
        <f t="shared" ref="W122:AA122" si="176">IF(W$1=$V122, "True", "False")</f>
        <v>False</v>
      </c>
      <c r="X122" s="1" t="str">
        <f t="shared" si="176"/>
        <v>False</v>
      </c>
      <c r="Y122" s="1" t="str">
        <f t="shared" si="176"/>
        <v>False</v>
      </c>
      <c r="Z122" s="1" t="str">
        <f t="shared" si="176"/>
        <v>False</v>
      </c>
      <c r="AA122" s="1" t="str">
        <f t="shared" si="176"/>
        <v>False</v>
      </c>
      <c r="AB122" s="1" t="s">
        <v>32</v>
      </c>
      <c r="AC122">
        <f t="shared" si="167"/>
        <v>0</v>
      </c>
      <c r="AD122">
        <f t="shared" si="167"/>
        <v>0</v>
      </c>
      <c r="AE122">
        <f t="shared" si="167"/>
        <v>0</v>
      </c>
      <c r="AF122">
        <f t="shared" si="167"/>
        <v>0</v>
      </c>
      <c r="AG122">
        <f t="shared" si="167"/>
        <v>0</v>
      </c>
      <c r="AH122">
        <f t="shared" si="167"/>
        <v>1</v>
      </c>
      <c r="AI122" s="1">
        <f t="shared" si="100"/>
        <v>1</v>
      </c>
      <c r="AK122" s="1" t="s">
        <v>36</v>
      </c>
      <c r="AL122">
        <f t="shared" si="168"/>
        <v>0</v>
      </c>
      <c r="AM122">
        <f t="shared" si="168"/>
        <v>1</v>
      </c>
      <c r="AN122">
        <f t="shared" si="168"/>
        <v>0</v>
      </c>
      <c r="AO122">
        <f t="shared" si="168"/>
        <v>0</v>
      </c>
      <c r="AP122">
        <f t="shared" si="168"/>
        <v>0</v>
      </c>
      <c r="AQ122">
        <f t="shared" si="168"/>
        <v>0</v>
      </c>
      <c r="AR122">
        <f t="shared" si="168"/>
        <v>0</v>
      </c>
      <c r="AS122">
        <f t="shared" si="168"/>
        <v>0</v>
      </c>
      <c r="AU122" s="1" t="s">
        <v>45</v>
      </c>
      <c r="AV122" s="1">
        <f t="shared" si="108"/>
        <v>1</v>
      </c>
      <c r="AW122" s="1">
        <f t="shared" si="109"/>
        <v>0</v>
      </c>
      <c r="AX122" s="1">
        <f t="shared" si="110"/>
        <v>0</v>
      </c>
      <c r="AY122" s="1" t="s">
        <v>46</v>
      </c>
      <c r="BA122" s="1" t="s">
        <v>228</v>
      </c>
      <c r="BB122">
        <f t="shared" si="169"/>
        <v>1</v>
      </c>
      <c r="BC122">
        <f t="shared" si="169"/>
        <v>1</v>
      </c>
      <c r="BD122">
        <f t="shared" si="169"/>
        <v>1</v>
      </c>
      <c r="BE122">
        <f t="shared" si="169"/>
        <v>1</v>
      </c>
      <c r="BF122">
        <f t="shared" si="169"/>
        <v>1</v>
      </c>
      <c r="BG122">
        <f t="shared" si="169"/>
        <v>1</v>
      </c>
      <c r="BH122">
        <f t="shared" si="169"/>
        <v>0</v>
      </c>
      <c r="BI122">
        <f t="shared" si="169"/>
        <v>0</v>
      </c>
      <c r="BJ122">
        <f t="shared" si="169"/>
        <v>1</v>
      </c>
      <c r="BK122">
        <f t="shared" si="103"/>
        <v>7</v>
      </c>
      <c r="BM122" s="1" t="s">
        <v>229</v>
      </c>
      <c r="BN122" s="1" t="s">
        <v>743</v>
      </c>
      <c r="BO122">
        <f t="shared" si="170"/>
        <v>0</v>
      </c>
      <c r="BP122">
        <f t="shared" si="170"/>
        <v>0</v>
      </c>
      <c r="BQ122">
        <f t="shared" si="170"/>
        <v>1</v>
      </c>
      <c r="BR122">
        <f t="shared" si="170"/>
        <v>1</v>
      </c>
      <c r="BS122">
        <f t="shared" si="170"/>
        <v>0</v>
      </c>
      <c r="BT122">
        <f t="shared" si="170"/>
        <v>1</v>
      </c>
      <c r="BU122">
        <f t="shared" si="170"/>
        <v>1</v>
      </c>
      <c r="CH122" s="1" t="s">
        <v>744</v>
      </c>
      <c r="CJ122" s="1" t="s">
        <v>639</v>
      </c>
      <c r="CL122" s="1" t="s">
        <v>349</v>
      </c>
      <c r="CX122" s="1" t="s">
        <v>745</v>
      </c>
      <c r="CZ122" s="1" t="s">
        <v>175</v>
      </c>
      <c r="DC122" s="1" t="s">
        <v>177</v>
      </c>
    </row>
    <row r="123" spans="1:107" x14ac:dyDescent="0.25">
      <c r="A123" s="1" t="b">
        <v>0</v>
      </c>
      <c r="B123" s="2">
        <v>46169.602546296293</v>
      </c>
      <c r="C123" s="1" t="s">
        <v>746</v>
      </c>
      <c r="D123" s="1" t="s">
        <v>4</v>
      </c>
      <c r="E123">
        <f t="shared" si="165"/>
        <v>1</v>
      </c>
      <c r="F123">
        <f t="shared" si="165"/>
        <v>0</v>
      </c>
      <c r="G123">
        <f t="shared" si="165"/>
        <v>0</v>
      </c>
      <c r="H123">
        <f t="shared" si="165"/>
        <v>0</v>
      </c>
      <c r="I123">
        <f t="shared" si="165"/>
        <v>0</v>
      </c>
      <c r="J123">
        <f t="shared" si="165"/>
        <v>0</v>
      </c>
      <c r="K123">
        <f t="shared" si="165"/>
        <v>0</v>
      </c>
      <c r="L123">
        <f t="shared" si="97"/>
        <v>1</v>
      </c>
      <c r="N123" s="1" t="s">
        <v>382</v>
      </c>
      <c r="O123" s="1"/>
      <c r="P123" s="1"/>
      <c r="Q123" s="1"/>
      <c r="R123" s="1"/>
      <c r="S123" s="1"/>
      <c r="T123" s="1"/>
      <c r="W123" s="1" t="str">
        <f t="shared" ref="W123:AA123" si="177">IF(W$1=$V123, "True", "False")</f>
        <v>False</v>
      </c>
      <c r="X123" s="1" t="str">
        <f t="shared" si="177"/>
        <v>False</v>
      </c>
      <c r="Y123" s="1" t="str">
        <f t="shared" si="177"/>
        <v>False</v>
      </c>
      <c r="Z123" s="1" t="str">
        <f t="shared" si="177"/>
        <v>False</v>
      </c>
      <c r="AA123" s="1" t="str">
        <f t="shared" si="177"/>
        <v>False</v>
      </c>
      <c r="AC123">
        <f t="shared" si="167"/>
        <v>0</v>
      </c>
      <c r="AD123">
        <f t="shared" si="167"/>
        <v>0</v>
      </c>
      <c r="AE123">
        <f t="shared" si="167"/>
        <v>0</v>
      </c>
      <c r="AF123">
        <f t="shared" si="167"/>
        <v>0</v>
      </c>
      <c r="AG123">
        <f t="shared" si="167"/>
        <v>0</v>
      </c>
      <c r="AH123">
        <f t="shared" si="167"/>
        <v>0</v>
      </c>
      <c r="AI123" s="1">
        <f t="shared" si="100"/>
        <v>0</v>
      </c>
      <c r="AL123">
        <f t="shared" si="168"/>
        <v>0</v>
      </c>
      <c r="AM123">
        <f t="shared" si="168"/>
        <v>0</v>
      </c>
      <c r="AN123">
        <f t="shared" si="168"/>
        <v>0</v>
      </c>
      <c r="AO123">
        <f t="shared" si="168"/>
        <v>0</v>
      </c>
      <c r="AP123">
        <f t="shared" si="168"/>
        <v>0</v>
      </c>
      <c r="AQ123">
        <f t="shared" si="168"/>
        <v>0</v>
      </c>
      <c r="AR123">
        <f t="shared" si="168"/>
        <v>0</v>
      </c>
      <c r="AS123">
        <f t="shared" si="168"/>
        <v>0</v>
      </c>
      <c r="AV123" s="1">
        <f t="shared" si="108"/>
        <v>0</v>
      </c>
      <c r="AW123" s="1">
        <f t="shared" si="109"/>
        <v>0</v>
      </c>
      <c r="AX123" s="1">
        <f t="shared" si="110"/>
        <v>0</v>
      </c>
      <c r="BB123">
        <f t="shared" si="169"/>
        <v>0</v>
      </c>
      <c r="BC123">
        <f t="shared" si="169"/>
        <v>0</v>
      </c>
      <c r="BD123">
        <f t="shared" si="169"/>
        <v>0</v>
      </c>
      <c r="BE123">
        <f t="shared" si="169"/>
        <v>0</v>
      </c>
      <c r="BF123">
        <f t="shared" si="169"/>
        <v>0</v>
      </c>
      <c r="BG123">
        <f t="shared" si="169"/>
        <v>0</v>
      </c>
      <c r="BH123">
        <f t="shared" si="169"/>
        <v>0</v>
      </c>
      <c r="BI123">
        <f t="shared" si="169"/>
        <v>0</v>
      </c>
      <c r="BJ123">
        <f t="shared" si="169"/>
        <v>0</v>
      </c>
      <c r="BK123">
        <f t="shared" si="103"/>
        <v>0</v>
      </c>
      <c r="BO123">
        <f t="shared" si="170"/>
        <v>0</v>
      </c>
      <c r="BP123">
        <f t="shared" si="170"/>
        <v>0</v>
      </c>
      <c r="BQ123">
        <f t="shared" si="170"/>
        <v>0</v>
      </c>
      <c r="BR123">
        <f t="shared" si="170"/>
        <v>0</v>
      </c>
      <c r="BS123">
        <f t="shared" si="170"/>
        <v>0</v>
      </c>
      <c r="BT123">
        <f t="shared" si="170"/>
        <v>0</v>
      </c>
      <c r="BU123">
        <f t="shared" si="170"/>
        <v>0</v>
      </c>
    </row>
    <row r="124" spans="1:107" x14ac:dyDescent="0.25">
      <c r="A124" s="1" t="b">
        <v>0</v>
      </c>
      <c r="B124" s="2">
        <v>46169.651643518519</v>
      </c>
      <c r="C124" s="1" t="s">
        <v>747</v>
      </c>
      <c r="D124" s="1" t="s">
        <v>748</v>
      </c>
      <c r="E124">
        <f t="shared" si="165"/>
        <v>1</v>
      </c>
      <c r="F124">
        <f t="shared" si="165"/>
        <v>0</v>
      </c>
      <c r="G124">
        <f t="shared" si="165"/>
        <v>0</v>
      </c>
      <c r="H124">
        <f t="shared" si="165"/>
        <v>30</v>
      </c>
      <c r="I124">
        <f t="shared" si="165"/>
        <v>0</v>
      </c>
      <c r="J124">
        <f t="shared" si="165"/>
        <v>0</v>
      </c>
      <c r="K124">
        <f t="shared" si="165"/>
        <v>0</v>
      </c>
      <c r="L124">
        <f t="shared" si="97"/>
        <v>30</v>
      </c>
      <c r="N124" s="1" t="s">
        <v>320</v>
      </c>
      <c r="O124" s="1"/>
      <c r="P124" s="1"/>
      <c r="Q124" s="1"/>
      <c r="R124" s="1"/>
      <c r="S124" s="1"/>
      <c r="T124" s="1"/>
      <c r="W124" s="1" t="str">
        <f t="shared" ref="W124:AA124" si="178">IF(W$1=$V124, "True", "False")</f>
        <v>False</v>
      </c>
      <c r="X124" s="1" t="str">
        <f t="shared" si="178"/>
        <v>False</v>
      </c>
      <c r="Y124" s="1" t="str">
        <f t="shared" si="178"/>
        <v>False</v>
      </c>
      <c r="Z124" s="1" t="str">
        <f t="shared" si="178"/>
        <v>False</v>
      </c>
      <c r="AA124" s="1" t="str">
        <f t="shared" si="178"/>
        <v>False</v>
      </c>
      <c r="AC124">
        <f t="shared" si="167"/>
        <v>0</v>
      </c>
      <c r="AD124">
        <f t="shared" si="167"/>
        <v>0</v>
      </c>
      <c r="AE124">
        <f t="shared" si="167"/>
        <v>0</v>
      </c>
      <c r="AF124">
        <f t="shared" si="167"/>
        <v>0</v>
      </c>
      <c r="AG124">
        <f t="shared" si="167"/>
        <v>0</v>
      </c>
      <c r="AH124">
        <f t="shared" si="167"/>
        <v>0</v>
      </c>
      <c r="AI124" s="1">
        <f t="shared" si="100"/>
        <v>0</v>
      </c>
      <c r="AL124">
        <f t="shared" si="168"/>
        <v>0</v>
      </c>
      <c r="AM124">
        <f t="shared" si="168"/>
        <v>0</v>
      </c>
      <c r="AN124">
        <f t="shared" si="168"/>
        <v>0</v>
      </c>
      <c r="AO124">
        <f t="shared" si="168"/>
        <v>0</v>
      </c>
      <c r="AP124">
        <f t="shared" si="168"/>
        <v>0</v>
      </c>
      <c r="AQ124">
        <f t="shared" si="168"/>
        <v>0</v>
      </c>
      <c r="AR124">
        <f t="shared" si="168"/>
        <v>0</v>
      </c>
      <c r="AS124">
        <f t="shared" si="168"/>
        <v>0</v>
      </c>
      <c r="AV124" s="1">
        <f t="shared" si="108"/>
        <v>0</v>
      </c>
      <c r="AW124" s="1">
        <f t="shared" si="109"/>
        <v>0</v>
      </c>
      <c r="AX124" s="1">
        <f t="shared" si="110"/>
        <v>0</v>
      </c>
      <c r="BB124">
        <f t="shared" si="169"/>
        <v>0</v>
      </c>
      <c r="BC124">
        <f t="shared" si="169"/>
        <v>0</v>
      </c>
      <c r="BD124">
        <f t="shared" si="169"/>
        <v>0</v>
      </c>
      <c r="BE124">
        <f t="shared" si="169"/>
        <v>0</v>
      </c>
      <c r="BF124">
        <f t="shared" si="169"/>
        <v>0</v>
      </c>
      <c r="BG124">
        <f t="shared" si="169"/>
        <v>0</v>
      </c>
      <c r="BH124">
        <f t="shared" si="169"/>
        <v>0</v>
      </c>
      <c r="BI124">
        <f t="shared" si="169"/>
        <v>0</v>
      </c>
      <c r="BJ124">
        <f t="shared" si="169"/>
        <v>0</v>
      </c>
      <c r="BK124">
        <f t="shared" si="103"/>
        <v>0</v>
      </c>
      <c r="BO124">
        <f t="shared" si="170"/>
        <v>0</v>
      </c>
      <c r="BP124">
        <f t="shared" si="170"/>
        <v>0</v>
      </c>
      <c r="BQ124">
        <f t="shared" si="170"/>
        <v>0</v>
      </c>
      <c r="BR124">
        <f t="shared" si="170"/>
        <v>0</v>
      </c>
      <c r="BS124">
        <f t="shared" si="170"/>
        <v>0</v>
      </c>
      <c r="BT124">
        <f t="shared" si="170"/>
        <v>0</v>
      </c>
      <c r="BU124">
        <f t="shared" si="170"/>
        <v>0</v>
      </c>
    </row>
    <row r="125" spans="1:107" x14ac:dyDescent="0.25">
      <c r="A125" s="1" t="b">
        <v>1</v>
      </c>
      <c r="B125" s="2">
        <v>46169.784131944441</v>
      </c>
      <c r="C125" s="1" t="s">
        <v>749</v>
      </c>
      <c r="D125" s="1" t="s">
        <v>4</v>
      </c>
      <c r="E125">
        <f t="shared" si="165"/>
        <v>1</v>
      </c>
      <c r="F125">
        <f t="shared" si="165"/>
        <v>0</v>
      </c>
      <c r="G125">
        <f t="shared" si="165"/>
        <v>0</v>
      </c>
      <c r="H125">
        <f t="shared" si="165"/>
        <v>0</v>
      </c>
      <c r="I125">
        <f t="shared" si="165"/>
        <v>0</v>
      </c>
      <c r="J125">
        <f t="shared" si="165"/>
        <v>0</v>
      </c>
      <c r="K125">
        <f t="shared" si="165"/>
        <v>0</v>
      </c>
      <c r="L125">
        <f t="shared" si="97"/>
        <v>1</v>
      </c>
      <c r="N125" s="1" t="s">
        <v>325</v>
      </c>
      <c r="O125" s="1"/>
      <c r="P125" s="1"/>
      <c r="Q125" s="1"/>
      <c r="R125" s="1"/>
      <c r="S125" s="1"/>
      <c r="T125" s="1"/>
      <c r="W125" s="1" t="str">
        <f t="shared" ref="W125:AA125" si="179">IF(W$1=$V125, "True", "False")</f>
        <v>False</v>
      </c>
      <c r="X125" s="1" t="str">
        <f t="shared" si="179"/>
        <v>False</v>
      </c>
      <c r="Y125" s="1" t="str">
        <f t="shared" si="179"/>
        <v>False</v>
      </c>
      <c r="Z125" s="1" t="str">
        <f t="shared" si="179"/>
        <v>False</v>
      </c>
      <c r="AA125" s="1" t="str">
        <f t="shared" si="179"/>
        <v>False</v>
      </c>
      <c r="AB125" s="1" t="s">
        <v>27</v>
      </c>
      <c r="AC125">
        <f t="shared" si="167"/>
        <v>1</v>
      </c>
      <c r="AD125">
        <f t="shared" si="167"/>
        <v>0</v>
      </c>
      <c r="AE125">
        <f t="shared" si="167"/>
        <v>0</v>
      </c>
      <c r="AF125">
        <f t="shared" si="167"/>
        <v>0</v>
      </c>
      <c r="AG125">
        <f t="shared" si="167"/>
        <v>0</v>
      </c>
      <c r="AH125">
        <f t="shared" si="167"/>
        <v>0</v>
      </c>
      <c r="AI125" s="1">
        <f t="shared" si="100"/>
        <v>1</v>
      </c>
      <c r="AK125" s="1" t="s">
        <v>36</v>
      </c>
      <c r="AL125">
        <f t="shared" si="168"/>
        <v>0</v>
      </c>
      <c r="AM125">
        <f t="shared" si="168"/>
        <v>1</v>
      </c>
      <c r="AN125">
        <f t="shared" si="168"/>
        <v>0</v>
      </c>
      <c r="AO125">
        <f t="shared" si="168"/>
        <v>0</v>
      </c>
      <c r="AP125">
        <f t="shared" si="168"/>
        <v>0</v>
      </c>
      <c r="AQ125">
        <f t="shared" si="168"/>
        <v>0</v>
      </c>
      <c r="AR125">
        <f t="shared" si="168"/>
        <v>0</v>
      </c>
      <c r="AS125">
        <f t="shared" si="168"/>
        <v>0</v>
      </c>
      <c r="AU125" s="1" t="s">
        <v>47</v>
      </c>
      <c r="AV125" s="1">
        <f t="shared" si="108"/>
        <v>0</v>
      </c>
      <c r="AW125" s="1">
        <f t="shared" si="109"/>
        <v>0</v>
      </c>
      <c r="AX125" s="1">
        <f t="shared" si="110"/>
        <v>1</v>
      </c>
      <c r="AY125" s="1" t="s">
        <v>46</v>
      </c>
      <c r="BA125" s="1" t="s">
        <v>59</v>
      </c>
      <c r="BB125">
        <f t="shared" si="169"/>
        <v>0</v>
      </c>
      <c r="BC125">
        <f t="shared" si="169"/>
        <v>0</v>
      </c>
      <c r="BD125">
        <f t="shared" si="169"/>
        <v>0</v>
      </c>
      <c r="BE125">
        <f t="shared" si="169"/>
        <v>0</v>
      </c>
      <c r="BF125">
        <f t="shared" si="169"/>
        <v>0</v>
      </c>
      <c r="BG125">
        <f t="shared" si="169"/>
        <v>0</v>
      </c>
      <c r="BH125">
        <f t="shared" si="169"/>
        <v>0</v>
      </c>
      <c r="BI125">
        <f t="shared" si="169"/>
        <v>0</v>
      </c>
      <c r="BJ125">
        <f t="shared" si="169"/>
        <v>1</v>
      </c>
      <c r="BK125">
        <f t="shared" si="103"/>
        <v>1</v>
      </c>
      <c r="BM125" s="1" t="s">
        <v>229</v>
      </c>
      <c r="BN125" s="1" t="s">
        <v>472</v>
      </c>
      <c r="BO125">
        <f t="shared" si="170"/>
        <v>0</v>
      </c>
      <c r="BP125">
        <f t="shared" si="170"/>
        <v>0</v>
      </c>
      <c r="BQ125">
        <f t="shared" si="170"/>
        <v>0</v>
      </c>
      <c r="BR125">
        <f t="shared" si="170"/>
        <v>1</v>
      </c>
      <c r="BS125">
        <f t="shared" si="170"/>
        <v>1</v>
      </c>
      <c r="BT125">
        <f t="shared" si="170"/>
        <v>1</v>
      </c>
      <c r="BU125">
        <f t="shared" si="170"/>
        <v>1</v>
      </c>
      <c r="DC125" s="1" t="s">
        <v>177</v>
      </c>
    </row>
    <row r="126" spans="1:107" x14ac:dyDescent="0.25">
      <c r="A126" s="1" t="b">
        <v>1</v>
      </c>
      <c r="B126" s="2">
        <v>46170.076666666668</v>
      </c>
      <c r="C126" s="1" t="s">
        <v>750</v>
      </c>
      <c r="D126" s="1" t="s">
        <v>4</v>
      </c>
      <c r="E126">
        <f t="shared" si="165"/>
        <v>1</v>
      </c>
      <c r="F126">
        <f t="shared" si="165"/>
        <v>0</v>
      </c>
      <c r="G126">
        <f t="shared" si="165"/>
        <v>0</v>
      </c>
      <c r="H126">
        <f t="shared" si="165"/>
        <v>0</v>
      </c>
      <c r="I126">
        <f t="shared" si="165"/>
        <v>0</v>
      </c>
      <c r="J126">
        <f t="shared" si="165"/>
        <v>0</v>
      </c>
      <c r="K126">
        <f t="shared" si="165"/>
        <v>0</v>
      </c>
      <c r="L126">
        <f t="shared" si="97"/>
        <v>1</v>
      </c>
      <c r="N126" s="1" t="s">
        <v>325</v>
      </c>
      <c r="O126" s="1"/>
      <c r="P126" s="1"/>
      <c r="Q126" s="1"/>
      <c r="R126" s="1"/>
      <c r="S126" s="1"/>
      <c r="T126" s="1"/>
      <c r="W126" s="1" t="str">
        <f t="shared" ref="W126:AA126" si="180">IF(W$1=$V126, "True", "False")</f>
        <v>False</v>
      </c>
      <c r="X126" s="1" t="str">
        <f t="shared" si="180"/>
        <v>False</v>
      </c>
      <c r="Y126" s="1" t="str">
        <f t="shared" si="180"/>
        <v>False</v>
      </c>
      <c r="Z126" s="1" t="str">
        <f t="shared" si="180"/>
        <v>False</v>
      </c>
      <c r="AA126" s="1" t="str">
        <f t="shared" si="180"/>
        <v>False</v>
      </c>
      <c r="AB126" s="1" t="s">
        <v>354</v>
      </c>
      <c r="AC126">
        <f t="shared" si="167"/>
        <v>1</v>
      </c>
      <c r="AD126">
        <f t="shared" si="167"/>
        <v>0</v>
      </c>
      <c r="AE126">
        <f t="shared" si="167"/>
        <v>0</v>
      </c>
      <c r="AF126">
        <f t="shared" si="167"/>
        <v>0</v>
      </c>
      <c r="AG126">
        <f t="shared" si="167"/>
        <v>0</v>
      </c>
      <c r="AH126">
        <f t="shared" si="167"/>
        <v>1</v>
      </c>
      <c r="AI126" s="1">
        <f t="shared" si="100"/>
        <v>2</v>
      </c>
      <c r="AK126" s="1" t="s">
        <v>36</v>
      </c>
      <c r="AL126">
        <f t="shared" si="168"/>
        <v>0</v>
      </c>
      <c r="AM126">
        <f t="shared" si="168"/>
        <v>1</v>
      </c>
      <c r="AN126">
        <f t="shared" si="168"/>
        <v>0</v>
      </c>
      <c r="AO126">
        <f t="shared" si="168"/>
        <v>0</v>
      </c>
      <c r="AP126">
        <f t="shared" si="168"/>
        <v>0</v>
      </c>
      <c r="AQ126">
        <f t="shared" si="168"/>
        <v>0</v>
      </c>
      <c r="AR126">
        <f t="shared" si="168"/>
        <v>0</v>
      </c>
      <c r="AS126">
        <f t="shared" si="168"/>
        <v>0</v>
      </c>
      <c r="AU126" s="1" t="s">
        <v>45</v>
      </c>
      <c r="AV126" s="1">
        <f t="shared" si="108"/>
        <v>1</v>
      </c>
      <c r="AW126" s="1">
        <f t="shared" si="109"/>
        <v>0</v>
      </c>
      <c r="AX126" s="1">
        <f t="shared" si="110"/>
        <v>0</v>
      </c>
      <c r="AY126" s="1" t="s">
        <v>46</v>
      </c>
      <c r="BA126" s="1" t="s">
        <v>336</v>
      </c>
      <c r="BB126">
        <f t="shared" si="169"/>
        <v>0</v>
      </c>
      <c r="BC126">
        <f t="shared" si="169"/>
        <v>1</v>
      </c>
      <c r="BD126">
        <f t="shared" si="169"/>
        <v>1</v>
      </c>
      <c r="BE126">
        <f t="shared" si="169"/>
        <v>1</v>
      </c>
      <c r="BF126">
        <f t="shared" si="169"/>
        <v>0</v>
      </c>
      <c r="BG126">
        <f t="shared" si="169"/>
        <v>1</v>
      </c>
      <c r="BH126">
        <f t="shared" si="169"/>
        <v>0</v>
      </c>
      <c r="BI126">
        <f t="shared" si="169"/>
        <v>0</v>
      </c>
      <c r="BJ126">
        <f t="shared" si="169"/>
        <v>1</v>
      </c>
      <c r="BK126">
        <f t="shared" si="103"/>
        <v>5</v>
      </c>
      <c r="BM126" s="1" t="s">
        <v>229</v>
      </c>
      <c r="BN126" s="1" t="s">
        <v>69</v>
      </c>
      <c r="BO126">
        <f t="shared" si="170"/>
        <v>0</v>
      </c>
      <c r="BP126">
        <f t="shared" si="170"/>
        <v>0</v>
      </c>
      <c r="BQ126">
        <f t="shared" si="170"/>
        <v>0</v>
      </c>
      <c r="BR126">
        <f t="shared" si="170"/>
        <v>0</v>
      </c>
      <c r="BS126">
        <f t="shared" si="170"/>
        <v>0</v>
      </c>
      <c r="BT126">
        <f t="shared" si="170"/>
        <v>0</v>
      </c>
      <c r="BU126">
        <f t="shared" si="170"/>
        <v>1</v>
      </c>
      <c r="DC126" s="1" t="s">
        <v>235</v>
      </c>
    </row>
    <row r="127" spans="1:107" x14ac:dyDescent="0.25">
      <c r="A127" s="1" t="b">
        <v>0</v>
      </c>
      <c r="B127" s="2">
        <v>46170.117094907408</v>
      </c>
      <c r="C127" s="1" t="s">
        <v>751</v>
      </c>
      <c r="D127" s="1" t="s">
        <v>752</v>
      </c>
      <c r="E127">
        <f t="shared" si="165"/>
        <v>0</v>
      </c>
      <c r="F127">
        <f t="shared" si="165"/>
        <v>0</v>
      </c>
      <c r="G127">
        <f t="shared" si="165"/>
        <v>1</v>
      </c>
      <c r="H127">
        <f t="shared" si="165"/>
        <v>0</v>
      </c>
      <c r="I127">
        <f t="shared" si="165"/>
        <v>57</v>
      </c>
      <c r="J127">
        <f t="shared" si="165"/>
        <v>0</v>
      </c>
      <c r="K127">
        <f t="shared" si="165"/>
        <v>89</v>
      </c>
      <c r="L127">
        <f t="shared" si="97"/>
        <v>89</v>
      </c>
      <c r="N127" s="1" t="s">
        <v>269</v>
      </c>
      <c r="O127" s="1"/>
      <c r="P127" s="1"/>
      <c r="Q127" s="1"/>
      <c r="R127" s="1"/>
      <c r="S127" s="1"/>
      <c r="T127" s="1"/>
      <c r="W127" s="1" t="str">
        <f t="shared" ref="W127:AA127" si="181">IF(W$1=$V127, "True", "False")</f>
        <v>False</v>
      </c>
      <c r="X127" s="1" t="str">
        <f t="shared" si="181"/>
        <v>False</v>
      </c>
      <c r="Y127" s="1" t="str">
        <f t="shared" si="181"/>
        <v>False</v>
      </c>
      <c r="Z127" s="1" t="str">
        <f t="shared" si="181"/>
        <v>False</v>
      </c>
      <c r="AA127" s="1" t="str">
        <f t="shared" si="181"/>
        <v>False</v>
      </c>
      <c r="AB127" s="1" t="s">
        <v>30</v>
      </c>
      <c r="AC127">
        <f t="shared" si="167"/>
        <v>0</v>
      </c>
      <c r="AD127">
        <f t="shared" si="167"/>
        <v>0</v>
      </c>
      <c r="AE127">
        <f t="shared" si="167"/>
        <v>0</v>
      </c>
      <c r="AF127">
        <f t="shared" si="167"/>
        <v>1</v>
      </c>
      <c r="AG127">
        <f t="shared" si="167"/>
        <v>0</v>
      </c>
      <c r="AH127">
        <f t="shared" si="167"/>
        <v>0</v>
      </c>
      <c r="AI127" s="1">
        <f t="shared" si="100"/>
        <v>1</v>
      </c>
      <c r="AK127" s="1" t="s">
        <v>407</v>
      </c>
      <c r="AL127">
        <f t="shared" si="168"/>
        <v>1</v>
      </c>
      <c r="AM127">
        <f t="shared" si="168"/>
        <v>0</v>
      </c>
      <c r="AN127">
        <f t="shared" si="168"/>
        <v>1</v>
      </c>
      <c r="AO127">
        <f t="shared" si="168"/>
        <v>1</v>
      </c>
      <c r="AP127">
        <f t="shared" si="168"/>
        <v>0</v>
      </c>
      <c r="AQ127">
        <f t="shared" si="168"/>
        <v>0</v>
      </c>
      <c r="AR127">
        <f t="shared" si="168"/>
        <v>0</v>
      </c>
      <c r="AS127">
        <f t="shared" si="168"/>
        <v>0</v>
      </c>
      <c r="AU127" s="1" t="s">
        <v>45</v>
      </c>
      <c r="AV127" s="1">
        <f t="shared" si="108"/>
        <v>1</v>
      </c>
      <c r="AW127" s="1">
        <f t="shared" si="109"/>
        <v>0</v>
      </c>
      <c r="AX127" s="1">
        <f t="shared" si="110"/>
        <v>0</v>
      </c>
      <c r="AY127" s="1" t="s">
        <v>46</v>
      </c>
      <c r="BA127" s="1" t="s">
        <v>244</v>
      </c>
      <c r="BB127">
        <f t="shared" si="169"/>
        <v>1</v>
      </c>
      <c r="BC127">
        <f t="shared" si="169"/>
        <v>1</v>
      </c>
      <c r="BD127">
        <f t="shared" si="169"/>
        <v>1</v>
      </c>
      <c r="BE127">
        <f t="shared" si="169"/>
        <v>1</v>
      </c>
      <c r="BF127">
        <f t="shared" si="169"/>
        <v>1</v>
      </c>
      <c r="BG127">
        <f t="shared" si="169"/>
        <v>0</v>
      </c>
      <c r="BH127">
        <f t="shared" si="169"/>
        <v>1</v>
      </c>
      <c r="BI127">
        <f t="shared" si="169"/>
        <v>0</v>
      </c>
      <c r="BJ127">
        <f t="shared" si="169"/>
        <v>1</v>
      </c>
      <c r="BK127">
        <f t="shared" si="103"/>
        <v>7</v>
      </c>
      <c r="BM127" s="1" t="s">
        <v>163</v>
      </c>
      <c r="BN127" s="1" t="s">
        <v>753</v>
      </c>
      <c r="BO127">
        <f t="shared" si="170"/>
        <v>1</v>
      </c>
      <c r="BP127">
        <f t="shared" si="170"/>
        <v>0</v>
      </c>
      <c r="BQ127">
        <f t="shared" si="170"/>
        <v>1</v>
      </c>
      <c r="BR127">
        <f t="shared" si="170"/>
        <v>0</v>
      </c>
      <c r="BS127">
        <f t="shared" si="170"/>
        <v>0</v>
      </c>
      <c r="BT127">
        <f t="shared" si="170"/>
        <v>1</v>
      </c>
      <c r="BU127">
        <f t="shared" si="170"/>
        <v>1</v>
      </c>
    </row>
    <row r="128" spans="1:107" x14ac:dyDescent="0.25">
      <c r="A128" s="1" t="b">
        <v>0</v>
      </c>
      <c r="B128" s="2">
        <v>46170.276365740741</v>
      </c>
      <c r="C128" s="1" t="s">
        <v>754</v>
      </c>
      <c r="D128" s="1" t="s">
        <v>335</v>
      </c>
      <c r="E128">
        <f t="shared" si="165"/>
        <v>1</v>
      </c>
      <c r="F128">
        <f t="shared" si="165"/>
        <v>0</v>
      </c>
      <c r="G128">
        <f t="shared" si="165"/>
        <v>0</v>
      </c>
      <c r="H128">
        <f t="shared" si="165"/>
        <v>0</v>
      </c>
      <c r="I128">
        <f t="shared" si="165"/>
        <v>30</v>
      </c>
      <c r="J128">
        <f t="shared" si="165"/>
        <v>0</v>
      </c>
      <c r="K128">
        <f t="shared" si="165"/>
        <v>0</v>
      </c>
      <c r="L128">
        <f t="shared" si="97"/>
        <v>30</v>
      </c>
      <c r="N128" s="1" t="s">
        <v>241</v>
      </c>
      <c r="O128" s="1"/>
      <c r="P128" s="1"/>
      <c r="Q128" s="1"/>
      <c r="R128" s="1"/>
      <c r="S128" s="1"/>
      <c r="T128" s="1"/>
      <c r="W128" s="1" t="str">
        <f t="shared" ref="W128:AA128" si="182">IF(W$1=$V128, "True", "False")</f>
        <v>False</v>
      </c>
      <c r="X128" s="1" t="str">
        <f t="shared" si="182"/>
        <v>False</v>
      </c>
      <c r="Y128" s="1" t="str">
        <f t="shared" si="182"/>
        <v>False</v>
      </c>
      <c r="Z128" s="1" t="str">
        <f t="shared" si="182"/>
        <v>False</v>
      </c>
      <c r="AA128" s="1" t="str">
        <f t="shared" si="182"/>
        <v>False</v>
      </c>
      <c r="AC128">
        <f t="shared" si="167"/>
        <v>0</v>
      </c>
      <c r="AD128">
        <f t="shared" si="167"/>
        <v>0</v>
      </c>
      <c r="AE128">
        <f t="shared" si="167"/>
        <v>0</v>
      </c>
      <c r="AF128">
        <f t="shared" si="167"/>
        <v>0</v>
      </c>
      <c r="AG128">
        <f t="shared" si="167"/>
        <v>0</v>
      </c>
      <c r="AH128">
        <f t="shared" si="167"/>
        <v>0</v>
      </c>
      <c r="AI128" s="1">
        <f t="shared" si="100"/>
        <v>0</v>
      </c>
      <c r="AL128">
        <f t="shared" si="168"/>
        <v>0</v>
      </c>
      <c r="AM128">
        <f t="shared" si="168"/>
        <v>0</v>
      </c>
      <c r="AN128">
        <f t="shared" si="168"/>
        <v>0</v>
      </c>
      <c r="AO128">
        <f t="shared" si="168"/>
        <v>0</v>
      </c>
      <c r="AP128">
        <f t="shared" si="168"/>
        <v>0</v>
      </c>
      <c r="AQ128">
        <f t="shared" si="168"/>
        <v>0</v>
      </c>
      <c r="AR128">
        <f t="shared" si="168"/>
        <v>0</v>
      </c>
      <c r="AS128">
        <f t="shared" si="168"/>
        <v>0</v>
      </c>
      <c r="AV128" s="1">
        <f t="shared" si="108"/>
        <v>0</v>
      </c>
      <c r="AW128" s="1">
        <f t="shared" si="109"/>
        <v>0</v>
      </c>
      <c r="AX128" s="1">
        <f t="shared" si="110"/>
        <v>0</v>
      </c>
      <c r="BB128">
        <f t="shared" si="169"/>
        <v>0</v>
      </c>
      <c r="BC128">
        <f t="shared" si="169"/>
        <v>0</v>
      </c>
      <c r="BD128">
        <f t="shared" si="169"/>
        <v>0</v>
      </c>
      <c r="BE128">
        <f t="shared" si="169"/>
        <v>0</v>
      </c>
      <c r="BF128">
        <f t="shared" si="169"/>
        <v>0</v>
      </c>
      <c r="BG128">
        <f t="shared" si="169"/>
        <v>0</v>
      </c>
      <c r="BH128">
        <f t="shared" si="169"/>
        <v>0</v>
      </c>
      <c r="BI128">
        <f t="shared" si="169"/>
        <v>0</v>
      </c>
      <c r="BJ128">
        <f t="shared" si="169"/>
        <v>0</v>
      </c>
      <c r="BK128">
        <f t="shared" si="103"/>
        <v>0</v>
      </c>
      <c r="BO128">
        <f t="shared" si="170"/>
        <v>0</v>
      </c>
      <c r="BP128">
        <f t="shared" si="170"/>
        <v>0</v>
      </c>
      <c r="BQ128">
        <f t="shared" si="170"/>
        <v>0</v>
      </c>
      <c r="BR128">
        <f t="shared" si="170"/>
        <v>0</v>
      </c>
      <c r="BS128">
        <f t="shared" si="170"/>
        <v>0</v>
      </c>
      <c r="BT128">
        <f t="shared" si="170"/>
        <v>0</v>
      </c>
      <c r="BU128">
        <f t="shared" si="170"/>
        <v>0</v>
      </c>
    </row>
    <row r="129" spans="1:107" x14ac:dyDescent="0.25">
      <c r="A129" s="1" t="b">
        <v>1</v>
      </c>
      <c r="B129" s="2">
        <v>46170.460798611108</v>
      </c>
      <c r="C129" s="1" t="s">
        <v>755</v>
      </c>
      <c r="D129" s="1" t="s">
        <v>4</v>
      </c>
      <c r="E129">
        <f t="shared" si="165"/>
        <v>1</v>
      </c>
      <c r="F129">
        <f t="shared" si="165"/>
        <v>0</v>
      </c>
      <c r="G129">
        <f t="shared" si="165"/>
        <v>0</v>
      </c>
      <c r="H129">
        <f t="shared" si="165"/>
        <v>0</v>
      </c>
      <c r="I129">
        <f t="shared" si="165"/>
        <v>0</v>
      </c>
      <c r="J129">
        <f t="shared" si="165"/>
        <v>0</v>
      </c>
      <c r="K129">
        <f t="shared" si="165"/>
        <v>0</v>
      </c>
      <c r="L129">
        <f t="shared" si="97"/>
        <v>1</v>
      </c>
      <c r="N129" s="1" t="s">
        <v>325</v>
      </c>
      <c r="O129" s="1"/>
      <c r="P129" s="1"/>
      <c r="Q129" s="1"/>
      <c r="R129" s="1"/>
      <c r="S129" s="1"/>
      <c r="T129" s="1"/>
      <c r="V129" s="1" t="s">
        <v>22</v>
      </c>
      <c r="W129" s="1" t="str">
        <f t="shared" ref="W129:AA129" si="183">IF(W$1=$V129, "True", "False")</f>
        <v>False</v>
      </c>
      <c r="X129" s="1" t="str">
        <f t="shared" si="183"/>
        <v>True</v>
      </c>
      <c r="Y129" s="1" t="str">
        <f t="shared" si="183"/>
        <v>False</v>
      </c>
      <c r="Z129" s="1" t="str">
        <f t="shared" si="183"/>
        <v>False</v>
      </c>
      <c r="AA129" s="1" t="str">
        <f t="shared" si="183"/>
        <v>False</v>
      </c>
      <c r="AB129" s="1" t="s">
        <v>180</v>
      </c>
      <c r="AC129">
        <f t="shared" si="167"/>
        <v>0</v>
      </c>
      <c r="AD129">
        <f t="shared" si="167"/>
        <v>0</v>
      </c>
      <c r="AE129">
        <f t="shared" si="167"/>
        <v>0</v>
      </c>
      <c r="AF129">
        <f t="shared" si="167"/>
        <v>0</v>
      </c>
      <c r="AG129">
        <f t="shared" si="167"/>
        <v>0</v>
      </c>
      <c r="AH129">
        <f t="shared" si="167"/>
        <v>0</v>
      </c>
      <c r="AI129" s="1">
        <f t="shared" si="100"/>
        <v>0</v>
      </c>
      <c r="AJ129" s="1" t="s">
        <v>756</v>
      </c>
      <c r="AK129" s="1" t="s">
        <v>757</v>
      </c>
      <c r="AL129">
        <f t="shared" si="168"/>
        <v>0</v>
      </c>
      <c r="AM129">
        <f t="shared" si="168"/>
        <v>1</v>
      </c>
      <c r="AN129">
        <f t="shared" si="168"/>
        <v>0</v>
      </c>
      <c r="AO129">
        <f t="shared" si="168"/>
        <v>0</v>
      </c>
      <c r="AP129">
        <f t="shared" si="168"/>
        <v>1</v>
      </c>
      <c r="AQ129">
        <f t="shared" si="168"/>
        <v>0</v>
      </c>
      <c r="AR129">
        <f t="shared" si="168"/>
        <v>0</v>
      </c>
      <c r="AS129">
        <f t="shared" si="168"/>
        <v>1</v>
      </c>
      <c r="AU129" s="1" t="s">
        <v>45</v>
      </c>
      <c r="AV129" s="1">
        <f t="shared" si="108"/>
        <v>1</v>
      </c>
      <c r="AW129" s="1">
        <f t="shared" si="109"/>
        <v>0</v>
      </c>
      <c r="AX129" s="1">
        <f t="shared" si="110"/>
        <v>0</v>
      </c>
      <c r="AY129" s="1" t="s">
        <v>45</v>
      </c>
      <c r="AZ129" s="1" t="s">
        <v>46</v>
      </c>
      <c r="BA129" s="1" t="s">
        <v>416</v>
      </c>
      <c r="BB129">
        <f t="shared" si="169"/>
        <v>0</v>
      </c>
      <c r="BC129">
        <f t="shared" si="169"/>
        <v>1</v>
      </c>
      <c r="BD129">
        <f t="shared" si="169"/>
        <v>0</v>
      </c>
      <c r="BE129">
        <f t="shared" si="169"/>
        <v>1</v>
      </c>
      <c r="BF129">
        <f t="shared" si="169"/>
        <v>0</v>
      </c>
      <c r="BG129">
        <f t="shared" si="169"/>
        <v>1</v>
      </c>
      <c r="BH129">
        <f t="shared" si="169"/>
        <v>0</v>
      </c>
      <c r="BI129">
        <f t="shared" si="169"/>
        <v>0</v>
      </c>
      <c r="BJ129">
        <f t="shared" si="169"/>
        <v>1</v>
      </c>
      <c r="BK129">
        <f t="shared" si="103"/>
        <v>4</v>
      </c>
      <c r="BO129">
        <f t="shared" si="170"/>
        <v>0</v>
      </c>
      <c r="BP129">
        <f t="shared" si="170"/>
        <v>0</v>
      </c>
      <c r="BQ129">
        <f t="shared" si="170"/>
        <v>0</v>
      </c>
      <c r="BR129">
        <f t="shared" si="170"/>
        <v>0</v>
      </c>
      <c r="BS129">
        <f t="shared" si="170"/>
        <v>0</v>
      </c>
      <c r="BT129">
        <f t="shared" si="170"/>
        <v>0</v>
      </c>
      <c r="BU129">
        <f t="shared" si="170"/>
        <v>0</v>
      </c>
      <c r="DC129" s="1" t="s">
        <v>177</v>
      </c>
    </row>
    <row r="130" spans="1:107" x14ac:dyDescent="0.25">
      <c r="A130" s="1" t="b">
        <v>1</v>
      </c>
      <c r="B130" s="2">
        <v>46170.468182870369</v>
      </c>
      <c r="C130" s="1" t="s">
        <v>758</v>
      </c>
      <c r="D130" s="1" t="s">
        <v>4</v>
      </c>
      <c r="E130">
        <f t="shared" si="165"/>
        <v>1</v>
      </c>
      <c r="F130">
        <f t="shared" si="165"/>
        <v>0</v>
      </c>
      <c r="G130">
        <f t="shared" si="165"/>
        <v>0</v>
      </c>
      <c r="H130">
        <f t="shared" si="165"/>
        <v>0</v>
      </c>
      <c r="I130">
        <f t="shared" si="165"/>
        <v>0</v>
      </c>
      <c r="J130">
        <f t="shared" si="165"/>
        <v>0</v>
      </c>
      <c r="K130">
        <f t="shared" si="165"/>
        <v>0</v>
      </c>
      <c r="L130">
        <f t="shared" si="97"/>
        <v>1</v>
      </c>
      <c r="N130" s="1" t="s">
        <v>184</v>
      </c>
      <c r="O130" s="1"/>
      <c r="P130" s="1"/>
      <c r="Q130" s="1"/>
      <c r="R130" s="1"/>
      <c r="S130" s="1"/>
      <c r="T130" s="1"/>
      <c r="V130" s="1" t="s">
        <v>21</v>
      </c>
      <c r="W130" s="1" t="str">
        <f t="shared" ref="W130:AA130" si="184">IF(W$1=$V130, "True", "False")</f>
        <v>True</v>
      </c>
      <c r="X130" s="1" t="str">
        <f t="shared" si="184"/>
        <v>False</v>
      </c>
      <c r="Y130" s="1" t="str">
        <f t="shared" si="184"/>
        <v>False</v>
      </c>
      <c r="Z130" s="1" t="str">
        <f t="shared" si="184"/>
        <v>False</v>
      </c>
      <c r="AA130" s="1" t="str">
        <f t="shared" si="184"/>
        <v>False</v>
      </c>
      <c r="AC130">
        <f t="shared" si="167"/>
        <v>0</v>
      </c>
      <c r="AD130">
        <f t="shared" si="167"/>
        <v>0</v>
      </c>
      <c r="AE130">
        <f t="shared" si="167"/>
        <v>0</v>
      </c>
      <c r="AF130">
        <f t="shared" si="167"/>
        <v>0</v>
      </c>
      <c r="AG130">
        <f t="shared" si="167"/>
        <v>0</v>
      </c>
      <c r="AH130">
        <f t="shared" si="167"/>
        <v>0</v>
      </c>
      <c r="AI130" s="1">
        <f t="shared" si="100"/>
        <v>0</v>
      </c>
      <c r="AK130" s="1" t="s">
        <v>362</v>
      </c>
      <c r="AL130">
        <f t="shared" si="168"/>
        <v>1</v>
      </c>
      <c r="AM130">
        <f t="shared" si="168"/>
        <v>1</v>
      </c>
      <c r="AN130">
        <f t="shared" si="168"/>
        <v>1</v>
      </c>
      <c r="AO130">
        <f t="shared" si="168"/>
        <v>1</v>
      </c>
      <c r="AP130">
        <f t="shared" si="168"/>
        <v>1</v>
      </c>
      <c r="AQ130">
        <f t="shared" si="168"/>
        <v>1</v>
      </c>
      <c r="AR130">
        <f t="shared" si="168"/>
        <v>1</v>
      </c>
      <c r="AS130">
        <f t="shared" si="168"/>
        <v>1</v>
      </c>
      <c r="AU130" s="1" t="s">
        <v>45</v>
      </c>
      <c r="AV130" s="1">
        <f t="shared" si="108"/>
        <v>1</v>
      </c>
      <c r="AW130" s="1">
        <f t="shared" si="109"/>
        <v>0</v>
      </c>
      <c r="AX130" s="1">
        <f t="shared" si="110"/>
        <v>0</v>
      </c>
      <c r="AY130" s="1" t="s">
        <v>46</v>
      </c>
      <c r="BA130" s="1" t="s">
        <v>759</v>
      </c>
      <c r="BB130">
        <f t="shared" si="169"/>
        <v>0</v>
      </c>
      <c r="BC130">
        <f t="shared" si="169"/>
        <v>0</v>
      </c>
      <c r="BD130">
        <f t="shared" si="169"/>
        <v>1</v>
      </c>
      <c r="BE130">
        <f t="shared" si="169"/>
        <v>1</v>
      </c>
      <c r="BF130">
        <f t="shared" si="169"/>
        <v>1</v>
      </c>
      <c r="BG130">
        <f t="shared" si="169"/>
        <v>1</v>
      </c>
      <c r="BH130">
        <f t="shared" si="169"/>
        <v>0</v>
      </c>
      <c r="BI130">
        <f t="shared" si="169"/>
        <v>0</v>
      </c>
      <c r="BJ130">
        <f t="shared" si="169"/>
        <v>0</v>
      </c>
      <c r="BK130">
        <f t="shared" si="103"/>
        <v>4</v>
      </c>
      <c r="BM130" s="1" t="s">
        <v>229</v>
      </c>
      <c r="BN130" s="1" t="s">
        <v>401</v>
      </c>
      <c r="BO130">
        <f t="shared" si="170"/>
        <v>0</v>
      </c>
      <c r="BP130">
        <f t="shared" si="170"/>
        <v>0</v>
      </c>
      <c r="BQ130">
        <f t="shared" si="170"/>
        <v>0</v>
      </c>
      <c r="BR130">
        <f t="shared" si="170"/>
        <v>0</v>
      </c>
      <c r="BS130">
        <f t="shared" si="170"/>
        <v>0</v>
      </c>
      <c r="BT130">
        <f t="shared" si="170"/>
        <v>0</v>
      </c>
      <c r="BU130">
        <f t="shared" si="170"/>
        <v>0</v>
      </c>
      <c r="BV130" s="1" t="s">
        <v>760</v>
      </c>
      <c r="DC130" s="1" t="s">
        <v>177</v>
      </c>
    </row>
    <row r="131" spans="1:107" x14ac:dyDescent="0.25">
      <c r="A131" s="1" t="b">
        <v>1</v>
      </c>
      <c r="B131" s="2">
        <v>46170.468738425923</v>
      </c>
      <c r="C131" s="1" t="s">
        <v>761</v>
      </c>
      <c r="D131" s="1" t="s">
        <v>180</v>
      </c>
      <c r="E131">
        <f t="shared" si="165"/>
        <v>0</v>
      </c>
      <c r="F131">
        <f t="shared" si="165"/>
        <v>0</v>
      </c>
      <c r="G131">
        <f t="shared" si="165"/>
        <v>0</v>
      </c>
      <c r="H131">
        <f t="shared" si="165"/>
        <v>0</v>
      </c>
      <c r="I131">
        <f t="shared" si="165"/>
        <v>0</v>
      </c>
      <c r="J131">
        <f t="shared" si="165"/>
        <v>0</v>
      </c>
      <c r="K131">
        <f t="shared" si="165"/>
        <v>0</v>
      </c>
      <c r="L131">
        <f t="shared" si="97"/>
        <v>0</v>
      </c>
      <c r="M131" s="1" t="s">
        <v>762</v>
      </c>
      <c r="N131" s="1" t="s">
        <v>180</v>
      </c>
      <c r="O131" s="1"/>
      <c r="P131" s="1"/>
      <c r="Q131" s="1"/>
      <c r="R131" s="1"/>
      <c r="S131" s="1"/>
      <c r="T131" s="1"/>
      <c r="U131" s="1" t="s">
        <v>762</v>
      </c>
      <c r="W131" s="1" t="str">
        <f t="shared" ref="W131:AA131" si="185">IF(W$1=$V131, "True", "False")</f>
        <v>False</v>
      </c>
      <c r="X131" s="1" t="str">
        <f t="shared" si="185"/>
        <v>False</v>
      </c>
      <c r="Y131" s="1" t="str">
        <f t="shared" si="185"/>
        <v>False</v>
      </c>
      <c r="Z131" s="1" t="str">
        <f t="shared" si="185"/>
        <v>False</v>
      </c>
      <c r="AA131" s="1" t="str">
        <f t="shared" si="185"/>
        <v>False</v>
      </c>
      <c r="AB131" s="1" t="s">
        <v>180</v>
      </c>
      <c r="AC131">
        <f t="shared" si="167"/>
        <v>0</v>
      </c>
      <c r="AD131">
        <f t="shared" si="167"/>
        <v>0</v>
      </c>
      <c r="AE131">
        <f t="shared" si="167"/>
        <v>0</v>
      </c>
      <c r="AF131">
        <f t="shared" si="167"/>
        <v>0</v>
      </c>
      <c r="AG131">
        <f t="shared" si="167"/>
        <v>0</v>
      </c>
      <c r="AH131">
        <f t="shared" si="167"/>
        <v>0</v>
      </c>
      <c r="AI131" s="1">
        <f t="shared" si="100"/>
        <v>0</v>
      </c>
      <c r="AJ131" s="1" t="s">
        <v>762</v>
      </c>
      <c r="AL131">
        <f t="shared" si="168"/>
        <v>0</v>
      </c>
      <c r="AM131">
        <f t="shared" si="168"/>
        <v>0</v>
      </c>
      <c r="AN131">
        <f t="shared" si="168"/>
        <v>0</v>
      </c>
      <c r="AO131">
        <f t="shared" si="168"/>
        <v>0</v>
      </c>
      <c r="AP131">
        <f t="shared" si="168"/>
        <v>0</v>
      </c>
      <c r="AQ131">
        <f t="shared" si="168"/>
        <v>0</v>
      </c>
      <c r="AR131">
        <f t="shared" si="168"/>
        <v>0</v>
      </c>
      <c r="AS131">
        <f t="shared" si="168"/>
        <v>0</v>
      </c>
      <c r="AV131" s="1">
        <f t="shared" si="108"/>
        <v>0</v>
      </c>
      <c r="AW131" s="1">
        <f t="shared" si="109"/>
        <v>0</v>
      </c>
      <c r="AX131" s="1">
        <f t="shared" si="110"/>
        <v>0</v>
      </c>
      <c r="BA131" s="1" t="s">
        <v>180</v>
      </c>
      <c r="BB131">
        <f t="shared" si="169"/>
        <v>0</v>
      </c>
      <c r="BC131">
        <f t="shared" si="169"/>
        <v>0</v>
      </c>
      <c r="BD131">
        <f t="shared" si="169"/>
        <v>0</v>
      </c>
      <c r="BE131">
        <f t="shared" si="169"/>
        <v>0</v>
      </c>
      <c r="BF131">
        <f t="shared" si="169"/>
        <v>0</v>
      </c>
      <c r="BG131">
        <f t="shared" si="169"/>
        <v>0</v>
      </c>
      <c r="BH131">
        <f t="shared" si="169"/>
        <v>0</v>
      </c>
      <c r="BI131">
        <f t="shared" si="169"/>
        <v>0</v>
      </c>
      <c r="BJ131">
        <f t="shared" si="169"/>
        <v>0</v>
      </c>
      <c r="BK131">
        <f t="shared" si="103"/>
        <v>0</v>
      </c>
      <c r="BL131" s="1" t="s">
        <v>762</v>
      </c>
      <c r="BO131">
        <f t="shared" si="170"/>
        <v>0</v>
      </c>
      <c r="BP131">
        <f t="shared" si="170"/>
        <v>0</v>
      </c>
      <c r="BQ131">
        <f t="shared" si="170"/>
        <v>0</v>
      </c>
      <c r="BR131">
        <f t="shared" si="170"/>
        <v>0</v>
      </c>
      <c r="BS131">
        <f t="shared" si="170"/>
        <v>0</v>
      </c>
      <c r="BT131">
        <f t="shared" si="170"/>
        <v>0</v>
      </c>
      <c r="BU131">
        <f t="shared" si="170"/>
        <v>0</v>
      </c>
      <c r="DC131" s="1" t="s">
        <v>177</v>
      </c>
    </row>
    <row r="132" spans="1:107" x14ac:dyDescent="0.25">
      <c r="A132" s="1" t="b">
        <v>1</v>
      </c>
      <c r="B132" s="2">
        <v>46170.474641203706</v>
      </c>
      <c r="C132" s="1" t="s">
        <v>763</v>
      </c>
      <c r="D132" s="1" t="s">
        <v>204</v>
      </c>
      <c r="E132">
        <f t="shared" ref="E132:K144" si="186">IF(ISNUMBER(SEARCH(E$1,$D132)), SEARCH(E$1,$D132), 0)</f>
        <v>1</v>
      </c>
      <c r="F132">
        <f t="shared" si="186"/>
        <v>30</v>
      </c>
      <c r="G132">
        <f t="shared" si="186"/>
        <v>0</v>
      </c>
      <c r="H132">
        <f t="shared" si="186"/>
        <v>0</v>
      </c>
      <c r="I132">
        <f t="shared" si="186"/>
        <v>0</v>
      </c>
      <c r="J132">
        <f t="shared" si="186"/>
        <v>0</v>
      </c>
      <c r="K132">
        <f t="shared" si="186"/>
        <v>0</v>
      </c>
      <c r="L132">
        <f t="shared" ref="L132:L144" si="187">(MAX(E132:K132))</f>
        <v>30</v>
      </c>
      <c r="N132" s="1" t="s">
        <v>237</v>
      </c>
      <c r="O132" s="1"/>
      <c r="P132" s="1"/>
      <c r="Q132" s="1"/>
      <c r="R132" s="1"/>
      <c r="S132" s="1"/>
      <c r="T132" s="1"/>
      <c r="W132" s="1" t="str">
        <f t="shared" ref="W132:AA132" si="188">IF(W$1=$V132, "True", "False")</f>
        <v>False</v>
      </c>
      <c r="X132" s="1" t="str">
        <f t="shared" si="188"/>
        <v>False</v>
      </c>
      <c r="Y132" s="1" t="str">
        <f t="shared" si="188"/>
        <v>False</v>
      </c>
      <c r="Z132" s="1" t="str">
        <f t="shared" si="188"/>
        <v>False</v>
      </c>
      <c r="AA132" s="1" t="str">
        <f t="shared" si="188"/>
        <v>False</v>
      </c>
      <c r="AB132" s="1" t="s">
        <v>27</v>
      </c>
      <c r="AC132">
        <f t="shared" ref="AC132:AH144" si="189">IF(ISNUMBER(SEARCH(AC$1,$AB132)), 1, 0)</f>
        <v>1</v>
      </c>
      <c r="AD132">
        <f t="shared" si="189"/>
        <v>0</v>
      </c>
      <c r="AE132">
        <f t="shared" si="189"/>
        <v>0</v>
      </c>
      <c r="AF132">
        <f t="shared" si="189"/>
        <v>0</v>
      </c>
      <c r="AG132">
        <f t="shared" si="189"/>
        <v>0</v>
      </c>
      <c r="AH132">
        <f t="shared" si="189"/>
        <v>0</v>
      </c>
      <c r="AI132" s="1">
        <f t="shared" ref="AI132:AI144" si="190">SUM(AC132:AH132)</f>
        <v>1</v>
      </c>
      <c r="AK132" s="1" t="s">
        <v>343</v>
      </c>
      <c r="AL132">
        <f t="shared" ref="AL132:AS144" si="191">IF(ISNUMBER(SEARCH(AL$1,$AK132)), 1, 0)</f>
        <v>0</v>
      </c>
      <c r="AM132">
        <f t="shared" si="191"/>
        <v>1</v>
      </c>
      <c r="AN132">
        <f t="shared" si="191"/>
        <v>1</v>
      </c>
      <c r="AO132">
        <f t="shared" si="191"/>
        <v>1</v>
      </c>
      <c r="AP132">
        <f t="shared" si="191"/>
        <v>0</v>
      </c>
      <c r="AQ132">
        <f t="shared" si="191"/>
        <v>0</v>
      </c>
      <c r="AR132">
        <f t="shared" si="191"/>
        <v>0</v>
      </c>
      <c r="AS132">
        <f t="shared" si="191"/>
        <v>0</v>
      </c>
      <c r="AU132" s="1" t="s">
        <v>45</v>
      </c>
      <c r="AV132" s="1">
        <f t="shared" si="108"/>
        <v>1</v>
      </c>
      <c r="AW132" s="1">
        <f t="shared" si="109"/>
        <v>0</v>
      </c>
      <c r="AX132" s="1">
        <f t="shared" si="110"/>
        <v>0</v>
      </c>
      <c r="AY132" s="1" t="s">
        <v>46</v>
      </c>
      <c r="BA132" s="1" t="s">
        <v>454</v>
      </c>
      <c r="BB132">
        <f t="shared" ref="BB132:BJ144" si="192">IF(ISNUMBER(SEARCH(BB$1,$BA132)), 1, 0)</f>
        <v>0</v>
      </c>
      <c r="BC132">
        <f t="shared" si="192"/>
        <v>0</v>
      </c>
      <c r="BD132">
        <f t="shared" si="192"/>
        <v>0</v>
      </c>
      <c r="BE132">
        <f t="shared" si="192"/>
        <v>0</v>
      </c>
      <c r="BF132">
        <f t="shared" si="192"/>
        <v>1</v>
      </c>
      <c r="BG132">
        <f t="shared" si="192"/>
        <v>1</v>
      </c>
      <c r="BH132">
        <f t="shared" si="192"/>
        <v>0</v>
      </c>
      <c r="BI132">
        <f t="shared" si="192"/>
        <v>0</v>
      </c>
      <c r="BJ132">
        <f t="shared" si="192"/>
        <v>1</v>
      </c>
      <c r="BK132">
        <f t="shared" ref="BK132:BK144" si="193">SUM(BB132:BJ132)</f>
        <v>3</v>
      </c>
      <c r="BM132" s="1" t="s">
        <v>229</v>
      </c>
      <c r="BN132" s="1" t="s">
        <v>66</v>
      </c>
      <c r="BO132">
        <f t="shared" ref="BO132:BU144" si="194">IF(ISNUMBER(SEARCH(BO$1,$BN132)), 1, 0)</f>
        <v>0</v>
      </c>
      <c r="BP132">
        <f t="shared" si="194"/>
        <v>0</v>
      </c>
      <c r="BQ132">
        <f t="shared" si="194"/>
        <v>0</v>
      </c>
      <c r="BR132">
        <f t="shared" si="194"/>
        <v>1</v>
      </c>
      <c r="BS132">
        <f t="shared" si="194"/>
        <v>0</v>
      </c>
      <c r="BT132">
        <f t="shared" si="194"/>
        <v>0</v>
      </c>
      <c r="BU132">
        <f t="shared" si="194"/>
        <v>0</v>
      </c>
      <c r="CX132" s="1" t="s">
        <v>617</v>
      </c>
      <c r="CZ132" s="1" t="s">
        <v>613</v>
      </c>
      <c r="DC132" s="1" t="s">
        <v>235</v>
      </c>
    </row>
    <row r="133" spans="1:107" x14ac:dyDescent="0.25">
      <c r="A133" s="1" t="b">
        <v>0</v>
      </c>
      <c r="B133" s="2">
        <v>46170.840462962966</v>
      </c>
      <c r="C133" s="1" t="s">
        <v>764</v>
      </c>
      <c r="D133" s="1" t="s">
        <v>5</v>
      </c>
      <c r="E133">
        <f t="shared" si="186"/>
        <v>0</v>
      </c>
      <c r="F133">
        <f t="shared" si="186"/>
        <v>1</v>
      </c>
      <c r="G133">
        <f t="shared" si="186"/>
        <v>0</v>
      </c>
      <c r="H133">
        <f t="shared" si="186"/>
        <v>0</v>
      </c>
      <c r="I133">
        <f t="shared" si="186"/>
        <v>0</v>
      </c>
      <c r="J133">
        <f t="shared" si="186"/>
        <v>0</v>
      </c>
      <c r="K133">
        <f t="shared" si="186"/>
        <v>0</v>
      </c>
      <c r="L133">
        <f t="shared" si="187"/>
        <v>1</v>
      </c>
      <c r="N133" s="1" t="s">
        <v>736</v>
      </c>
      <c r="O133" s="1"/>
      <c r="P133" s="1"/>
      <c r="Q133" s="1"/>
      <c r="R133" s="1"/>
      <c r="S133" s="1"/>
      <c r="T133" s="1"/>
      <c r="W133" s="1" t="str">
        <f t="shared" ref="W133:AA133" si="195">IF(W$1=$V133, "True", "False")</f>
        <v>False</v>
      </c>
      <c r="X133" s="1" t="str">
        <f t="shared" si="195"/>
        <v>False</v>
      </c>
      <c r="Y133" s="1" t="str">
        <f t="shared" si="195"/>
        <v>False</v>
      </c>
      <c r="Z133" s="1" t="str">
        <f t="shared" si="195"/>
        <v>False</v>
      </c>
      <c r="AA133" s="1" t="str">
        <f t="shared" si="195"/>
        <v>False</v>
      </c>
      <c r="AC133">
        <f t="shared" si="189"/>
        <v>0</v>
      </c>
      <c r="AD133">
        <f t="shared" si="189"/>
        <v>0</v>
      </c>
      <c r="AE133">
        <f t="shared" si="189"/>
        <v>0</v>
      </c>
      <c r="AF133">
        <f t="shared" si="189"/>
        <v>0</v>
      </c>
      <c r="AG133">
        <f t="shared" si="189"/>
        <v>0</v>
      </c>
      <c r="AH133">
        <f t="shared" si="189"/>
        <v>0</v>
      </c>
      <c r="AI133" s="1">
        <f t="shared" si="190"/>
        <v>0</v>
      </c>
      <c r="AL133">
        <f t="shared" si="191"/>
        <v>0</v>
      </c>
      <c r="AM133">
        <f t="shared" si="191"/>
        <v>0</v>
      </c>
      <c r="AN133">
        <f t="shared" si="191"/>
        <v>0</v>
      </c>
      <c r="AO133">
        <f t="shared" si="191"/>
        <v>0</v>
      </c>
      <c r="AP133">
        <f t="shared" si="191"/>
        <v>0</v>
      </c>
      <c r="AQ133">
        <f t="shared" si="191"/>
        <v>0</v>
      </c>
      <c r="AR133">
        <f t="shared" si="191"/>
        <v>0</v>
      </c>
      <c r="AS133">
        <f t="shared" si="191"/>
        <v>0</v>
      </c>
      <c r="AV133" s="1">
        <f t="shared" si="108"/>
        <v>0</v>
      </c>
      <c r="AW133" s="1">
        <f t="shared" si="109"/>
        <v>0</v>
      </c>
      <c r="AX133" s="1">
        <f t="shared" si="110"/>
        <v>0</v>
      </c>
      <c r="BB133">
        <f t="shared" si="192"/>
        <v>0</v>
      </c>
      <c r="BC133">
        <f t="shared" si="192"/>
        <v>0</v>
      </c>
      <c r="BD133">
        <f t="shared" si="192"/>
        <v>0</v>
      </c>
      <c r="BE133">
        <f t="shared" si="192"/>
        <v>0</v>
      </c>
      <c r="BF133">
        <f t="shared" si="192"/>
        <v>0</v>
      </c>
      <c r="BG133">
        <f t="shared" si="192"/>
        <v>0</v>
      </c>
      <c r="BH133">
        <f t="shared" si="192"/>
        <v>0</v>
      </c>
      <c r="BI133">
        <f t="shared" si="192"/>
        <v>0</v>
      </c>
      <c r="BJ133">
        <f t="shared" si="192"/>
        <v>0</v>
      </c>
      <c r="BK133">
        <f t="shared" si="193"/>
        <v>0</v>
      </c>
      <c r="BO133">
        <f t="shared" si="194"/>
        <v>0</v>
      </c>
      <c r="BP133">
        <f t="shared" si="194"/>
        <v>0</v>
      </c>
      <c r="BQ133">
        <f t="shared" si="194"/>
        <v>0</v>
      </c>
      <c r="BR133">
        <f t="shared" si="194"/>
        <v>0</v>
      </c>
      <c r="BS133">
        <f t="shared" si="194"/>
        <v>0</v>
      </c>
      <c r="BT133">
        <f t="shared" si="194"/>
        <v>0</v>
      </c>
      <c r="BU133">
        <f t="shared" si="194"/>
        <v>0</v>
      </c>
    </row>
    <row r="134" spans="1:107" x14ac:dyDescent="0.25">
      <c r="A134" s="1" t="b">
        <v>1</v>
      </c>
      <c r="B134" s="2">
        <v>46171.373171296298</v>
      </c>
      <c r="C134" s="1" t="s">
        <v>765</v>
      </c>
      <c r="D134" s="1" t="s">
        <v>436</v>
      </c>
      <c r="E134">
        <f t="shared" si="186"/>
        <v>1</v>
      </c>
      <c r="F134">
        <f t="shared" si="186"/>
        <v>30</v>
      </c>
      <c r="G134">
        <f t="shared" si="186"/>
        <v>0</v>
      </c>
      <c r="H134">
        <f t="shared" si="186"/>
        <v>0</v>
      </c>
      <c r="I134">
        <f t="shared" si="186"/>
        <v>105</v>
      </c>
      <c r="J134">
        <f t="shared" si="186"/>
        <v>0</v>
      </c>
      <c r="K134">
        <f t="shared" si="186"/>
        <v>0</v>
      </c>
      <c r="L134">
        <f t="shared" si="187"/>
        <v>105</v>
      </c>
      <c r="N134" s="1" t="s">
        <v>325</v>
      </c>
      <c r="O134" s="1"/>
      <c r="P134" s="1"/>
      <c r="Q134" s="1"/>
      <c r="R134" s="1"/>
      <c r="S134" s="1"/>
      <c r="T134" s="1"/>
      <c r="V134" s="1" t="s">
        <v>24</v>
      </c>
      <c r="W134" s="1" t="str">
        <f t="shared" ref="W134:AA134" si="196">IF(W$1=$V134, "True", "False")</f>
        <v>False</v>
      </c>
      <c r="X134" s="1" t="str">
        <f t="shared" si="196"/>
        <v>False</v>
      </c>
      <c r="Y134" s="1" t="str">
        <f t="shared" si="196"/>
        <v>False</v>
      </c>
      <c r="Z134" s="1" t="str">
        <f t="shared" si="196"/>
        <v>True</v>
      </c>
      <c r="AA134" s="1" t="str">
        <f t="shared" si="196"/>
        <v>False</v>
      </c>
      <c r="AB134" s="1" t="s">
        <v>308</v>
      </c>
      <c r="AC134">
        <f t="shared" si="189"/>
        <v>1</v>
      </c>
      <c r="AD134">
        <f t="shared" si="189"/>
        <v>0</v>
      </c>
      <c r="AE134">
        <f t="shared" si="189"/>
        <v>0</v>
      </c>
      <c r="AF134">
        <f t="shared" si="189"/>
        <v>0</v>
      </c>
      <c r="AG134">
        <f t="shared" si="189"/>
        <v>0</v>
      </c>
      <c r="AH134">
        <f t="shared" si="189"/>
        <v>0</v>
      </c>
      <c r="AI134" s="1">
        <f t="shared" si="190"/>
        <v>1</v>
      </c>
      <c r="AJ134" s="1" t="s">
        <v>766</v>
      </c>
      <c r="AK134" s="1" t="s">
        <v>343</v>
      </c>
      <c r="AL134">
        <f t="shared" si="191"/>
        <v>0</v>
      </c>
      <c r="AM134">
        <f t="shared" si="191"/>
        <v>1</v>
      </c>
      <c r="AN134">
        <f t="shared" si="191"/>
        <v>1</v>
      </c>
      <c r="AO134">
        <f t="shared" si="191"/>
        <v>1</v>
      </c>
      <c r="AP134">
        <f t="shared" si="191"/>
        <v>0</v>
      </c>
      <c r="AQ134">
        <f t="shared" si="191"/>
        <v>0</v>
      </c>
      <c r="AR134">
        <f t="shared" si="191"/>
        <v>0</v>
      </c>
      <c r="AS134">
        <f t="shared" si="191"/>
        <v>0</v>
      </c>
      <c r="AU134" s="1" t="s">
        <v>45</v>
      </c>
      <c r="AV134" s="1">
        <f t="shared" si="108"/>
        <v>1</v>
      </c>
      <c r="AW134" s="1">
        <f t="shared" si="109"/>
        <v>0</v>
      </c>
      <c r="AX134" s="1">
        <f t="shared" si="110"/>
        <v>0</v>
      </c>
      <c r="AY134" s="1" t="s">
        <v>46</v>
      </c>
      <c r="BA134" s="1" t="s">
        <v>416</v>
      </c>
      <c r="BB134">
        <f t="shared" si="192"/>
        <v>0</v>
      </c>
      <c r="BC134">
        <f t="shared" si="192"/>
        <v>1</v>
      </c>
      <c r="BD134">
        <f t="shared" si="192"/>
        <v>0</v>
      </c>
      <c r="BE134">
        <f t="shared" si="192"/>
        <v>1</v>
      </c>
      <c r="BF134">
        <f t="shared" si="192"/>
        <v>0</v>
      </c>
      <c r="BG134">
        <f t="shared" si="192"/>
        <v>1</v>
      </c>
      <c r="BH134">
        <f t="shared" si="192"/>
        <v>0</v>
      </c>
      <c r="BI134">
        <f t="shared" si="192"/>
        <v>0</v>
      </c>
      <c r="BJ134">
        <f t="shared" si="192"/>
        <v>1</v>
      </c>
      <c r="BK134">
        <f t="shared" si="193"/>
        <v>4</v>
      </c>
      <c r="BM134" s="1" t="s">
        <v>229</v>
      </c>
      <c r="BN134" s="1" t="s">
        <v>767</v>
      </c>
      <c r="BO134">
        <f t="shared" si="194"/>
        <v>0</v>
      </c>
      <c r="BP134">
        <f t="shared" si="194"/>
        <v>1</v>
      </c>
      <c r="BQ134">
        <f t="shared" si="194"/>
        <v>0</v>
      </c>
      <c r="BR134">
        <f t="shared" si="194"/>
        <v>1</v>
      </c>
      <c r="BS134">
        <f t="shared" si="194"/>
        <v>0</v>
      </c>
      <c r="BT134">
        <f t="shared" si="194"/>
        <v>1</v>
      </c>
      <c r="BU134">
        <f t="shared" si="194"/>
        <v>0</v>
      </c>
      <c r="CH134" s="1" t="s">
        <v>768</v>
      </c>
      <c r="CI134" s="1" t="s">
        <v>769</v>
      </c>
      <c r="CJ134" s="1" t="s">
        <v>546</v>
      </c>
      <c r="CL134" s="1" t="s">
        <v>598</v>
      </c>
      <c r="CX134" s="1" t="s">
        <v>531</v>
      </c>
      <c r="CZ134" s="1" t="s">
        <v>770</v>
      </c>
      <c r="DB134" s="1" t="s">
        <v>771</v>
      </c>
      <c r="DC134" s="1" t="s">
        <v>177</v>
      </c>
    </row>
    <row r="135" spans="1:107" x14ac:dyDescent="0.25">
      <c r="A135" s="1" t="b">
        <v>1</v>
      </c>
      <c r="B135" s="2">
        <v>46171.379513888889</v>
      </c>
      <c r="C135" s="1" t="s">
        <v>772</v>
      </c>
      <c r="D135" s="1" t="s">
        <v>773</v>
      </c>
      <c r="E135">
        <f t="shared" si="186"/>
        <v>0</v>
      </c>
      <c r="F135">
        <f t="shared" si="186"/>
        <v>1</v>
      </c>
      <c r="G135">
        <f t="shared" si="186"/>
        <v>76</v>
      </c>
      <c r="H135">
        <f t="shared" si="186"/>
        <v>0</v>
      </c>
      <c r="I135">
        <f t="shared" si="186"/>
        <v>0</v>
      </c>
      <c r="J135">
        <f t="shared" si="186"/>
        <v>132</v>
      </c>
      <c r="K135">
        <f t="shared" si="186"/>
        <v>0</v>
      </c>
      <c r="L135">
        <f t="shared" si="187"/>
        <v>132</v>
      </c>
      <c r="N135" s="1" t="s">
        <v>241</v>
      </c>
      <c r="O135" s="1"/>
      <c r="P135" s="1"/>
      <c r="Q135" s="1"/>
      <c r="R135" s="1"/>
      <c r="S135" s="1"/>
      <c r="T135" s="1"/>
      <c r="V135" s="1" t="s">
        <v>23</v>
      </c>
      <c r="W135" s="1" t="str">
        <f t="shared" ref="W135:AA135" si="197">IF(W$1=$V135, "True", "False")</f>
        <v>False</v>
      </c>
      <c r="X135" s="1" t="str">
        <f t="shared" si="197"/>
        <v>False</v>
      </c>
      <c r="Y135" s="1" t="str">
        <f t="shared" si="197"/>
        <v>True</v>
      </c>
      <c r="Z135" s="1" t="str">
        <f t="shared" si="197"/>
        <v>False</v>
      </c>
      <c r="AA135" s="1" t="str">
        <f t="shared" si="197"/>
        <v>False</v>
      </c>
      <c r="AB135" s="1" t="s">
        <v>27</v>
      </c>
      <c r="AC135">
        <f t="shared" si="189"/>
        <v>1</v>
      </c>
      <c r="AD135">
        <f t="shared" si="189"/>
        <v>0</v>
      </c>
      <c r="AE135">
        <f t="shared" si="189"/>
        <v>0</v>
      </c>
      <c r="AF135">
        <f t="shared" si="189"/>
        <v>0</v>
      </c>
      <c r="AG135">
        <f t="shared" si="189"/>
        <v>0</v>
      </c>
      <c r="AH135">
        <f t="shared" si="189"/>
        <v>0</v>
      </c>
      <c r="AI135" s="1">
        <f t="shared" si="190"/>
        <v>1</v>
      </c>
      <c r="AK135" s="1" t="s">
        <v>467</v>
      </c>
      <c r="AL135">
        <f t="shared" si="191"/>
        <v>0</v>
      </c>
      <c r="AM135">
        <f t="shared" si="191"/>
        <v>1</v>
      </c>
      <c r="AN135">
        <f t="shared" si="191"/>
        <v>0</v>
      </c>
      <c r="AO135">
        <f t="shared" si="191"/>
        <v>1</v>
      </c>
      <c r="AP135">
        <f t="shared" si="191"/>
        <v>0</v>
      </c>
      <c r="AQ135">
        <f t="shared" si="191"/>
        <v>1</v>
      </c>
      <c r="AR135">
        <f t="shared" si="191"/>
        <v>0</v>
      </c>
      <c r="AS135">
        <f t="shared" si="191"/>
        <v>0</v>
      </c>
      <c r="AU135" s="1" t="s">
        <v>46</v>
      </c>
      <c r="AV135" s="1">
        <f t="shared" ref="AV135:AV144" si="198">IF($AU135="No",1,0)</f>
        <v>0</v>
      </c>
      <c r="AW135" s="1">
        <f t="shared" ref="AW135:AW144" si="199">IF($AU135="Yes",1,0)</f>
        <v>1</v>
      </c>
      <c r="AX135" s="1">
        <f t="shared" ref="AX135:AX144" si="200">IF($AU135="Unsure",1,0)</f>
        <v>0</v>
      </c>
      <c r="AY135" s="1" t="s">
        <v>46</v>
      </c>
      <c r="BA135" s="1" t="s">
        <v>774</v>
      </c>
      <c r="BB135">
        <f t="shared" si="192"/>
        <v>0</v>
      </c>
      <c r="BC135">
        <f t="shared" si="192"/>
        <v>0</v>
      </c>
      <c r="BD135">
        <f t="shared" si="192"/>
        <v>1</v>
      </c>
      <c r="BE135">
        <f t="shared" si="192"/>
        <v>1</v>
      </c>
      <c r="BF135">
        <f t="shared" si="192"/>
        <v>0</v>
      </c>
      <c r="BG135">
        <f t="shared" si="192"/>
        <v>0</v>
      </c>
      <c r="BH135">
        <f t="shared" si="192"/>
        <v>1</v>
      </c>
      <c r="BI135">
        <f t="shared" si="192"/>
        <v>0</v>
      </c>
      <c r="BJ135">
        <f t="shared" si="192"/>
        <v>0</v>
      </c>
      <c r="BK135">
        <f t="shared" si="193"/>
        <v>3</v>
      </c>
      <c r="BM135" s="1" t="s">
        <v>229</v>
      </c>
      <c r="BN135" s="1" t="s">
        <v>723</v>
      </c>
      <c r="BO135">
        <f t="shared" si="194"/>
        <v>0</v>
      </c>
      <c r="BP135">
        <f t="shared" si="194"/>
        <v>1</v>
      </c>
      <c r="BQ135">
        <f t="shared" si="194"/>
        <v>0</v>
      </c>
      <c r="BR135">
        <f t="shared" si="194"/>
        <v>1</v>
      </c>
      <c r="BS135">
        <f t="shared" si="194"/>
        <v>0</v>
      </c>
      <c r="BT135">
        <f t="shared" si="194"/>
        <v>0</v>
      </c>
      <c r="BU135">
        <f t="shared" si="194"/>
        <v>0</v>
      </c>
      <c r="BW135" s="1" t="s">
        <v>166</v>
      </c>
      <c r="BZ135" s="1" t="s">
        <v>462</v>
      </c>
      <c r="CR135" s="1" t="s">
        <v>247</v>
      </c>
      <c r="CT135" s="1" t="s">
        <v>775</v>
      </c>
      <c r="CU135" s="1" t="s">
        <v>247</v>
      </c>
      <c r="CX135" s="1" t="s">
        <v>776</v>
      </c>
      <c r="CY135" s="1" t="s">
        <v>777</v>
      </c>
      <c r="CZ135" s="1" t="s">
        <v>247</v>
      </c>
      <c r="DC135" s="1" t="s">
        <v>177</v>
      </c>
    </row>
    <row r="136" spans="1:107" x14ac:dyDescent="0.25">
      <c r="A136" s="1" t="b">
        <v>1</v>
      </c>
      <c r="B136" s="2">
        <v>46171.795347222222</v>
      </c>
      <c r="C136" s="1" t="s">
        <v>778</v>
      </c>
      <c r="D136" s="1" t="s">
        <v>4</v>
      </c>
      <c r="E136">
        <f t="shared" si="186"/>
        <v>1</v>
      </c>
      <c r="F136">
        <f t="shared" si="186"/>
        <v>0</v>
      </c>
      <c r="G136">
        <f t="shared" si="186"/>
        <v>0</v>
      </c>
      <c r="H136">
        <f t="shared" si="186"/>
        <v>0</v>
      </c>
      <c r="I136">
        <f t="shared" si="186"/>
        <v>0</v>
      </c>
      <c r="J136">
        <f t="shared" si="186"/>
        <v>0</v>
      </c>
      <c r="K136">
        <f t="shared" si="186"/>
        <v>0</v>
      </c>
      <c r="L136">
        <f t="shared" si="187"/>
        <v>1</v>
      </c>
      <c r="N136" s="1" t="s">
        <v>325</v>
      </c>
      <c r="O136" s="1"/>
      <c r="P136" s="1"/>
      <c r="Q136" s="1"/>
      <c r="R136" s="1"/>
      <c r="S136" s="1"/>
      <c r="T136" s="1"/>
      <c r="V136" s="1" t="s">
        <v>25</v>
      </c>
      <c r="W136" s="1" t="str">
        <f t="shared" ref="W136:AA136" si="201">IF(W$1=$V136, "True", "False")</f>
        <v>False</v>
      </c>
      <c r="X136" s="1" t="str">
        <f t="shared" si="201"/>
        <v>False</v>
      </c>
      <c r="Y136" s="1" t="str">
        <f t="shared" si="201"/>
        <v>False</v>
      </c>
      <c r="Z136" s="1" t="str">
        <f t="shared" si="201"/>
        <v>False</v>
      </c>
      <c r="AA136" s="1" t="str">
        <f t="shared" si="201"/>
        <v>True</v>
      </c>
      <c r="AB136" s="1" t="s">
        <v>270</v>
      </c>
      <c r="AC136">
        <f t="shared" si="189"/>
        <v>0</v>
      </c>
      <c r="AD136">
        <f t="shared" si="189"/>
        <v>0</v>
      </c>
      <c r="AE136">
        <f t="shared" si="189"/>
        <v>0</v>
      </c>
      <c r="AF136">
        <f t="shared" si="189"/>
        <v>0</v>
      </c>
      <c r="AG136">
        <f t="shared" si="189"/>
        <v>1</v>
      </c>
      <c r="AH136">
        <f t="shared" si="189"/>
        <v>0</v>
      </c>
      <c r="AI136" s="1">
        <f t="shared" si="190"/>
        <v>1</v>
      </c>
      <c r="AJ136" s="1" t="s">
        <v>779</v>
      </c>
      <c r="AK136" s="1" t="s">
        <v>562</v>
      </c>
      <c r="AL136">
        <f t="shared" si="191"/>
        <v>1</v>
      </c>
      <c r="AM136">
        <f t="shared" si="191"/>
        <v>0</v>
      </c>
      <c r="AN136">
        <f t="shared" si="191"/>
        <v>0</v>
      </c>
      <c r="AO136">
        <f t="shared" si="191"/>
        <v>1</v>
      </c>
      <c r="AP136">
        <f t="shared" si="191"/>
        <v>0</v>
      </c>
      <c r="AQ136">
        <f t="shared" si="191"/>
        <v>1</v>
      </c>
      <c r="AR136">
        <f t="shared" si="191"/>
        <v>0</v>
      </c>
      <c r="AS136">
        <f t="shared" si="191"/>
        <v>0</v>
      </c>
      <c r="AU136" s="1" t="s">
        <v>46</v>
      </c>
      <c r="AV136" s="1">
        <f t="shared" si="198"/>
        <v>0</v>
      </c>
      <c r="AW136" s="1">
        <f t="shared" si="199"/>
        <v>1</v>
      </c>
      <c r="AX136" s="1">
        <f t="shared" si="200"/>
        <v>0</v>
      </c>
      <c r="AY136" s="1" t="s">
        <v>46</v>
      </c>
      <c r="BA136" s="1" t="s">
        <v>780</v>
      </c>
      <c r="BB136">
        <f t="shared" si="192"/>
        <v>0</v>
      </c>
      <c r="BC136">
        <f t="shared" si="192"/>
        <v>0</v>
      </c>
      <c r="BD136">
        <f t="shared" si="192"/>
        <v>0</v>
      </c>
      <c r="BE136">
        <f t="shared" si="192"/>
        <v>0</v>
      </c>
      <c r="BF136">
        <f t="shared" si="192"/>
        <v>1</v>
      </c>
      <c r="BG136">
        <f t="shared" si="192"/>
        <v>0</v>
      </c>
      <c r="BH136">
        <f t="shared" si="192"/>
        <v>0</v>
      </c>
      <c r="BI136">
        <f t="shared" si="192"/>
        <v>0</v>
      </c>
      <c r="BJ136">
        <f t="shared" si="192"/>
        <v>1</v>
      </c>
      <c r="BK136">
        <f t="shared" si="193"/>
        <v>2</v>
      </c>
      <c r="BM136" s="1" t="s">
        <v>163</v>
      </c>
      <c r="BN136" s="1" t="s">
        <v>741</v>
      </c>
      <c r="BO136">
        <f t="shared" si="194"/>
        <v>0</v>
      </c>
      <c r="BP136">
        <f t="shared" si="194"/>
        <v>0</v>
      </c>
      <c r="BQ136">
        <f t="shared" si="194"/>
        <v>0</v>
      </c>
      <c r="BR136">
        <f t="shared" si="194"/>
        <v>1</v>
      </c>
      <c r="BS136">
        <f t="shared" si="194"/>
        <v>0</v>
      </c>
      <c r="BT136">
        <f t="shared" si="194"/>
        <v>0</v>
      </c>
      <c r="BU136">
        <f t="shared" si="194"/>
        <v>1</v>
      </c>
      <c r="BW136" s="1" t="s">
        <v>513</v>
      </c>
      <c r="BZ136" s="1" t="s">
        <v>513</v>
      </c>
      <c r="DC136" s="1" t="s">
        <v>235</v>
      </c>
    </row>
    <row r="137" spans="1:107" x14ac:dyDescent="0.25">
      <c r="A137" s="1" t="b">
        <v>1</v>
      </c>
      <c r="B137" s="2">
        <v>46171.995300925926</v>
      </c>
      <c r="C137" s="1" t="s">
        <v>781</v>
      </c>
      <c r="D137" s="1" t="s">
        <v>4</v>
      </c>
      <c r="E137">
        <f t="shared" si="186"/>
        <v>1</v>
      </c>
      <c r="F137">
        <f t="shared" si="186"/>
        <v>0</v>
      </c>
      <c r="G137">
        <f t="shared" si="186"/>
        <v>0</v>
      </c>
      <c r="H137">
        <f t="shared" si="186"/>
        <v>0</v>
      </c>
      <c r="I137">
        <f t="shared" si="186"/>
        <v>0</v>
      </c>
      <c r="J137">
        <f t="shared" si="186"/>
        <v>0</v>
      </c>
      <c r="K137">
        <f t="shared" si="186"/>
        <v>0</v>
      </c>
      <c r="L137">
        <f t="shared" si="187"/>
        <v>1</v>
      </c>
      <c r="N137" s="1" t="s">
        <v>325</v>
      </c>
      <c r="O137" s="1"/>
      <c r="P137" s="1"/>
      <c r="Q137" s="1"/>
      <c r="R137" s="1"/>
      <c r="S137" s="1"/>
      <c r="T137" s="1"/>
      <c r="W137" s="1" t="str">
        <f t="shared" ref="W137:AA137" si="202">IF(W$1=$V137, "True", "False")</f>
        <v>False</v>
      </c>
      <c r="X137" s="1" t="str">
        <f t="shared" si="202"/>
        <v>False</v>
      </c>
      <c r="Y137" s="1" t="str">
        <f t="shared" si="202"/>
        <v>False</v>
      </c>
      <c r="Z137" s="1" t="str">
        <f t="shared" si="202"/>
        <v>False</v>
      </c>
      <c r="AA137" s="1" t="str">
        <f t="shared" si="202"/>
        <v>False</v>
      </c>
      <c r="AB137" s="1" t="s">
        <v>185</v>
      </c>
      <c r="AC137">
        <f t="shared" si="189"/>
        <v>0</v>
      </c>
      <c r="AD137">
        <f t="shared" si="189"/>
        <v>0</v>
      </c>
      <c r="AE137">
        <f t="shared" si="189"/>
        <v>1</v>
      </c>
      <c r="AF137">
        <f t="shared" si="189"/>
        <v>1</v>
      </c>
      <c r="AG137">
        <f t="shared" si="189"/>
        <v>0</v>
      </c>
      <c r="AH137">
        <f t="shared" si="189"/>
        <v>0</v>
      </c>
      <c r="AI137" s="1">
        <f t="shared" si="190"/>
        <v>2</v>
      </c>
      <c r="AK137" s="1" t="s">
        <v>186</v>
      </c>
      <c r="AL137">
        <f t="shared" si="191"/>
        <v>1</v>
      </c>
      <c r="AM137">
        <f t="shared" si="191"/>
        <v>1</v>
      </c>
      <c r="AN137">
        <f t="shared" si="191"/>
        <v>1</v>
      </c>
      <c r="AO137">
        <f t="shared" si="191"/>
        <v>1</v>
      </c>
      <c r="AP137">
        <f t="shared" si="191"/>
        <v>0</v>
      </c>
      <c r="AQ137">
        <f t="shared" si="191"/>
        <v>1</v>
      </c>
      <c r="AR137">
        <f t="shared" si="191"/>
        <v>0</v>
      </c>
      <c r="AS137">
        <f t="shared" si="191"/>
        <v>0</v>
      </c>
      <c r="AU137" s="1" t="s">
        <v>45</v>
      </c>
      <c r="AV137" s="1">
        <f t="shared" si="198"/>
        <v>1</v>
      </c>
      <c r="AW137" s="1">
        <f t="shared" si="199"/>
        <v>0</v>
      </c>
      <c r="AX137" s="1">
        <f t="shared" si="200"/>
        <v>0</v>
      </c>
      <c r="AY137" s="1" t="s">
        <v>46</v>
      </c>
      <c r="BA137" s="1" t="s">
        <v>59</v>
      </c>
      <c r="BB137">
        <f t="shared" si="192"/>
        <v>0</v>
      </c>
      <c r="BC137">
        <f t="shared" si="192"/>
        <v>0</v>
      </c>
      <c r="BD137">
        <f t="shared" si="192"/>
        <v>0</v>
      </c>
      <c r="BE137">
        <f t="shared" si="192"/>
        <v>0</v>
      </c>
      <c r="BF137">
        <f t="shared" si="192"/>
        <v>0</v>
      </c>
      <c r="BG137">
        <f t="shared" si="192"/>
        <v>0</v>
      </c>
      <c r="BH137">
        <f t="shared" si="192"/>
        <v>0</v>
      </c>
      <c r="BI137">
        <f t="shared" si="192"/>
        <v>0</v>
      </c>
      <c r="BJ137">
        <f t="shared" si="192"/>
        <v>1</v>
      </c>
      <c r="BK137">
        <f t="shared" si="193"/>
        <v>1</v>
      </c>
      <c r="BM137" s="1" t="s">
        <v>187</v>
      </c>
      <c r="BN137" s="1" t="s">
        <v>69</v>
      </c>
      <c r="BO137">
        <f t="shared" si="194"/>
        <v>0</v>
      </c>
      <c r="BP137">
        <f t="shared" si="194"/>
        <v>0</v>
      </c>
      <c r="BQ137">
        <f t="shared" si="194"/>
        <v>0</v>
      </c>
      <c r="BR137">
        <f t="shared" si="194"/>
        <v>0</v>
      </c>
      <c r="BS137">
        <f t="shared" si="194"/>
        <v>0</v>
      </c>
      <c r="BT137">
        <f t="shared" si="194"/>
        <v>0</v>
      </c>
      <c r="BU137">
        <f t="shared" si="194"/>
        <v>1</v>
      </c>
      <c r="DC137" s="1" t="s">
        <v>235</v>
      </c>
    </row>
    <row r="138" spans="1:107" x14ac:dyDescent="0.25">
      <c r="A138" s="1" t="b">
        <v>1</v>
      </c>
      <c r="B138" s="2">
        <v>46172.179236111115</v>
      </c>
      <c r="C138" s="1" t="s">
        <v>782</v>
      </c>
      <c r="D138" s="1" t="s">
        <v>4</v>
      </c>
      <c r="E138">
        <f t="shared" si="186"/>
        <v>1</v>
      </c>
      <c r="F138">
        <f t="shared" si="186"/>
        <v>0</v>
      </c>
      <c r="G138">
        <f t="shared" si="186"/>
        <v>0</v>
      </c>
      <c r="H138">
        <f t="shared" si="186"/>
        <v>0</v>
      </c>
      <c r="I138">
        <f t="shared" si="186"/>
        <v>0</v>
      </c>
      <c r="J138">
        <f t="shared" si="186"/>
        <v>0</v>
      </c>
      <c r="K138">
        <f t="shared" si="186"/>
        <v>0</v>
      </c>
      <c r="L138">
        <f t="shared" si="187"/>
        <v>1</v>
      </c>
      <c r="N138" s="1" t="s">
        <v>13</v>
      </c>
      <c r="O138" s="1"/>
      <c r="P138" s="1"/>
      <c r="Q138" s="1"/>
      <c r="R138" s="1"/>
      <c r="S138" s="1"/>
      <c r="T138" s="1"/>
      <c r="V138" s="1" t="s">
        <v>23</v>
      </c>
      <c r="W138" s="1" t="str">
        <f t="shared" ref="W138:AA138" si="203">IF(W$1=$V138, "True", "False")</f>
        <v>False</v>
      </c>
      <c r="X138" s="1" t="str">
        <f t="shared" si="203"/>
        <v>False</v>
      </c>
      <c r="Y138" s="1" t="str">
        <f t="shared" si="203"/>
        <v>True</v>
      </c>
      <c r="Z138" s="1" t="str">
        <f t="shared" si="203"/>
        <v>False</v>
      </c>
      <c r="AA138" s="1" t="str">
        <f t="shared" si="203"/>
        <v>False</v>
      </c>
      <c r="AB138" s="1" t="s">
        <v>32</v>
      </c>
      <c r="AC138">
        <f t="shared" si="189"/>
        <v>0</v>
      </c>
      <c r="AD138">
        <f t="shared" si="189"/>
        <v>0</v>
      </c>
      <c r="AE138">
        <f t="shared" si="189"/>
        <v>0</v>
      </c>
      <c r="AF138">
        <f t="shared" si="189"/>
        <v>0</v>
      </c>
      <c r="AG138">
        <f t="shared" si="189"/>
        <v>0</v>
      </c>
      <c r="AH138">
        <f t="shared" si="189"/>
        <v>1</v>
      </c>
      <c r="AI138" s="1">
        <f t="shared" si="190"/>
        <v>1</v>
      </c>
      <c r="AK138" s="1" t="s">
        <v>478</v>
      </c>
      <c r="AL138">
        <f t="shared" si="191"/>
        <v>0</v>
      </c>
      <c r="AM138">
        <f t="shared" si="191"/>
        <v>0</v>
      </c>
      <c r="AN138">
        <f t="shared" si="191"/>
        <v>0</v>
      </c>
      <c r="AO138">
        <f t="shared" si="191"/>
        <v>1</v>
      </c>
      <c r="AP138">
        <f t="shared" si="191"/>
        <v>0</v>
      </c>
      <c r="AQ138">
        <f t="shared" si="191"/>
        <v>1</v>
      </c>
      <c r="AR138">
        <f t="shared" si="191"/>
        <v>0</v>
      </c>
      <c r="AS138">
        <f t="shared" si="191"/>
        <v>0</v>
      </c>
      <c r="AU138" s="1" t="s">
        <v>45</v>
      </c>
      <c r="AV138" s="1">
        <f t="shared" si="198"/>
        <v>1</v>
      </c>
      <c r="AW138" s="1">
        <f t="shared" si="199"/>
        <v>0</v>
      </c>
      <c r="AX138" s="1">
        <f t="shared" si="200"/>
        <v>0</v>
      </c>
      <c r="AY138" s="1" t="s">
        <v>46</v>
      </c>
      <c r="BA138" s="1" t="s">
        <v>59</v>
      </c>
      <c r="BB138">
        <f t="shared" si="192"/>
        <v>0</v>
      </c>
      <c r="BC138">
        <f t="shared" si="192"/>
        <v>0</v>
      </c>
      <c r="BD138">
        <f t="shared" si="192"/>
        <v>0</v>
      </c>
      <c r="BE138">
        <f t="shared" si="192"/>
        <v>0</v>
      </c>
      <c r="BF138">
        <f t="shared" si="192"/>
        <v>0</v>
      </c>
      <c r="BG138">
        <f t="shared" si="192"/>
        <v>0</v>
      </c>
      <c r="BH138">
        <f t="shared" si="192"/>
        <v>0</v>
      </c>
      <c r="BI138">
        <f t="shared" si="192"/>
        <v>0</v>
      </c>
      <c r="BJ138">
        <f t="shared" si="192"/>
        <v>1</v>
      </c>
      <c r="BK138">
        <f t="shared" si="193"/>
        <v>1</v>
      </c>
      <c r="BM138" s="1" t="s">
        <v>187</v>
      </c>
      <c r="BN138" s="1" t="s">
        <v>65</v>
      </c>
      <c r="BO138">
        <f t="shared" si="194"/>
        <v>0</v>
      </c>
      <c r="BP138">
        <f t="shared" si="194"/>
        <v>0</v>
      </c>
      <c r="BQ138">
        <f t="shared" si="194"/>
        <v>1</v>
      </c>
      <c r="BR138">
        <f t="shared" si="194"/>
        <v>0</v>
      </c>
      <c r="BS138">
        <f t="shared" si="194"/>
        <v>0</v>
      </c>
      <c r="BT138">
        <f t="shared" si="194"/>
        <v>0</v>
      </c>
      <c r="BU138">
        <f t="shared" si="194"/>
        <v>0</v>
      </c>
      <c r="DC138" s="1" t="s">
        <v>177</v>
      </c>
    </row>
    <row r="139" spans="1:107" x14ac:dyDescent="0.25">
      <c r="A139" s="1" t="b">
        <v>1</v>
      </c>
      <c r="B139" s="2">
        <v>46172.71056712963</v>
      </c>
      <c r="C139" s="1" t="s">
        <v>783</v>
      </c>
      <c r="D139" s="1" t="s">
        <v>4</v>
      </c>
      <c r="E139">
        <f t="shared" si="186"/>
        <v>1</v>
      </c>
      <c r="F139">
        <f t="shared" si="186"/>
        <v>0</v>
      </c>
      <c r="G139">
        <f t="shared" si="186"/>
        <v>0</v>
      </c>
      <c r="H139">
        <f t="shared" si="186"/>
        <v>0</v>
      </c>
      <c r="I139">
        <f t="shared" si="186"/>
        <v>0</v>
      </c>
      <c r="J139">
        <f t="shared" si="186"/>
        <v>0</v>
      </c>
      <c r="K139">
        <f t="shared" si="186"/>
        <v>0</v>
      </c>
      <c r="L139">
        <f t="shared" si="187"/>
        <v>1</v>
      </c>
      <c r="N139" s="1" t="s">
        <v>269</v>
      </c>
      <c r="O139" s="1"/>
      <c r="P139" s="1"/>
      <c r="Q139" s="1"/>
      <c r="R139" s="1"/>
      <c r="S139" s="1"/>
      <c r="T139" s="1"/>
      <c r="W139" s="1" t="str">
        <f t="shared" ref="W139:AA139" si="204">IF(W$1=$V139, "True", "False")</f>
        <v>False</v>
      </c>
      <c r="X139" s="1" t="str">
        <f t="shared" si="204"/>
        <v>False</v>
      </c>
      <c r="Y139" s="1" t="str">
        <f t="shared" si="204"/>
        <v>False</v>
      </c>
      <c r="Z139" s="1" t="str">
        <f t="shared" si="204"/>
        <v>False</v>
      </c>
      <c r="AA139" s="1" t="str">
        <f t="shared" si="204"/>
        <v>False</v>
      </c>
      <c r="AB139" s="1" t="s">
        <v>27</v>
      </c>
      <c r="AC139">
        <f t="shared" si="189"/>
        <v>1</v>
      </c>
      <c r="AD139">
        <f t="shared" si="189"/>
        <v>0</v>
      </c>
      <c r="AE139">
        <f t="shared" si="189"/>
        <v>0</v>
      </c>
      <c r="AF139">
        <f t="shared" si="189"/>
        <v>0</v>
      </c>
      <c r="AG139">
        <f t="shared" si="189"/>
        <v>0</v>
      </c>
      <c r="AH139">
        <f t="shared" si="189"/>
        <v>0</v>
      </c>
      <c r="AI139" s="1">
        <f t="shared" si="190"/>
        <v>1</v>
      </c>
      <c r="AK139" s="1" t="s">
        <v>36</v>
      </c>
      <c r="AL139">
        <f t="shared" si="191"/>
        <v>0</v>
      </c>
      <c r="AM139">
        <f t="shared" si="191"/>
        <v>1</v>
      </c>
      <c r="AN139">
        <f t="shared" si="191"/>
        <v>0</v>
      </c>
      <c r="AO139">
        <f t="shared" si="191"/>
        <v>0</v>
      </c>
      <c r="AP139">
        <f t="shared" si="191"/>
        <v>0</v>
      </c>
      <c r="AQ139">
        <f t="shared" si="191"/>
        <v>0</v>
      </c>
      <c r="AR139">
        <f t="shared" si="191"/>
        <v>0</v>
      </c>
      <c r="AS139">
        <f t="shared" si="191"/>
        <v>0</v>
      </c>
      <c r="AU139" s="1" t="s">
        <v>45</v>
      </c>
      <c r="AV139" s="1">
        <f t="shared" si="198"/>
        <v>1</v>
      </c>
      <c r="AW139" s="1">
        <f t="shared" si="199"/>
        <v>0</v>
      </c>
      <c r="AX139" s="1">
        <f t="shared" si="200"/>
        <v>0</v>
      </c>
      <c r="AY139" s="1" t="s">
        <v>46</v>
      </c>
      <c r="BA139" s="1" t="s">
        <v>228</v>
      </c>
      <c r="BB139">
        <f t="shared" si="192"/>
        <v>1</v>
      </c>
      <c r="BC139">
        <f t="shared" si="192"/>
        <v>1</v>
      </c>
      <c r="BD139">
        <f t="shared" si="192"/>
        <v>1</v>
      </c>
      <c r="BE139">
        <f t="shared" si="192"/>
        <v>1</v>
      </c>
      <c r="BF139">
        <f t="shared" si="192"/>
        <v>1</v>
      </c>
      <c r="BG139">
        <f t="shared" si="192"/>
        <v>1</v>
      </c>
      <c r="BH139">
        <f t="shared" si="192"/>
        <v>0</v>
      </c>
      <c r="BI139">
        <f t="shared" si="192"/>
        <v>0</v>
      </c>
      <c r="BJ139">
        <f t="shared" si="192"/>
        <v>1</v>
      </c>
      <c r="BK139">
        <f t="shared" si="193"/>
        <v>7</v>
      </c>
      <c r="BM139" s="1" t="s">
        <v>163</v>
      </c>
      <c r="BN139" s="1" t="s">
        <v>784</v>
      </c>
      <c r="BO139">
        <f t="shared" si="194"/>
        <v>1</v>
      </c>
      <c r="BP139">
        <f t="shared" si="194"/>
        <v>1</v>
      </c>
      <c r="BQ139">
        <f t="shared" si="194"/>
        <v>1</v>
      </c>
      <c r="BR139">
        <f t="shared" si="194"/>
        <v>0</v>
      </c>
      <c r="BS139">
        <f t="shared" si="194"/>
        <v>1</v>
      </c>
      <c r="BT139">
        <f t="shared" si="194"/>
        <v>1</v>
      </c>
      <c r="BU139">
        <f t="shared" si="194"/>
        <v>0</v>
      </c>
      <c r="DC139" s="1" t="s">
        <v>177</v>
      </c>
    </row>
    <row r="140" spans="1:107" x14ac:dyDescent="0.25">
      <c r="A140" s="1" t="b">
        <v>1</v>
      </c>
      <c r="B140" s="2">
        <v>46172.815821759257</v>
      </c>
      <c r="C140" s="1" t="s">
        <v>785</v>
      </c>
      <c r="D140" s="1" t="s">
        <v>748</v>
      </c>
      <c r="E140">
        <f t="shared" si="186"/>
        <v>1</v>
      </c>
      <c r="F140">
        <f t="shared" si="186"/>
        <v>0</v>
      </c>
      <c r="G140">
        <f t="shared" si="186"/>
        <v>0</v>
      </c>
      <c r="H140">
        <f t="shared" si="186"/>
        <v>30</v>
      </c>
      <c r="I140">
        <f t="shared" si="186"/>
        <v>0</v>
      </c>
      <c r="J140">
        <f t="shared" si="186"/>
        <v>0</v>
      </c>
      <c r="K140">
        <f t="shared" si="186"/>
        <v>0</v>
      </c>
      <c r="L140">
        <f t="shared" si="187"/>
        <v>30</v>
      </c>
      <c r="N140" s="1" t="s">
        <v>786</v>
      </c>
      <c r="O140" s="1"/>
      <c r="P140" s="1"/>
      <c r="Q140" s="1"/>
      <c r="R140" s="1"/>
      <c r="S140" s="1"/>
      <c r="T140" s="1"/>
      <c r="V140" s="1" t="s">
        <v>22</v>
      </c>
      <c r="W140" s="1" t="str">
        <f t="shared" ref="W140:AA140" si="205">IF(W$1=$V140, "True", "False")</f>
        <v>False</v>
      </c>
      <c r="X140" s="1" t="str">
        <f t="shared" si="205"/>
        <v>True</v>
      </c>
      <c r="Y140" s="1" t="str">
        <f t="shared" si="205"/>
        <v>False</v>
      </c>
      <c r="Z140" s="1" t="str">
        <f t="shared" si="205"/>
        <v>False</v>
      </c>
      <c r="AA140" s="1" t="str">
        <f t="shared" si="205"/>
        <v>False</v>
      </c>
      <c r="AB140" s="1" t="s">
        <v>180</v>
      </c>
      <c r="AC140">
        <f t="shared" si="189"/>
        <v>0</v>
      </c>
      <c r="AD140">
        <f t="shared" si="189"/>
        <v>0</v>
      </c>
      <c r="AE140">
        <f t="shared" si="189"/>
        <v>0</v>
      </c>
      <c r="AF140">
        <f t="shared" si="189"/>
        <v>0</v>
      </c>
      <c r="AG140">
        <f t="shared" si="189"/>
        <v>0</v>
      </c>
      <c r="AH140">
        <f t="shared" si="189"/>
        <v>0</v>
      </c>
      <c r="AI140" s="1">
        <f t="shared" si="190"/>
        <v>0</v>
      </c>
      <c r="AJ140" s="1" t="s">
        <v>787</v>
      </c>
      <c r="AK140" s="1" t="s">
        <v>788</v>
      </c>
      <c r="AL140">
        <f t="shared" si="191"/>
        <v>1</v>
      </c>
      <c r="AM140">
        <f t="shared" si="191"/>
        <v>0</v>
      </c>
      <c r="AN140">
        <f t="shared" si="191"/>
        <v>0</v>
      </c>
      <c r="AO140">
        <f t="shared" si="191"/>
        <v>0</v>
      </c>
      <c r="AP140">
        <f t="shared" si="191"/>
        <v>0</v>
      </c>
      <c r="AQ140">
        <f t="shared" si="191"/>
        <v>1</v>
      </c>
      <c r="AR140">
        <f t="shared" si="191"/>
        <v>1</v>
      </c>
      <c r="AS140">
        <f t="shared" si="191"/>
        <v>0</v>
      </c>
      <c r="AU140" s="1" t="s">
        <v>46</v>
      </c>
      <c r="AV140" s="1">
        <f t="shared" si="198"/>
        <v>0</v>
      </c>
      <c r="AW140" s="1">
        <f t="shared" si="199"/>
        <v>1</v>
      </c>
      <c r="AX140" s="1">
        <f t="shared" si="200"/>
        <v>0</v>
      </c>
      <c r="AY140" s="1" t="s">
        <v>45</v>
      </c>
      <c r="AZ140" s="1" t="s">
        <v>46</v>
      </c>
      <c r="BA140" s="1" t="s">
        <v>59</v>
      </c>
      <c r="BB140">
        <f t="shared" si="192"/>
        <v>0</v>
      </c>
      <c r="BC140">
        <f t="shared" si="192"/>
        <v>0</v>
      </c>
      <c r="BD140">
        <f t="shared" si="192"/>
        <v>0</v>
      </c>
      <c r="BE140">
        <f t="shared" si="192"/>
        <v>0</v>
      </c>
      <c r="BF140">
        <f t="shared" si="192"/>
        <v>0</v>
      </c>
      <c r="BG140">
        <f t="shared" si="192"/>
        <v>0</v>
      </c>
      <c r="BH140">
        <f t="shared" si="192"/>
        <v>0</v>
      </c>
      <c r="BI140">
        <f t="shared" si="192"/>
        <v>0</v>
      </c>
      <c r="BJ140">
        <f t="shared" si="192"/>
        <v>1</v>
      </c>
      <c r="BK140">
        <f t="shared" si="193"/>
        <v>1</v>
      </c>
      <c r="BO140">
        <f t="shared" si="194"/>
        <v>0</v>
      </c>
      <c r="BP140">
        <f t="shared" si="194"/>
        <v>0</v>
      </c>
      <c r="BQ140">
        <f t="shared" si="194"/>
        <v>0</v>
      </c>
      <c r="BR140">
        <f t="shared" si="194"/>
        <v>0</v>
      </c>
      <c r="BS140">
        <f t="shared" si="194"/>
        <v>0</v>
      </c>
      <c r="BT140">
        <f t="shared" si="194"/>
        <v>0</v>
      </c>
      <c r="BU140">
        <f t="shared" si="194"/>
        <v>0</v>
      </c>
      <c r="BW140" s="1" t="s">
        <v>513</v>
      </c>
      <c r="BY140" s="1" t="s">
        <v>789</v>
      </c>
      <c r="BZ140" s="1" t="s">
        <v>790</v>
      </c>
      <c r="CB140" s="1" t="s">
        <v>47</v>
      </c>
      <c r="CF140" s="1" t="s">
        <v>384</v>
      </c>
      <c r="CG140" s="1" t="s">
        <v>385</v>
      </c>
      <c r="DC140" s="1" t="s">
        <v>177</v>
      </c>
    </row>
    <row r="141" spans="1:107" x14ac:dyDescent="0.25">
      <c r="A141" s="1" t="b">
        <v>1</v>
      </c>
      <c r="B141" s="2">
        <v>46172.989675925928</v>
      </c>
      <c r="C141" s="1" t="s">
        <v>791</v>
      </c>
      <c r="D141" s="1" t="s">
        <v>204</v>
      </c>
      <c r="E141">
        <f t="shared" si="186"/>
        <v>1</v>
      </c>
      <c r="F141">
        <f t="shared" si="186"/>
        <v>30</v>
      </c>
      <c r="G141">
        <f t="shared" si="186"/>
        <v>0</v>
      </c>
      <c r="H141">
        <f t="shared" si="186"/>
        <v>0</v>
      </c>
      <c r="I141">
        <f t="shared" si="186"/>
        <v>0</v>
      </c>
      <c r="J141">
        <f t="shared" si="186"/>
        <v>0</v>
      </c>
      <c r="K141">
        <f t="shared" si="186"/>
        <v>0</v>
      </c>
      <c r="L141">
        <f t="shared" si="187"/>
        <v>30</v>
      </c>
      <c r="N141" s="1" t="s">
        <v>237</v>
      </c>
      <c r="O141" s="1"/>
      <c r="P141" s="1"/>
      <c r="Q141" s="1"/>
      <c r="R141" s="1"/>
      <c r="S141" s="1"/>
      <c r="T141" s="1"/>
      <c r="W141" s="1" t="str">
        <f t="shared" ref="W141:AA141" si="206">IF(W$1=$V141, "True", "False")</f>
        <v>False</v>
      </c>
      <c r="X141" s="1" t="str">
        <f t="shared" si="206"/>
        <v>False</v>
      </c>
      <c r="Y141" s="1" t="str">
        <f t="shared" si="206"/>
        <v>False</v>
      </c>
      <c r="Z141" s="1" t="str">
        <f t="shared" si="206"/>
        <v>False</v>
      </c>
      <c r="AA141" s="1" t="str">
        <f t="shared" si="206"/>
        <v>False</v>
      </c>
      <c r="AB141" s="1" t="s">
        <v>474</v>
      </c>
      <c r="AC141">
        <f t="shared" si="189"/>
        <v>1</v>
      </c>
      <c r="AD141">
        <f t="shared" si="189"/>
        <v>1</v>
      </c>
      <c r="AE141">
        <f t="shared" si="189"/>
        <v>0</v>
      </c>
      <c r="AF141">
        <f t="shared" si="189"/>
        <v>0</v>
      </c>
      <c r="AG141">
        <f t="shared" si="189"/>
        <v>0</v>
      </c>
      <c r="AH141">
        <f t="shared" si="189"/>
        <v>1</v>
      </c>
      <c r="AI141" s="1">
        <f t="shared" si="190"/>
        <v>3</v>
      </c>
      <c r="AK141" s="1" t="s">
        <v>467</v>
      </c>
      <c r="AL141">
        <f t="shared" si="191"/>
        <v>0</v>
      </c>
      <c r="AM141">
        <f t="shared" si="191"/>
        <v>1</v>
      </c>
      <c r="AN141">
        <f t="shared" si="191"/>
        <v>0</v>
      </c>
      <c r="AO141">
        <f t="shared" si="191"/>
        <v>1</v>
      </c>
      <c r="AP141">
        <f t="shared" si="191"/>
        <v>0</v>
      </c>
      <c r="AQ141">
        <f t="shared" si="191"/>
        <v>1</v>
      </c>
      <c r="AR141">
        <f t="shared" si="191"/>
        <v>0</v>
      </c>
      <c r="AS141">
        <f t="shared" si="191"/>
        <v>0</v>
      </c>
      <c r="AU141" s="1" t="s">
        <v>46</v>
      </c>
      <c r="AV141" s="1">
        <f t="shared" si="198"/>
        <v>0</v>
      </c>
      <c r="AW141" s="1">
        <f t="shared" si="199"/>
        <v>1</v>
      </c>
      <c r="AX141" s="1">
        <f t="shared" si="200"/>
        <v>0</v>
      </c>
      <c r="AY141" s="1" t="s">
        <v>46</v>
      </c>
      <c r="BA141" s="1" t="s">
        <v>454</v>
      </c>
      <c r="BB141">
        <f t="shared" si="192"/>
        <v>0</v>
      </c>
      <c r="BC141">
        <f t="shared" si="192"/>
        <v>0</v>
      </c>
      <c r="BD141">
        <f t="shared" si="192"/>
        <v>0</v>
      </c>
      <c r="BE141">
        <f t="shared" si="192"/>
        <v>0</v>
      </c>
      <c r="BF141">
        <f t="shared" si="192"/>
        <v>1</v>
      </c>
      <c r="BG141">
        <f t="shared" si="192"/>
        <v>1</v>
      </c>
      <c r="BH141">
        <f t="shared" si="192"/>
        <v>0</v>
      </c>
      <c r="BI141">
        <f t="shared" si="192"/>
        <v>0</v>
      </c>
      <c r="BJ141">
        <f t="shared" si="192"/>
        <v>1</v>
      </c>
      <c r="BK141">
        <f t="shared" si="193"/>
        <v>3</v>
      </c>
      <c r="BM141" s="1" t="s">
        <v>229</v>
      </c>
      <c r="BN141" s="1" t="s">
        <v>674</v>
      </c>
      <c r="BO141">
        <f t="shared" si="194"/>
        <v>0</v>
      </c>
      <c r="BP141">
        <f t="shared" si="194"/>
        <v>1</v>
      </c>
      <c r="BQ141">
        <f t="shared" si="194"/>
        <v>1</v>
      </c>
      <c r="BR141">
        <f t="shared" si="194"/>
        <v>0</v>
      </c>
      <c r="BS141">
        <f t="shared" si="194"/>
        <v>0</v>
      </c>
      <c r="BT141">
        <f t="shared" si="194"/>
        <v>1</v>
      </c>
      <c r="BU141">
        <f t="shared" si="194"/>
        <v>0</v>
      </c>
      <c r="BW141" s="1" t="s">
        <v>252</v>
      </c>
      <c r="BY141" s="1" t="s">
        <v>792</v>
      </c>
      <c r="BZ141" s="1" t="s">
        <v>275</v>
      </c>
      <c r="CX141" s="1" t="s">
        <v>547</v>
      </c>
      <c r="CZ141" s="1" t="s">
        <v>446</v>
      </c>
      <c r="DC141" s="1" t="s">
        <v>177</v>
      </c>
    </row>
    <row r="142" spans="1:107" x14ac:dyDescent="0.25">
      <c r="A142" s="1" t="b">
        <v>1</v>
      </c>
      <c r="B142" s="2">
        <v>46173.182106481479</v>
      </c>
      <c r="C142" s="1" t="s">
        <v>793</v>
      </c>
      <c r="D142" s="1" t="s">
        <v>4</v>
      </c>
      <c r="E142">
        <f t="shared" si="186"/>
        <v>1</v>
      </c>
      <c r="F142">
        <f t="shared" si="186"/>
        <v>0</v>
      </c>
      <c r="G142">
        <f t="shared" si="186"/>
        <v>0</v>
      </c>
      <c r="H142">
        <f t="shared" si="186"/>
        <v>0</v>
      </c>
      <c r="I142">
        <f t="shared" si="186"/>
        <v>0</v>
      </c>
      <c r="J142">
        <f t="shared" si="186"/>
        <v>0</v>
      </c>
      <c r="K142">
        <f t="shared" si="186"/>
        <v>0</v>
      </c>
      <c r="L142">
        <f t="shared" si="187"/>
        <v>1</v>
      </c>
      <c r="N142" s="1" t="s">
        <v>237</v>
      </c>
      <c r="O142" s="1"/>
      <c r="P142" s="1"/>
      <c r="Q142" s="1"/>
      <c r="R142" s="1"/>
      <c r="S142" s="1"/>
      <c r="T142" s="1"/>
      <c r="V142" s="1" t="s">
        <v>23</v>
      </c>
      <c r="W142" s="1" t="str">
        <f t="shared" ref="W142:AA142" si="207">IF(W$1=$V142, "True", "False")</f>
        <v>False</v>
      </c>
      <c r="X142" s="1" t="str">
        <f t="shared" si="207"/>
        <v>False</v>
      </c>
      <c r="Y142" s="1" t="str">
        <f t="shared" si="207"/>
        <v>True</v>
      </c>
      <c r="Z142" s="1" t="str">
        <f t="shared" si="207"/>
        <v>False</v>
      </c>
      <c r="AA142" s="1" t="str">
        <f t="shared" si="207"/>
        <v>False</v>
      </c>
      <c r="AB142" s="1" t="s">
        <v>682</v>
      </c>
      <c r="AC142">
        <f t="shared" si="189"/>
        <v>0</v>
      </c>
      <c r="AD142">
        <f t="shared" si="189"/>
        <v>0</v>
      </c>
      <c r="AE142">
        <f t="shared" si="189"/>
        <v>0</v>
      </c>
      <c r="AF142">
        <f t="shared" si="189"/>
        <v>1</v>
      </c>
      <c r="AG142">
        <f t="shared" si="189"/>
        <v>1</v>
      </c>
      <c r="AH142">
        <f t="shared" si="189"/>
        <v>1</v>
      </c>
      <c r="AI142" s="1">
        <f t="shared" si="190"/>
        <v>3</v>
      </c>
      <c r="AK142" s="1" t="s">
        <v>550</v>
      </c>
      <c r="AL142">
        <f t="shared" si="191"/>
        <v>1</v>
      </c>
      <c r="AM142">
        <f t="shared" si="191"/>
        <v>1</v>
      </c>
      <c r="AN142">
        <f t="shared" si="191"/>
        <v>1</v>
      </c>
      <c r="AO142">
        <f t="shared" si="191"/>
        <v>1</v>
      </c>
      <c r="AP142">
        <f t="shared" si="191"/>
        <v>0</v>
      </c>
      <c r="AQ142">
        <f t="shared" si="191"/>
        <v>1</v>
      </c>
      <c r="AR142">
        <f t="shared" si="191"/>
        <v>1</v>
      </c>
      <c r="AS142">
        <f t="shared" si="191"/>
        <v>0</v>
      </c>
      <c r="AU142" s="1" t="s">
        <v>46</v>
      </c>
      <c r="AV142" s="1">
        <f t="shared" si="198"/>
        <v>0</v>
      </c>
      <c r="AW142" s="1">
        <f t="shared" si="199"/>
        <v>1</v>
      </c>
      <c r="AX142" s="1">
        <f t="shared" si="200"/>
        <v>0</v>
      </c>
      <c r="AY142" s="1" t="s">
        <v>46</v>
      </c>
      <c r="BA142" s="1" t="s">
        <v>794</v>
      </c>
      <c r="BB142">
        <f t="shared" si="192"/>
        <v>0</v>
      </c>
      <c r="BC142">
        <f t="shared" si="192"/>
        <v>1</v>
      </c>
      <c r="BD142">
        <f t="shared" si="192"/>
        <v>0</v>
      </c>
      <c r="BE142">
        <f t="shared" si="192"/>
        <v>1</v>
      </c>
      <c r="BF142">
        <f t="shared" si="192"/>
        <v>1</v>
      </c>
      <c r="BG142">
        <f t="shared" si="192"/>
        <v>0</v>
      </c>
      <c r="BH142">
        <f t="shared" si="192"/>
        <v>0</v>
      </c>
      <c r="BI142">
        <f t="shared" si="192"/>
        <v>0</v>
      </c>
      <c r="BJ142">
        <f t="shared" si="192"/>
        <v>1</v>
      </c>
      <c r="BK142">
        <f t="shared" si="193"/>
        <v>4</v>
      </c>
      <c r="BM142" s="1" t="s">
        <v>187</v>
      </c>
      <c r="BN142" s="1" t="s">
        <v>69</v>
      </c>
      <c r="BO142">
        <f t="shared" si="194"/>
        <v>0</v>
      </c>
      <c r="BP142">
        <f t="shared" si="194"/>
        <v>0</v>
      </c>
      <c r="BQ142">
        <f t="shared" si="194"/>
        <v>0</v>
      </c>
      <c r="BR142">
        <f t="shared" si="194"/>
        <v>0</v>
      </c>
      <c r="BS142">
        <f t="shared" si="194"/>
        <v>0</v>
      </c>
      <c r="BT142">
        <f t="shared" si="194"/>
        <v>0</v>
      </c>
      <c r="BU142">
        <f t="shared" si="194"/>
        <v>1</v>
      </c>
      <c r="BW142" s="1" t="s">
        <v>252</v>
      </c>
      <c r="BZ142" s="1" t="s">
        <v>513</v>
      </c>
      <c r="DC142" s="1" t="s">
        <v>177</v>
      </c>
    </row>
    <row r="143" spans="1:107" x14ac:dyDescent="0.25">
      <c r="A143" s="1" t="b">
        <v>1</v>
      </c>
      <c r="B143" s="2">
        <v>46173.256076388891</v>
      </c>
      <c r="C143" s="1" t="s">
        <v>795</v>
      </c>
      <c r="D143" s="1" t="s">
        <v>204</v>
      </c>
      <c r="E143">
        <f t="shared" si="186"/>
        <v>1</v>
      </c>
      <c r="F143">
        <f t="shared" si="186"/>
        <v>30</v>
      </c>
      <c r="G143">
        <f t="shared" si="186"/>
        <v>0</v>
      </c>
      <c r="H143">
        <f t="shared" si="186"/>
        <v>0</v>
      </c>
      <c r="I143">
        <f t="shared" si="186"/>
        <v>0</v>
      </c>
      <c r="J143">
        <f t="shared" si="186"/>
        <v>0</v>
      </c>
      <c r="K143">
        <f t="shared" si="186"/>
        <v>0</v>
      </c>
      <c r="L143">
        <f t="shared" si="187"/>
        <v>30</v>
      </c>
      <c r="N143" s="1" t="s">
        <v>269</v>
      </c>
      <c r="O143" s="1"/>
      <c r="P143" s="1"/>
      <c r="Q143" s="1"/>
      <c r="R143" s="1"/>
      <c r="S143" s="1"/>
      <c r="T143" s="1"/>
      <c r="V143" s="1" t="s">
        <v>22</v>
      </c>
      <c r="W143" s="1" t="str">
        <f t="shared" ref="W143:AA143" si="208">IF(W$1=$V143, "True", "False")</f>
        <v>False</v>
      </c>
      <c r="X143" s="1" t="str">
        <f t="shared" si="208"/>
        <v>True</v>
      </c>
      <c r="Y143" s="1" t="str">
        <f t="shared" si="208"/>
        <v>False</v>
      </c>
      <c r="Z143" s="1" t="str">
        <f t="shared" si="208"/>
        <v>False</v>
      </c>
      <c r="AA143" s="1" t="str">
        <f t="shared" si="208"/>
        <v>False</v>
      </c>
      <c r="AB143" s="1" t="s">
        <v>796</v>
      </c>
      <c r="AC143">
        <f t="shared" si="189"/>
        <v>1</v>
      </c>
      <c r="AD143">
        <f t="shared" si="189"/>
        <v>0</v>
      </c>
      <c r="AE143">
        <f t="shared" si="189"/>
        <v>0</v>
      </c>
      <c r="AF143">
        <f t="shared" si="189"/>
        <v>0</v>
      </c>
      <c r="AG143">
        <f t="shared" si="189"/>
        <v>1</v>
      </c>
      <c r="AH143">
        <f t="shared" si="189"/>
        <v>1</v>
      </c>
      <c r="AI143" s="1">
        <f t="shared" si="190"/>
        <v>3</v>
      </c>
      <c r="AK143" s="1" t="s">
        <v>343</v>
      </c>
      <c r="AL143">
        <f t="shared" si="191"/>
        <v>0</v>
      </c>
      <c r="AM143">
        <f t="shared" si="191"/>
        <v>1</v>
      </c>
      <c r="AN143">
        <f t="shared" si="191"/>
        <v>1</v>
      </c>
      <c r="AO143">
        <f t="shared" si="191"/>
        <v>1</v>
      </c>
      <c r="AP143">
        <f t="shared" si="191"/>
        <v>0</v>
      </c>
      <c r="AQ143">
        <f t="shared" si="191"/>
        <v>0</v>
      </c>
      <c r="AR143">
        <f t="shared" si="191"/>
        <v>0</v>
      </c>
      <c r="AS143">
        <f t="shared" si="191"/>
        <v>0</v>
      </c>
      <c r="AU143" s="1" t="s">
        <v>46</v>
      </c>
      <c r="AV143" s="1">
        <f t="shared" si="198"/>
        <v>0</v>
      </c>
      <c r="AW143" s="1">
        <f t="shared" si="199"/>
        <v>1</v>
      </c>
      <c r="AX143" s="1">
        <f t="shared" si="200"/>
        <v>0</v>
      </c>
      <c r="AY143" s="1" t="s">
        <v>46</v>
      </c>
      <c r="BA143" s="1" t="s">
        <v>797</v>
      </c>
      <c r="BB143">
        <f t="shared" si="192"/>
        <v>1</v>
      </c>
      <c r="BC143">
        <f t="shared" si="192"/>
        <v>1</v>
      </c>
      <c r="BD143">
        <f t="shared" si="192"/>
        <v>1</v>
      </c>
      <c r="BE143">
        <f t="shared" si="192"/>
        <v>1</v>
      </c>
      <c r="BF143">
        <f t="shared" si="192"/>
        <v>1</v>
      </c>
      <c r="BG143">
        <f t="shared" si="192"/>
        <v>1</v>
      </c>
      <c r="BH143">
        <f t="shared" si="192"/>
        <v>0</v>
      </c>
      <c r="BI143">
        <f t="shared" si="192"/>
        <v>0</v>
      </c>
      <c r="BJ143">
        <f t="shared" si="192"/>
        <v>0</v>
      </c>
      <c r="BK143">
        <f t="shared" si="193"/>
        <v>6</v>
      </c>
      <c r="BM143" s="1" t="s">
        <v>229</v>
      </c>
      <c r="BN143" s="1" t="s">
        <v>663</v>
      </c>
      <c r="BO143">
        <f t="shared" si="194"/>
        <v>0</v>
      </c>
      <c r="BP143">
        <f t="shared" si="194"/>
        <v>0</v>
      </c>
      <c r="BQ143">
        <f t="shared" si="194"/>
        <v>0</v>
      </c>
      <c r="BR143">
        <f t="shared" si="194"/>
        <v>1</v>
      </c>
      <c r="BS143">
        <f t="shared" si="194"/>
        <v>1</v>
      </c>
      <c r="BT143">
        <f t="shared" si="194"/>
        <v>0</v>
      </c>
      <c r="BU143">
        <f t="shared" si="194"/>
        <v>1</v>
      </c>
      <c r="BW143" s="1" t="s">
        <v>217</v>
      </c>
      <c r="CX143" s="1" t="s">
        <v>675</v>
      </c>
      <c r="CZ143" s="1" t="s">
        <v>641</v>
      </c>
      <c r="DC143" s="1" t="s">
        <v>177</v>
      </c>
    </row>
    <row r="144" spans="1:107" x14ac:dyDescent="0.25">
      <c r="A144" s="1" t="b">
        <v>1</v>
      </c>
      <c r="B144" s="2">
        <v>46173.283958333333</v>
      </c>
      <c r="C144" s="1" t="s">
        <v>798</v>
      </c>
      <c r="D144" s="1" t="s">
        <v>8</v>
      </c>
      <c r="E144">
        <f t="shared" si="186"/>
        <v>0</v>
      </c>
      <c r="F144">
        <f t="shared" si="186"/>
        <v>0</v>
      </c>
      <c r="G144">
        <f t="shared" si="186"/>
        <v>0</v>
      </c>
      <c r="H144">
        <f t="shared" si="186"/>
        <v>0</v>
      </c>
      <c r="I144">
        <f t="shared" si="186"/>
        <v>1</v>
      </c>
      <c r="J144">
        <f t="shared" si="186"/>
        <v>0</v>
      </c>
      <c r="K144">
        <f t="shared" si="186"/>
        <v>0</v>
      </c>
      <c r="L144">
        <f t="shared" si="187"/>
        <v>1</v>
      </c>
      <c r="N144" s="1" t="s">
        <v>13</v>
      </c>
      <c r="O144" s="1"/>
      <c r="P144" s="1"/>
      <c r="Q144" s="1"/>
      <c r="R144" s="1"/>
      <c r="S144" s="1"/>
      <c r="T144" s="1"/>
      <c r="V144" s="1" t="s">
        <v>24</v>
      </c>
      <c r="W144" s="1" t="str">
        <f t="shared" ref="W144:AA144" si="209">IF(W$1=$V144, "True", "False")</f>
        <v>False</v>
      </c>
      <c r="X144" s="1" t="str">
        <f t="shared" si="209"/>
        <v>False</v>
      </c>
      <c r="Y144" s="1" t="str">
        <f t="shared" si="209"/>
        <v>False</v>
      </c>
      <c r="Z144" s="1" t="str">
        <f t="shared" si="209"/>
        <v>True</v>
      </c>
      <c r="AA144" s="1" t="str">
        <f t="shared" si="209"/>
        <v>False</v>
      </c>
      <c r="AC144">
        <f t="shared" si="189"/>
        <v>0</v>
      </c>
      <c r="AD144">
        <f t="shared" si="189"/>
        <v>0</v>
      </c>
      <c r="AE144">
        <f t="shared" si="189"/>
        <v>0</v>
      </c>
      <c r="AF144">
        <f t="shared" si="189"/>
        <v>0</v>
      </c>
      <c r="AG144">
        <f t="shared" si="189"/>
        <v>0</v>
      </c>
      <c r="AH144">
        <f t="shared" si="189"/>
        <v>0</v>
      </c>
      <c r="AI144" s="1">
        <f t="shared" si="190"/>
        <v>0</v>
      </c>
      <c r="AK144" s="1" t="s">
        <v>38</v>
      </c>
      <c r="AL144">
        <f t="shared" si="191"/>
        <v>0</v>
      </c>
      <c r="AM144">
        <f t="shared" si="191"/>
        <v>0</v>
      </c>
      <c r="AN144">
        <f t="shared" si="191"/>
        <v>0</v>
      </c>
      <c r="AO144">
        <f t="shared" si="191"/>
        <v>1</v>
      </c>
      <c r="AP144">
        <f t="shared" si="191"/>
        <v>0</v>
      </c>
      <c r="AQ144">
        <f t="shared" si="191"/>
        <v>0</v>
      </c>
      <c r="AR144">
        <f t="shared" si="191"/>
        <v>0</v>
      </c>
      <c r="AS144">
        <f t="shared" si="191"/>
        <v>0</v>
      </c>
      <c r="AU144" s="1" t="s">
        <v>45</v>
      </c>
      <c r="AV144" s="1">
        <f t="shared" si="198"/>
        <v>1</v>
      </c>
      <c r="AW144" s="1">
        <f t="shared" si="199"/>
        <v>0</v>
      </c>
      <c r="AX144" s="1">
        <f t="shared" si="200"/>
        <v>0</v>
      </c>
      <c r="AY144" s="1" t="s">
        <v>46</v>
      </c>
      <c r="BB144">
        <f t="shared" si="192"/>
        <v>0</v>
      </c>
      <c r="BC144">
        <f t="shared" si="192"/>
        <v>0</v>
      </c>
      <c r="BD144">
        <f t="shared" si="192"/>
        <v>0</v>
      </c>
      <c r="BE144">
        <f t="shared" si="192"/>
        <v>0</v>
      </c>
      <c r="BF144">
        <f t="shared" si="192"/>
        <v>0</v>
      </c>
      <c r="BG144">
        <f t="shared" si="192"/>
        <v>0</v>
      </c>
      <c r="BH144">
        <f t="shared" si="192"/>
        <v>0</v>
      </c>
      <c r="BI144">
        <f t="shared" si="192"/>
        <v>0</v>
      </c>
      <c r="BJ144">
        <f t="shared" si="192"/>
        <v>0</v>
      </c>
      <c r="BK144">
        <f t="shared" si="193"/>
        <v>0</v>
      </c>
      <c r="BM144" s="1" t="s">
        <v>264</v>
      </c>
      <c r="BO144">
        <f t="shared" si="194"/>
        <v>0</v>
      </c>
      <c r="BP144">
        <f t="shared" si="194"/>
        <v>0</v>
      </c>
      <c r="BQ144">
        <f t="shared" si="194"/>
        <v>0</v>
      </c>
      <c r="BR144">
        <f t="shared" si="194"/>
        <v>0</v>
      </c>
      <c r="BS144">
        <f t="shared" si="194"/>
        <v>0</v>
      </c>
      <c r="BT144">
        <f t="shared" si="194"/>
        <v>0</v>
      </c>
      <c r="BU144">
        <f t="shared" si="194"/>
        <v>0</v>
      </c>
      <c r="CH144" s="1" t="s">
        <v>799</v>
      </c>
      <c r="CJ144" s="1" t="s">
        <v>800</v>
      </c>
      <c r="CL144" s="1" t="s">
        <v>444</v>
      </c>
    </row>
  </sheetData>
  <conditionalFormatting sqref="A3:A144">
    <cfRule type="cellIs" dxfId="3" priority="1" operator="equal">
      <formula>"FALSE"</formula>
    </cfRule>
    <cfRule type="expression" dxfId="2" priority="2">
      <formula>D1:D146="Game Enthusiast or Collector"</formula>
    </cfRule>
  </conditionalFormatting>
  <conditionalFormatting sqref="W3:AA144">
    <cfRule type="cellIs" dxfId="1" priority="3" operator="equal">
      <formula>"False"</formula>
    </cfRule>
    <cfRule type="cellIs" dxfId="0" priority="4" operator="equal">
      <formula>"True"</formula>
    </cfRule>
  </conditionalFormatting>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The Video Game History Foundati</vt:lpstr>
      <vt:lpstr>Unaffiliated (Collectors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Solon Scott</cp:lastModifiedBy>
  <dcterms:modified xsi:type="dcterms:W3CDTF">2026-06-04T05:51:15Z</dcterms:modified>
</cp:coreProperties>
</file>